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240" yWindow="240" windowWidth="25360" windowHeight="1576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0" i="1"/>
  <c r="H110" i="1"/>
  <c r="G78" i="1"/>
  <c r="H78" i="1"/>
  <c r="G66" i="1"/>
  <c r="H66" i="1"/>
  <c r="G114" i="1"/>
  <c r="H114" i="1"/>
  <c r="G65" i="1"/>
  <c r="H65" i="1"/>
  <c r="G139" i="1"/>
  <c r="H139" i="1"/>
  <c r="G136" i="1"/>
  <c r="H136" i="1"/>
  <c r="G125" i="1"/>
  <c r="H125" i="1"/>
  <c r="G109" i="1"/>
  <c r="H109" i="1"/>
  <c r="G124" i="1"/>
  <c r="H124" i="1"/>
  <c r="G123" i="1"/>
  <c r="H123" i="1"/>
  <c r="G98" i="1"/>
  <c r="H98" i="1"/>
  <c r="G64" i="1"/>
  <c r="H64" i="1"/>
  <c r="G63" i="1"/>
  <c r="H63" i="1"/>
  <c r="G46" i="1"/>
  <c r="H46" i="1"/>
  <c r="H143" i="1"/>
  <c r="G143" i="1"/>
  <c r="H142" i="1"/>
  <c r="G142" i="1"/>
  <c r="H141" i="1"/>
  <c r="G141" i="1"/>
  <c r="H140" i="1"/>
  <c r="G140" i="1"/>
  <c r="H138" i="1"/>
  <c r="G138" i="1"/>
  <c r="H137" i="1"/>
  <c r="G137" i="1"/>
  <c r="H135" i="1"/>
  <c r="G135" i="1"/>
  <c r="H134" i="1"/>
  <c r="G134" i="1"/>
  <c r="H133" i="1"/>
  <c r="G133" i="1"/>
  <c r="H132" i="1"/>
  <c r="G132" i="1"/>
  <c r="H131" i="1"/>
  <c r="G131" i="1"/>
  <c r="H130" i="1"/>
  <c r="G130" i="1"/>
  <c r="H129" i="1"/>
  <c r="G129" i="1"/>
  <c r="H128" i="1"/>
  <c r="G128" i="1"/>
  <c r="H127" i="1"/>
  <c r="G127" i="1"/>
  <c r="H126" i="1"/>
  <c r="G126" i="1"/>
  <c r="H122" i="1"/>
  <c r="G122" i="1"/>
  <c r="H121" i="1"/>
  <c r="G121" i="1"/>
  <c r="H120" i="1"/>
  <c r="G120" i="1"/>
  <c r="H119" i="1"/>
  <c r="G119" i="1"/>
  <c r="H118" i="1"/>
  <c r="G118" i="1"/>
  <c r="H117" i="1"/>
  <c r="G117" i="1"/>
  <c r="H116" i="1"/>
  <c r="G116" i="1"/>
  <c r="H115" i="1"/>
  <c r="G115" i="1"/>
  <c r="H113" i="1"/>
  <c r="G113" i="1"/>
  <c r="H112" i="1"/>
  <c r="G112" i="1"/>
  <c r="H111" i="1"/>
  <c r="G111" i="1"/>
  <c r="H108" i="1"/>
  <c r="G108" i="1"/>
  <c r="H107" i="1"/>
  <c r="G107" i="1"/>
  <c r="H106" i="1"/>
  <c r="G106" i="1"/>
  <c r="H105" i="1"/>
  <c r="G105" i="1"/>
  <c r="H104" i="1"/>
  <c r="G104" i="1"/>
  <c r="H103" i="1"/>
  <c r="G103" i="1"/>
  <c r="H102" i="1"/>
  <c r="G102" i="1"/>
  <c r="H101" i="1"/>
  <c r="G101" i="1"/>
  <c r="H100" i="1"/>
  <c r="G100" i="1"/>
  <c r="H99" i="1"/>
  <c r="G99"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9" i="1"/>
  <c r="G79"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<sst xmlns="http://schemas.openxmlformats.org/spreadsheetml/2006/main" count="1002" uniqueCount="923">
  <si>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</si>
  <si>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</si>
  <si>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</si>
  <si>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</si>
  <si>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</si>
  <si>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</si>
  <si>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</si>
  <si>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</si>
  <si>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</si>
  <si>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</si>
  <si>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</si>
  <si>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</si>
  <si>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</si>
  <si>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</si>
  <si>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</si>
  <si>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</si>
  <si>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</si>
  <si>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</si>
  <si>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</si>
  <si>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</si>
  <si>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</si>
  <si>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</si>
  <si>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</si>
  <si>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</si>
  <si>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</si>
  <si>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</si>
  <si>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</si>
  <si>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</si>
  <si>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</si>
  <si>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</si>
  <si>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</si>
  <si>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</si>
  <si>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</si>
  <si>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</si>
  <si>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</si>
  <si>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</si>
  <si>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</si>
  <si>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</si>
  <si>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</si>
  <si>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</si>
  <si>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</si>
  <si>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</si>
  <si>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</si>
  <si>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</si>
  <si>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</si>
  <si>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</si>
  <si>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</si>
  <si>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</si>
  <si>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</si>
  <si>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</si>
  <si>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</si>
  <si>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</si>
  <si>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</si>
  <si>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</si>
  <si>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</si>
  <si>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</si>
  <si>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</si>
  <si>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</si>
  <si>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</si>
  <si>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</si>
  <si>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</si>
  <si>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</si>
  <si>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</si>
  <si>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</si>
  <si>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</si>
  <si>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</si>
  <si>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</si>
  <si>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</si>
  <si>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</si>
  <si>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</si>
  <si>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</si>
  <si>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</si>
  <si>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</si>
  <si>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</si>
  <si>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</si>
  <si>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</si>
  <si>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</si>
  <si>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</si>
  <si>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</si>
  <si>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</si>
  <si>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</si>
  <si>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</si>
  <si>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</si>
  <si>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</si>
  <si>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</si>
  <si>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</si>
  <si>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</si>
  <si>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</si>
  <si>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</si>
  <si>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</si>
  <si>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</si>
  <si>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</si>
  <si>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</si>
  <si>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</si>
  <si>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</si>
  <si>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</si>
  <si>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</si>
  <si>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</si>
  <si>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</si>
  <si>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</si>
  <si>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</si>
  <si>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</si>
  <si>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</si>
  <si>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</si>
  <si>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</si>
  <si>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</si>
  <si>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</si>
  <si>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</si>
  <si>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</si>
  <si>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</si>
  <si>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</si>
  <si>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</si>
  <si>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</si>
  <si>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</si>
  <si>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</si>
  <si>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</si>
  <si>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</si>
  <si>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</si>
  <si>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</si>
  <si>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</si>
  <si>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</si>
  <si>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</si>
  <si>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</si>
  <si>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</si>
  <si>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</si>
  <si>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</si>
  <si>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</si>
  <si>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</si>
  <si>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</si>
  <si>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</si>
  <si>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</si>
  <si>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</si>
  <si>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</si>
  <si>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</si>
  <si>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</si>
  <si>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</si>
  <si>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</si>
  <si>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</si>
  <si>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</si>
  <si>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</si>
  <si>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</si>
  <si>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</si>
  <si>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</si>
  <si>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</si>
  <si>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</si>
  <si>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</si>
  <si>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</si>
  <si>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</si>
  <si>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</si>
  <si>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</si>
  <si>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</si>
  <si>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</si>
  <si>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</si>
  <si>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</si>
  <si>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</si>
  <si>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</si>
  <si>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</si>
  <si>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</si>
  <si>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</si>
  <si>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</si>
  <si>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</si>
  <si>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</si>
  <si>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</si>
  <si>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</si>
  <si>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</si>
  <si>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</si>
  <si>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</si>
  <si>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</si>
  <si>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</si>
  <si>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</si>
  <si>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</si>
  <si>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</si>
  <si>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</si>
  <si>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</si>
  <si>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</si>
  <si>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</si>
  <si>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</si>
  <si>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</si>
  <si>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</si>
  <si>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</si>
  <si>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</si>
  <si>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</si>
  <si>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</si>
  <si>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</si>
  <si>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</si>
  <si>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</si>
  <si>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</si>
  <si>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</si>
  <si>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</si>
  <si>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</si>
  <si>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</si>
  <si>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</si>
  <si>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</si>
  <si>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</si>
  <si>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</si>
  <si>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</si>
  <si>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</si>
  <si>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</si>
  <si>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</si>
  <si>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</si>
  <si>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</si>
  <si>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</si>
  <si>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</si>
  <si>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</si>
  <si>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</si>
  <si>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</si>
  <si>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</si>
  <si>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</si>
  <si>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</si>
  <si>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</si>
  <si>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</si>
  <si>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</si>
  <si>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</si>
  <si>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</si>
  <si>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</si>
  <si>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</si>
  <si>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</si>
  <si>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</si>
  <si>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</si>
  <si>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</si>
  <si>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</si>
  <si>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</si>
  <si>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</si>
  <si>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</si>
  <si>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</si>
  <si>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</si>
  <si>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</si>
  <si>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</si>
  <si>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</si>
  <si>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</si>
  <si>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</si>
  <si>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</si>
  <si>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</si>
  <si>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</si>
  <si>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</si>
  <si>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</si>
  <si>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</si>
  <si>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</si>
  <si>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</si>
  <si>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</si>
  <si>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</si>
  <si>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</si>
  <si>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</si>
  <si>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</si>
  <si>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</si>
  <si>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</si>
  <si>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</si>
  <si>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</si>
  <si>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</si>
  <si>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</si>
  <si>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</si>
  <si>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</si>
  <si>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</si>
  <si>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</si>
  <si>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</si>
  <si>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</si>
  <si>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</si>
  <si>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</si>
  <si>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</si>
  <si>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</si>
  <si>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</si>
  <si>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</si>
  <si>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</si>
  <si>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</si>
  <si>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</si>
  <si>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</si>
  <si>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</si>
  <si>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</si>
  <si>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</si>
  <si>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</si>
  <si>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</si>
  <si>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</si>
  <si>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</si>
  <si>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</si>
  <si>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</si>
  <si>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</si>
  <si>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</si>
  <si>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</si>
  <si>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</si>
  <si>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</si>
  <si>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</si>
  <si>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</si>
  <si>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</si>
  <si>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</si>
  <si>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</si>
  <si>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</si>
  <si>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</si>
  <si>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</si>
  <si>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</si>
  <si>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</si>
  <si>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</si>
  <si>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</si>
  <si>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</si>
  <si>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</si>
  <si>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</si>
  <si>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</si>
  <si>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</si>
  <si>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</si>
  <si>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</si>
  <si>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</si>
  <si>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</si>
  <si>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</si>
  <si>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</si>
  <si>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</si>
  <si>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</si>
  <si>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</si>
  <si>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</si>
  <si>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</si>
  <si>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</si>
  <si>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</si>
  <si>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</si>
  <si>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</si>
  <si>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</si>
  <si>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</si>
  <si>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</si>
  <si>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</si>
  <si>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</si>
  <si>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</si>
  <si>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</si>
  <si>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</si>
  <si>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</si>
  <si>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</si>
  <si>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</si>
  <si>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</si>
  <si>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</si>
  <si>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</si>
  <si>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</si>
  <si>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</si>
  <si>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</si>
  <si>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</si>
  <si>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</si>
  <si>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</si>
  <si>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</si>
  <si>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</si>
  <si>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</si>
  <si>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</si>
  <si>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</si>
  <si>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</si>
  <si>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</si>
  <si>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</si>
  <si>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</si>
  <si>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</si>
  <si>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</si>
  <si>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</si>
  <si>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</si>
  <si>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</si>
  <si>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</si>
  <si>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</si>
  <si>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</si>
  <si>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</si>
  <si>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</si>
  <si>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</si>
  <si>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</si>
  <si>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</si>
  <si>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</si>
  <si>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</si>
  <si>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</si>
  <si>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</si>
  <si>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</si>
  <si>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</si>
  <si>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</si>
  <si>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</si>
  <si>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</si>
  <si>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</si>
  <si>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</si>
  <si>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</si>
  <si>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</si>
  <si>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</si>
  <si>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</si>
  <si>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</si>
  <si>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</si>
  <si>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</si>
  <si>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</si>
  <si>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</si>
  <si>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</si>
  <si>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</si>
  <si>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</si>
  <si>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</si>
  <si>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</si>
  <si>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</si>
  <si>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</si>
  <si>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</si>
  <si>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</si>
  <si>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</si>
  <si>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</si>
  <si>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</si>
  <si>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</si>
  <si>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</si>
  <si>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</si>
  <si>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</si>
  <si>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</si>
  <si>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</si>
  <si>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</si>
  <si>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</si>
  <si>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</si>
  <si>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</si>
  <si>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</si>
  <si>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</si>
  <si>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</si>
  <si>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</si>
  <si>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</si>
  <si>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</si>
  <si>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</si>
  <si>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</si>
  <si>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</si>
  <si>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</si>
  <si>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</si>
  <si>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</si>
  <si>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</si>
  <si>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</si>
  <si>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</si>
  <si>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</si>
  <si>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</si>
  <si>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</si>
  <si>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</si>
  <si>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</si>
  <si>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</si>
  <si>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</si>
  <si>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</si>
  <si>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</si>
  <si>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</si>
  <si>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</si>
  <si>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</si>
  <si>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</si>
  <si>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</si>
  <si>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</si>
  <si>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</si>
  <si>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</si>
  <si>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</si>
  <si>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</si>
  <si>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</si>
  <si>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</si>
  <si>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</si>
  <si>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</si>
  <si>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</si>
  <si>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</si>
  <si>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</si>
  <si>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</si>
  <si>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</si>
  <si>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</si>
  <si>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</si>
  <si>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</si>
  <si>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</si>
  <si>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</si>
  <si>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</si>
  <si>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</si>
  <si>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</si>
  <si>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</si>
  <si>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</si>
  <si>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</si>
  <si>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</si>
  <si>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</si>
  <si>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</si>
  <si>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</si>
  <si>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</si>
  <si>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</si>
  <si>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</si>
  <si>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</si>
  <si>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</si>
  <si>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</si>
  <si>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</si>
  <si>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</si>
  <si>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</si>
  <si>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</si>
  <si>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</si>
  <si>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</si>
  <si>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</si>
  <si>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</si>
  <si>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</si>
  <si>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</si>
  <si>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</si>
  <si>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</si>
  <si>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</si>
  <si>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</si>
  <si>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</si>
  <si>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</si>
  <si>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</si>
  <si>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</si>
  <si>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</si>
  <si>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</si>
  <si>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</si>
  <si>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</si>
  <si>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</si>
  <si>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</si>
  <si>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</si>
  <si>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</si>
  <si>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</si>
  <si>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</si>
  <si>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</si>
  <si>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</si>
  <si>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</si>
  <si>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</si>
  <si>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</si>
  <si>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</si>
  <si>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</si>
  <si>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</si>
  <si>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</si>
  <si>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</si>
  <si>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</si>
  <si>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</si>
  <si>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</si>
  <si>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</si>
  <si>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</si>
  <si>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</si>
  <si>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</si>
  <si>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</si>
  <si>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</si>
  <si>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</si>
  <si>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</si>
  <si>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</si>
  <si>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</si>
  <si>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</si>
  <si>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</si>
  <si>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</si>
  <si>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</si>
  <si>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</si>
  <si>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</si>
  <si>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</si>
  <si>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</si>
  <si>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</si>
  <si>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</si>
  <si>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</si>
  <si>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</si>
  <si>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</si>
  <si>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</si>
  <si>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</si>
  <si>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</si>
  <si>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</si>
  <si>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</si>
  <si>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</si>
  <si>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</si>
  <si>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</si>
  <si>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</si>
  <si>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</si>
  <si>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</si>
  <si>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</si>
  <si>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</si>
  <si>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</si>
  <si>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</si>
  <si>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</si>
  <si>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</si>
  <si>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</si>
  <si>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</si>
  <si>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</si>
  <si>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</si>
  <si>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</si>
  <si>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</si>
  <si>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</si>
  <si>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</si>
  <si>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</si>
  <si>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</si>
  <si>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</si>
  <si>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</si>
  <si>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</si>
  <si>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</si>
  <si>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</si>
  <si>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</si>
  <si>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</si>
  <si>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</si>
  <si>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</si>
  <si>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</si>
  <si>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</si>
  <si>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</si>
  <si>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</si>
  <si>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</si>
  <si>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</si>
  <si>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</si>
  <si>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</si>
  <si>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</si>
  <si>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</si>
  <si>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</si>
  <si>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</si>
  <si>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</si>
  <si>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</si>
  <si>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</si>
  <si>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</si>
  <si>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</si>
  <si>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</si>
  <si>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</si>
  <si>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</si>
  <si>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</si>
  <si>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</si>
  <si>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</si>
  <si>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</si>
  <si>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</si>
  <si>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</si>
  <si>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</si>
  <si>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</si>
  <si>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</si>
  <si>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</si>
  <si>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</si>
  <si>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</si>
  <si>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</si>
  <si>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</si>
  <si>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</si>
  <si>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</si>
  <si>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</si>
  <si>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</si>
  <si>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</si>
  <si>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</si>
  <si>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</si>
  <si>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</si>
  <si>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</si>
  <si>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</si>
  <si>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</si>
  <si>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</si>
  <si>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</si>
  <si>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</si>
  <si>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</si>
  <si>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</si>
  <si>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</si>
  <si>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</si>
  <si>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</si>
  <si>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</si>
  <si>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</si>
  <si>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</si>
  <si>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</si>
  <si>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</si>
  <si>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</si>
  <si>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</si>
  <si>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</si>
  <si>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</si>
  <si>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</si>
  <si>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</si>
  <si>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</si>
  <si>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</si>
  <si>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</si>
  <si>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</si>
  <si>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</si>
  <si>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</si>
  <si>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</si>
  <si>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</si>
  <si>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</si>
  <si>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</si>
  <si>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</si>
  <si>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</si>
  <si>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</si>
  <si>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</si>
  <si>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</si>
  <si>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</si>
  <si>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</si>
  <si>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</si>
  <si>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</si>
  <si>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</si>
  <si>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</si>
  <si>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</si>
  <si>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</si>
  <si>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</si>
  <si>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</si>
  <si>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</si>
  <si>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</si>
  <si>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</si>
  <si>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</si>
  <si>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</si>
  <si>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</si>
  <si>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</si>
  <si>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</si>
  <si>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</si>
  <si>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</si>
  <si>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</si>
  <si>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</si>
  <si>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</si>
  <si>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</si>
  <si>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</si>
  <si>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</si>
  <si>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</si>
  <si>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</si>
  <si>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</si>
  <si>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</si>
  <si>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</si>
  <si>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</si>
  <si>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</si>
  <si>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</si>
  <si>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</si>
  <si>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</si>
  <si>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</si>
  <si>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</si>
  <si>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</si>
  <si>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</si>
  <si>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</si>
  <si>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</si>
  <si>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</si>
  <si>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</si>
  <si>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</si>
  <si>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</si>
  <si>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</si>
  <si>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</si>
  <si>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</si>
  <si>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</si>
  <si>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</si>
  <si>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</si>
  <si>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</si>
  <si>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</si>
  <si>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</si>
  <si>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</si>
  <si>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</si>
  <si>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</si>
  <si>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</si>
  <si>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</si>
  <si>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</si>
  <si>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</si>
  <si>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</si>
  <si>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</si>
  <si>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</si>
  <si>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</si>
  <si>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</si>
  <si>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</si>
  <si>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</si>
  <si>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</si>
  <si>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</si>
  <si>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</si>
  <si>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</si>
  <si>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</si>
  <si>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</si>
  <si>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</si>
  <si>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</si>
  <si>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</si>
  <si>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</si>
  <si>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</si>
  <si>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</si>
  <si>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</si>
  <si>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</si>
  <si>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</si>
  <si>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</si>
  <si>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</si>
  <si>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</si>
  <si>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</si>
  <si>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</si>
  <si>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</si>
  <si>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</si>
  <si>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</si>
  <si>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</si>
  <si>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</si>
  <si>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</si>
  <si>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</si>
  <si>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</si>
  <si>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</si>
  <si>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</si>
  <si>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</si>
  <si>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</si>
  <si>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</si>
  <si>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</si>
  <si>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</si>
  <si>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</si>
  <si>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</si>
  <si>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</si>
  <si>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</si>
  <si>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</si>
  <si>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</si>
  <si>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</si>
  <si>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</si>
  <si>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</si>
  <si>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</si>
  <si>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</si>
  <si>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</si>
  <si>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</si>
  <si>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</si>
  <si>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</si>
  <si>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</si>
  <si>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</si>
  <si>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</si>
  <si>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</si>
  <si>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</si>
  <si>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</si>
  <si>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</si>
  <si>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</si>
  <si>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</si>
  <si>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</si>
  <si>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</si>
  <si>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</si>
  <si>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</si>
  <si>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</si>
  <si>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</si>
  <si>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</si>
  <si>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</si>
  <si>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</si>
  <si>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</si>
  <si>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</si>
  <si>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</si>
  <si>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</si>
  <si>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</si>
  <si>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</si>
  <si>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</si>
  <si>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</si>
  <si>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</si>
  <si>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</si>
  <si>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</si>
  <si>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</si>
  <si>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</si>
  <si>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</si>
  <si>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</si>
  <si>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</si>
  <si>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</si>
  <si>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</si>
  <si>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</si>
  <si>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</si>
  <si>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</si>
  <si>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</si>
  <si>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</si>
  <si>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</si>
  <si>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</si>
  <si>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</si>
  <si>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</si>
  <si>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</si>
  <si>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</si>
  <si>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</si>
  <si>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</si>
  <si>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</si>
  <si>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</si>
  <si>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</si>
  <si>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</si>
  <si>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</si>
  <si>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</si>
  <si>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</si>
  <si>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</si>
  <si>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</si>
  <si>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</si>
  <si>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</si>
  <si>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</si>
  <si>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</si>
  <si>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</si>
  <si>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</si>
  <si>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</si>
  <si>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</si>
  <si>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</si>
  <si>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</si>
  <si>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</si>
  <si>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</si>
  <si>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</si>
  <si>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</si>
  <si>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</si>
  <si>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</si>
  <si>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</si>
  <si>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</si>
  <si>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</si>
  <si>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</si>
  <si>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</si>
  <si>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</si>
  <si>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</si>
  <si>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Title</t>
  </si>
  <si>
    <t>1 (top)</t>
  </si>
  <si>
    <t>Global Agricultural Development (Cambodia) Co.; Ltd</t>
  </si>
  <si>
    <t>Preamble</t>
  </si>
  <si>
    <t>1 (middle)</t>
  </si>
  <si>
    <t>Art. 1</t>
  </si>
  <si>
    <t>1 (bottom)</t>
  </si>
  <si>
    <t>District of Sambour, Kratie province</t>
  </si>
  <si>
    <t>Signature page</t>
  </si>
  <si>
    <t>7 (top)</t>
  </si>
  <si>
    <t>Art. 2.2</t>
  </si>
  <si>
    <t>2 (bottom)</t>
  </si>
  <si>
    <t>Arts. 2.1, 18</t>
  </si>
  <si>
    <t>2 (middle), 7 (top)</t>
  </si>
  <si>
    <t>Arts. 1, 3.1.1</t>
  </si>
  <si>
    <t>1 (bottom), 3 (top)</t>
  </si>
  <si>
    <t>9,800 ha</t>
  </si>
  <si>
    <t>Art. 7.5</t>
  </si>
  <si>
    <t>4 (bottom)</t>
  </si>
  <si>
    <t>The lands which contain national and cultural heritage sites, mountains, reservoirs, traditional forests and other natural protected areas shall be excluded from the company's use and preserved in their natural conditions</t>
  </si>
  <si>
    <t>Art. 1.3</t>
  </si>
  <si>
    <t>2 (top)</t>
  </si>
  <si>
    <t>Art. 7.4</t>
  </si>
  <si>
    <t>4 (middle)</t>
  </si>
  <si>
    <t>Art. 6.2</t>
  </si>
  <si>
    <t>4 (top)</t>
  </si>
  <si>
    <t>Art. 16.1</t>
  </si>
  <si>
    <t>Art. 4.4</t>
  </si>
  <si>
    <t>3 (middle)</t>
  </si>
  <si>
    <t>Art. 7.9</t>
  </si>
  <si>
    <t>Arts. 4, 7.1</t>
  </si>
  <si>
    <t>3 (middle), 4 (middle)</t>
  </si>
  <si>
    <t>Art. 7.6</t>
  </si>
  <si>
    <t>Art. 7.10</t>
  </si>
  <si>
    <t>5 (top)</t>
  </si>
  <si>
    <t>6 (bottom)</t>
  </si>
  <si>
    <t>Art. 8</t>
  </si>
  <si>
    <t>Art. 9</t>
  </si>
  <si>
    <t xml:space="preserve"> 5 (middle)</t>
  </si>
  <si>
    <t>Art. 1.2</t>
  </si>
  <si>
    <t>Art. 13</t>
  </si>
  <si>
    <t>6 (top)</t>
  </si>
  <si>
    <t>Art. 11</t>
  </si>
  <si>
    <t>5 (bottom)</t>
  </si>
  <si>
    <t>Art. 5</t>
  </si>
  <si>
    <t>3 (bottom)</t>
  </si>
  <si>
    <t>5 (middle)</t>
  </si>
  <si>
    <t>Art. 10</t>
  </si>
  <si>
    <t>Also in Khmer</t>
  </si>
  <si>
    <t>Art. 17</t>
  </si>
  <si>
    <t>Art. 15</t>
  </si>
  <si>
    <t>Arts. 6.3</t>
  </si>
  <si>
    <t>6 (middle)</t>
  </si>
  <si>
    <t>Details - value</t>
  </si>
  <si>
    <t>No 1533, National road No 2, Chak Angrai Kroum Quarter, Mean Chhay District, Phnom Penh</t>
  </si>
  <si>
    <t>Cambodia, Global Agricultural Development (Cambodia) Co.; Ltd, Agreement for Plantation and Processing Factory, Teak, Sambour District, 15 March 2006</t>
  </si>
  <si>
    <t>The Ministry of Agriculture, Forestry and Fisheries</t>
  </si>
  <si>
    <t>70 years, expiring on 15 March 2076</t>
  </si>
  <si>
    <t xml:space="preserve">The land that is legally owned by local residents is not available for use by Global Agricultural Development (Cambodia) unless a mutual agreement is reached. In the event of an illegal violation of the ownership of this land, Global Agricultural Development (Cambodia) reserves the right to file a lawsuit with the competent institution. </t>
  </si>
  <si>
    <t>Global Agricultural Development (Cambodia) shall pay the land fee annually according to the concessionary land rate defined by the Government and competent institutions. The fee shall be paid annually to the State budget through the account of the Ministry of Agriculture, Forestry and Fisheries no later than 31 January of each year. A 2% late fee will be charged monthly if there is delay in paying the fee. Global Agricultural Development (Cambodia) agrees to pay the fee until the termination of the agreement.</t>
  </si>
  <si>
    <t>Before clearing the land for the development activities, Global Agricultural Development (Cambodia) shall obtain approval from the Ministry of Agriculture, Forestry and Fisheries for the logging, processing or transporting of trees found on the lands and pay royalties and premiums to the Ministry of Agriculture, Forestry and Fisheries in accordance with the principles and Forestry Law in force</t>
  </si>
  <si>
    <t xml:space="preserve">If Global Agricultural Development (Cambodia) faces a situation beyond its control, it has the right to withdraw from the whole project or part of the project, provided it has received approval for the withdrawal from the Ministry of Agriculture, Forestry and Fisheries. If Global Agricultural Development (Cambodia) withdraws without approval, it shall be held responsible according to the Investment Law of the Kingdom of Cambodia. If Global Agricultural Development (Cambodia) fails to use its best effort to implement the activities set out in the agreement within 1 year starting from the completion of the survey specified in article 1.4, the Ministry of Agriculture, Forestry and Fisheries shall have the right to terminate the agreement unconditionally and without compensation for damages. The deposit paid by Global Agricultural Development (Cambodia) will also become State property. </t>
  </si>
  <si>
    <t>Global Agricultural Development (Cambodia) shall have the right to renew the agreement after expiration of the 70-year period. 1 year prior to the expiration of the agreement, Global Agricultural Development (Cambodia) may ask to renew the investment. This renewal can only be made once an approval has been obtained from the Government at the request of the Ministry of Agriculture, Forestry and Fisheries, based upon the previous performance of Global Agricultural Development (Cambodia) and according to the mutual agreement from the Ministry of Agriculture, Forestry and Fisheries on the terms and conditions of the new contract.</t>
  </si>
  <si>
    <t>Global Agricultural Development (Cambodia) must use local labor. If there is no Khmer expert available, the right to hire foreign experts shall be granted following Cambodian law.</t>
  </si>
  <si>
    <t>Global Agricultural Development (Cambodia) shall be obliged to pay taxes to the State in accordance with Cambodian law</t>
  </si>
  <si>
    <t>Machinery equipment, spare parts and chemical materials that are imported for the purpose of business production will incur taxes according to Cambodian law</t>
  </si>
  <si>
    <t>Global Agricultural Development (Cambodia) must focus on the livelihood, health and education of its employees, workers and their families by building suitable houses, hospitals, temples, schools and recreation centers</t>
  </si>
  <si>
    <t>Global Agricultural Development (Cambodia) must allow the Ministry of Agriculture, Forestry and Fisheries and relevant institutions to monitor and evaluate its activities regarding environmental impact and subsequently follow their instructions to protect the environment</t>
  </si>
  <si>
    <t>All fixed assets and infrastructure as well as results achieved by Global Agricultural Development (Cambodia) shall be under its control until the termination of this agreement</t>
  </si>
  <si>
    <t>The agreement shall be governed by Cambodian law</t>
  </si>
  <si>
    <t>If disputes arise during the execution of this agreement, the 2 parties shall mediate and settle the dispute based on the rights and obligations of each party to the agreement. If the parties cannot mediate or settle the dispute within 60 days, the dispute shall be submitted to the Council for the Development of Cambodia for mediation and reconciliation. If the dispute cannot be settled by the Council for the Development of Cambodia within 30 days, the parties shall send the files of the dispute to the competent court of the Kingdom of Cambodia for its decision according to the law in force.</t>
  </si>
  <si>
    <t>Global Agricultural Development (Cambodia) is entitled to make a transfer to its successors. Legal successors refer to individuals who have been authorized by the law in force to inherit from Global Agricultural Development (Cambodia), or those individuals recognized by the law as its affinity. Notification on rights transfer or any decision regarding the handover to the successors shall be given to the Ministry of Agriculture, Forestry and Fisheries at least 6 months before the execution. If Global Agricultural Development (Cambodia) transfers the agreement, the transfer shall be in accordance with the investment law of the Kingdom of Cambodia and have obtained the approval of the Council for the Development of Cambodia at the request of the Ministry of Agriculture, Forestry and Fisheries.</t>
  </si>
  <si>
    <t>The Ministry of Agriculture, Forestry and Fisheries has the right and obligation to monitor the implementation of the agreement, and the technical work and business production program of Global Agricultural Development (Cambodia)</t>
  </si>
  <si>
    <t xml:space="preserve">"Force majeure" refers to fire, flood, storm, war, earthquake, civil unrest, insurgency, strike, explosion, epidemic and other events or circumstances beyond the control of the parties. If Global Agricultural Development (Cambodia) is not able to perform its duties in part or in whole pursuant to the terms and conditions of this agreement due to force majeure, it shall notify the Ministry of Agriculture, Forestry and Fisheries in writing, specifying the reasons and its obligations shall be temporarily suspended during this period. </t>
  </si>
  <si>
    <t>Global Agricultural Development (Cambodia) must implement business activities as planned including cultivation and maintenance by following sustainable conditions for natural resources of the concession area and environmental impact caused by business production</t>
  </si>
  <si>
    <t xml:space="preserve">Global Agricultural Development (Cambodia) shall be allowed to carry out all construction activities on the concession land in accordance with Cambodian law and in harmony with the objectives specified in article 3 (article 3 outlines the production-business goal and concession land usage schedule). All construction of infrastructure such as dams and canals that may affect the surrounding areas shall be permitted by the Ministry of Agriculture, Forestry and Fisheries and relevant institutions. </t>
  </si>
  <si>
    <t>Map of location; Record of the study and evaluation on the requet of the concession land of the Global Agricultural Development (Cambodia) Co.; Ltd dated 13 January 2006</t>
  </si>
  <si>
    <t>Global Agricultural Development (Cambodia) shall have coordinated, exchanged or compensated the local residents who own the land</t>
  </si>
  <si>
    <t>Art. 3.2</t>
  </si>
  <si>
    <t>3 (top)</t>
  </si>
  <si>
    <t xml:space="preserve">Global Agricultural Development (Cambodia) shall make best use of the concession area and the lands involving local residents within 5 years from the date this agreement is signed, and it shall have coordinated, exchanged and compensated the local residents who own the land, accordng to the following plan: year 1: 1,800 hectares; years 2-5: 2,000 hectares per year. </t>
  </si>
  <si>
    <t>If during the implementation of the investment project any land conflict between Global Agricultural Development (Cambodia) and local residents/people arises on the concession land, competent authorities have the right and obligation to suspend the investment activities on the concession in order to solve the problems and protect the interests of people. In any conflict that occurs between the military agency and local residents/people, priority is to be given to the residents/people in resolving the conflict.</t>
  </si>
  <si>
    <t>Teak Tree (Tectona grandis)</t>
  </si>
  <si>
    <t>Resource(s)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</si>
</sst>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1"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29">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7" fillId="6" borderId="0" xfId="0" applyFont="1" applyFill="1" applyBorder="1" applyAlignment="1">
      <alignment vertical="top" wrapText="1"/>
    </xf>
    <xf numFmtId="0" fontId="7" fillId="6" borderId="9" xfId="0" applyFont="1" applyFill="1" applyBorder="1" applyAlignment="1">
      <alignment horizontal="left" wrapText="1"/>
    </xf>
    <xf numFmtId="164" fontId="0" fillId="4" borderId="9" xfId="0" applyNumberFormat="1" applyFont="1" applyFill="1" applyBorder="1" applyAlignment="1">
      <alignment vertical="top" wrapText="1"/>
    </xf>
    <xf numFmtId="0" fontId="20"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cellXfs>
  <cellStyles count="27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3"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0"/>
  <sheetViews>
    <sheetView showGridLines="0" topLeftCell="B40" zoomScale="150" zoomScaleNormal="150" zoomScalePageLayoutView="150" workbookViewId="0">
      <selection activeCell="B68" sqref="A68:XFD68"/>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7" t="s">
        <v>837</v>
      </c>
      <c r="B10" s="217"/>
      <c r="C10" s="216"/>
    </row>
    <row r="12" spans="1:8" ht="25">
      <c r="C12" s="226">
        <v>42125</v>
      </c>
      <c r="D12" s="227"/>
    </row>
    <row r="16" spans="1:8" ht="30" customHeight="1">
      <c r="B16" s="223" t="s">
        <v>894</v>
      </c>
      <c r="C16" s="223"/>
      <c r="G16" s="224" t="s">
        <v>0</v>
      </c>
      <c r="H16" s="225"/>
    </row>
    <row r="17" spans="1:8" ht="30">
      <c r="A17" s="2" t="s">
        <v>1</v>
      </c>
      <c r="B17" s="2" t="s">
        <v>2</v>
      </c>
      <c r="C17" s="207" t="s">
        <v>892</v>
      </c>
      <c r="D17" s="3" t="s">
        <v>3</v>
      </c>
      <c r="E17" s="207" t="s">
        <v>242</v>
      </c>
      <c r="F17" s="2" t="s">
        <v>4</v>
      </c>
      <c r="G17" s="4" t="s">
        <v>5</v>
      </c>
      <c r="H17" s="5" t="s">
        <v>6</v>
      </c>
    </row>
    <row r="18" spans="1:8" ht="30">
      <c r="A18" s="6" t="s">
        <v>7</v>
      </c>
      <c r="B18" s="7" t="s">
        <v>8</v>
      </c>
      <c r="C18" s="162"/>
      <c r="D18" s="154"/>
      <c r="E18" s="7"/>
      <c r="F18" s="7"/>
      <c r="G18" s="8" t="str">
        <f>IF(OR(Table1[[#This Row],[English]]&lt;&gt;"",Table1[[#This Row],[Français]]&lt;&gt;""),Table1[[#This Row],[Français]]&amp;"//"&amp;Table1[[#This Row],[English]],"")</f>
        <v>I. Information générale sur le projet //General information</v>
      </c>
      <c r="H18" s="9" t="str">
        <f t="shared" ref="H18:H94" si="0">IF(C18&lt;&gt;"",IF(D18&lt;&gt;"",C18&amp;"--"&amp;D18,C18),"")</f>
        <v/>
      </c>
    </row>
    <row r="19" spans="1:8" ht="31" customHeight="1">
      <c r="A19" s="67" t="s">
        <v>9</v>
      </c>
      <c r="B19" s="67" t="s">
        <v>10</v>
      </c>
      <c r="C19" s="163" t="s">
        <v>315</v>
      </c>
      <c r="D19" s="71" t="s">
        <v>839</v>
      </c>
      <c r="E19" s="71" t="s">
        <v>840</v>
      </c>
      <c r="F19" s="68"/>
      <c r="G19" s="69" t="str">
        <f>IF(OR(Table1[[#This Row],[English]]&lt;&gt;"",Table1[[#This Row],[Français]]&lt;&gt;""),Table1[[#This Row],[Français]]&amp;"//"&amp;Table1[[#This Row],[English]],"")</f>
        <v>Pays//Country</v>
      </c>
      <c r="H19" s="70" t="str">
        <f t="shared" si="0"/>
        <v>Cambodia--Title</v>
      </c>
    </row>
    <row r="20" spans="1:8" ht="60">
      <c r="A20" s="67" t="s">
        <v>11</v>
      </c>
      <c r="B20" s="71" t="s">
        <v>12</v>
      </c>
      <c r="C20" s="163" t="s">
        <v>841</v>
      </c>
      <c r="D20" s="71" t="s">
        <v>842</v>
      </c>
      <c r="E20" s="71" t="s">
        <v>843</v>
      </c>
      <c r="F20" s="68"/>
      <c r="G20" s="69" t="str">
        <f>IF(OR(Table1[[#This Row],[English]]&lt;&gt;"",Table1[[#This Row],[Français]]&lt;&gt;""),Table1[[#This Row],[Français]]&amp;"//"&amp;Table1[[#This Row],[English]],"")</f>
        <v>Nom de la société locale//Local company name</v>
      </c>
      <c r="H20" s="70" t="str">
        <f t="shared" si="0"/>
        <v>Global Agricultural Development (Cambodia) Co.; Ltd--Preamble</v>
      </c>
    </row>
    <row r="21" spans="1:8">
      <c r="A21" s="71" t="s">
        <v>240</v>
      </c>
      <c r="B21" s="71" t="s">
        <v>241</v>
      </c>
      <c r="C21" s="163"/>
      <c r="D21" s="71"/>
      <c r="E21" s="71"/>
      <c r="F21" s="204"/>
      <c r="G21" s="16" t="str">
        <f>IF(OR(Table1[[#This Row],[English]]&lt;&gt;"",Table1[[#This Row],[Français]]&lt;&gt;""),Table1[[#This Row],[Français]]&amp;"//"&amp;Table1[[#This Row],[English]],"")</f>
        <v>Numéro d'entreprise légal//Legal Enterprise Identifier</v>
      </c>
      <c r="H21" s="205" t="str">
        <f>IF(C21&lt;&gt;"",IF(D21&lt;&gt;"",C21&amp;"--"&amp;D21,C21),"")</f>
        <v/>
      </c>
    </row>
    <row r="22" spans="1:8" ht="45.75" customHeight="1">
      <c r="A22" s="10" t="s">
        <v>13</v>
      </c>
      <c r="B22" s="10" t="s">
        <v>14</v>
      </c>
      <c r="C22" s="164" t="s">
        <v>893</v>
      </c>
      <c r="D22" s="10" t="s">
        <v>842</v>
      </c>
      <c r="E22" s="10" t="s">
        <v>843</v>
      </c>
      <c r="F22" s="11"/>
      <c r="G22" s="12" t="str">
        <f>IF(OR(Table1[[#This Row],[English]]&lt;&gt;"",Table1[[#This Row],[Français]]&lt;&gt;""),Table1[[#This Row],[Français]]&amp;"//"&amp;Table1[[#This Row],[English]],"")</f>
        <v xml:space="preserve">Siège social //Corporate headquarters </v>
      </c>
      <c r="H22" s="13" t="str">
        <f t="shared" si="0"/>
        <v>No 1533, National road No 2, Chak Angrai Kroum Quarter, Mean Chhay District, Phnom Penh--Preamble</v>
      </c>
    </row>
    <row r="23" spans="1:8">
      <c r="A23" s="10" t="s">
        <v>15</v>
      </c>
      <c r="B23" s="10" t="s">
        <v>16</v>
      </c>
      <c r="C23" s="164"/>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7" t="s">
        <v>17</v>
      </c>
      <c r="B24" s="71" t="s">
        <v>192</v>
      </c>
      <c r="C24" s="163"/>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240</v>
      </c>
      <c r="B25" s="71" t="s">
        <v>241</v>
      </c>
      <c r="C25" s="163"/>
      <c r="D25" s="71"/>
      <c r="E25" s="71"/>
      <c r="F25" s="204"/>
      <c r="G25" s="16" t="str">
        <f>IF(OR(Table1[[#This Row],[English]]&lt;&gt;"",Table1[[#This Row],[Français]]&lt;&gt;""),Table1[[#This Row],[Français]]&amp;"//"&amp;Table1[[#This Row],[English]],"")</f>
        <v>Numéro d'entreprise légal//Legal Enterprise Identifier</v>
      </c>
      <c r="H25" s="205" t="str">
        <f>IF(C25&lt;&gt;"",IF(D25&lt;&gt;"",C25&amp;"--"&amp;D25,C25),"")</f>
        <v/>
      </c>
    </row>
    <row r="26" spans="1:8">
      <c r="A26" s="67" t="s">
        <v>18</v>
      </c>
      <c r="B26" s="67" t="s">
        <v>19</v>
      </c>
      <c r="C26" s="165"/>
      <c r="D26" s="155"/>
      <c r="E26" s="155"/>
      <c r="F26" s="68"/>
      <c r="G26" s="69" t="str">
        <f>IF(OR(Table1[[#This Row],[English]]&lt;&gt;"",Table1[[#This Row],[Français]]&lt;&gt;""),Table1[[#This Row],[Français]]&amp;"//"&amp;Table1[[#This Row],[English]],"")</f>
        <v>Site web de l’entreprise//Company website</v>
      </c>
      <c r="H26" s="70" t="str">
        <f t="shared" si="0"/>
        <v/>
      </c>
    </row>
    <row r="27" spans="1:8" ht="30">
      <c r="A27" s="71" t="s">
        <v>203</v>
      </c>
      <c r="B27" s="72" t="s">
        <v>20</v>
      </c>
      <c r="C27" s="163" t="s">
        <v>740</v>
      </c>
      <c r="D27" s="71" t="s">
        <v>844</v>
      </c>
      <c r="E27" s="71" t="s">
        <v>845</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Concession--Art. 1</v>
      </c>
    </row>
    <row r="28" spans="1:8">
      <c r="A28" s="67" t="s">
        <v>21</v>
      </c>
      <c r="B28" s="67" t="s">
        <v>22</v>
      </c>
      <c r="C28" s="163"/>
      <c r="D28" s="155"/>
      <c r="E28" s="155"/>
      <c r="F28" s="68"/>
      <c r="G28" s="69" t="str">
        <f>IF(OR(Table1[[#This Row],[English]]&lt;&gt;"",Table1[[#This Row],[Français]]&lt;&gt;""),Table1[[#This Row],[Français]]&amp;"//"&amp;Table1[[#This Row],[English]],"")</f>
        <v>Nom du projet//Project title</v>
      </c>
      <c r="H28" s="70" t="str">
        <f t="shared" si="0"/>
        <v/>
      </c>
    </row>
    <row r="29" spans="1:8">
      <c r="A29" s="71" t="s">
        <v>200</v>
      </c>
      <c r="B29" s="72" t="s">
        <v>23</v>
      </c>
      <c r="C29" s="163"/>
      <c r="D29" s="71"/>
      <c r="E29" s="71"/>
      <c r="F29" s="68"/>
      <c r="G29" s="69" t="str">
        <f>IF(OR(Table1[[#This Row],[English]]&lt;&gt;"",Table1[[#This Row],[Français]]&lt;&gt;""),Table1[[#This Row],[Français]]&amp;"//"&amp;Table1[[#This Row],[English]],"")</f>
        <v>Nom du gisement/ champ de pétrole/ gas//Name and/or number of field, block or deposit</v>
      </c>
      <c r="H29" s="70" t="str">
        <f>IF(C29&lt;&gt;"",IF(D29&lt;&gt;"",C29&amp;"--"&amp;D29,C29),"")</f>
        <v/>
      </c>
    </row>
    <row r="30" spans="1:8" ht="55" customHeight="1">
      <c r="A30" s="76" t="s">
        <v>205</v>
      </c>
      <c r="B30" s="111" t="s">
        <v>204</v>
      </c>
      <c r="C30" s="163" t="s">
        <v>846</v>
      </c>
      <c r="D30" s="71" t="s">
        <v>844</v>
      </c>
      <c r="E30" s="71" t="s">
        <v>845</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IF(C30&lt;&gt;"",IF(D30&lt;&gt;"",C30&amp;"--"&amp;D30,C30),"")</f>
        <v>District of Sambour, Kratie province--Art. 1</v>
      </c>
    </row>
    <row r="31" spans="1:8">
      <c r="A31" s="67" t="s">
        <v>24</v>
      </c>
      <c r="B31" s="67" t="s">
        <v>25</v>
      </c>
      <c r="C31" s="165"/>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3"/>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5"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4"/>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4"/>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4"/>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6"/>
      <c r="D37" s="156"/>
      <c r="E37" s="156"/>
      <c r="F37" s="15"/>
      <c r="G37" s="16" t="str">
        <f>IF(OR(Table1[[#This Row],[English]]&lt;&gt;"",Table1[[#This Row],[Français]]&lt;&gt;""),Table1[[#This Row],[Français]]&amp;"//"&amp;Table1[[#This Row],[English]],"")</f>
        <v/>
      </c>
      <c r="H37" s="17" t="str">
        <f t="shared" si="0"/>
        <v/>
      </c>
    </row>
    <row r="38" spans="1:8" ht="30">
      <c r="A38" s="206" t="s">
        <v>36</v>
      </c>
      <c r="B38" s="206" t="s">
        <v>37</v>
      </c>
      <c r="C38" s="167"/>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7"/>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3" t="s">
        <v>841</v>
      </c>
      <c r="D40" s="71" t="s">
        <v>847</v>
      </c>
      <c r="E40" s="71" t="s">
        <v>848</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Global Agricultural Development (Cambodia) Co.; Ltd--Signature page</v>
      </c>
    </row>
    <row r="41" spans="1:8">
      <c r="A41" s="71" t="s">
        <v>240</v>
      </c>
      <c r="B41" s="71" t="s">
        <v>241</v>
      </c>
      <c r="C41" s="163"/>
      <c r="D41" s="71"/>
      <c r="E41" s="71"/>
      <c r="F41" s="204"/>
      <c r="G41" s="16" t="str">
        <f>IF(OR(Table1[[#This Row],[English]]&lt;&gt;"",Table1[[#This Row],[Français]]&lt;&gt;""),Table1[[#This Row],[Français]]&amp;"//"&amp;Table1[[#This Row],[English]],"")</f>
        <v>Numéro d'entreprise légal//Legal Enterprise Identifier</v>
      </c>
      <c r="H41" s="205" t="str">
        <f>IF(C41&lt;&gt;"",IF(D41&lt;&gt;"",C41&amp;"--"&amp;D41,C41),"")</f>
        <v/>
      </c>
    </row>
    <row r="42" spans="1:8" ht="30">
      <c r="A42" s="10" t="s">
        <v>42</v>
      </c>
      <c r="B42" s="10" t="s">
        <v>43</v>
      </c>
      <c r="C42" s="164"/>
      <c r="D42" s="105"/>
      <c r="E42" s="105"/>
      <c r="F42" s="22"/>
      <c r="G42" s="23" t="str">
        <f>IF(OR(Table1[[#This Row],[English]]&lt;&gt;"",Table1[[#This Row],[Français]]&lt;&gt;""),Table1[[#This Row],[Français]]&amp;"//"&amp;Table1[[#This Row],[English]],"")</f>
        <v>Signataire(s), société //Signatories, company</v>
      </c>
      <c r="H42" s="13" t="str">
        <f t="shared" si="0"/>
        <v/>
      </c>
    </row>
    <row r="43" spans="1:8" ht="42" customHeight="1">
      <c r="A43" s="67" t="s">
        <v>44</v>
      </c>
      <c r="B43" s="67" t="s">
        <v>45</v>
      </c>
      <c r="C43" s="163" t="s">
        <v>895</v>
      </c>
      <c r="D43" s="76" t="s">
        <v>847</v>
      </c>
      <c r="E43" s="76" t="s">
        <v>848</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The Ministry of Agriculture, Forestry and Fisheries--Signature page</v>
      </c>
    </row>
    <row r="44" spans="1:8" ht="30">
      <c r="A44" s="10" t="s">
        <v>46</v>
      </c>
      <c r="B44" s="10" t="s">
        <v>47</v>
      </c>
      <c r="C44" s="164"/>
      <c r="D44" s="10"/>
      <c r="E44" s="10"/>
      <c r="F44" s="22"/>
      <c r="G44" s="23" t="str">
        <f>IF(OR(Table1[[#This Row],[English]]&lt;&gt;"",Table1[[#This Row],[Français]]&lt;&gt;""),Table1[[#This Row],[Français]]&amp;"//"&amp;Table1[[#This Row],[English]],"")</f>
        <v>Signataire(s), Etat//Signatories, State</v>
      </c>
      <c r="H44" s="13" t="str">
        <f t="shared" si="0"/>
        <v/>
      </c>
    </row>
    <row r="45" spans="1:8" ht="47" customHeight="1">
      <c r="A45" s="67" t="s">
        <v>48</v>
      </c>
      <c r="B45" s="67" t="s">
        <v>49</v>
      </c>
      <c r="C45" s="165"/>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177</v>
      </c>
      <c r="B46" s="61" t="s">
        <v>169</v>
      </c>
      <c r="C46" s="168"/>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22">
        <v>38791</v>
      </c>
      <c r="D47" s="219" t="s">
        <v>847</v>
      </c>
      <c r="E47" s="219" t="s">
        <v>848</v>
      </c>
      <c r="F47" s="73"/>
      <c r="G47" s="74" t="str">
        <f>IF(OR(Table1[[#This Row],[English]]&lt;&gt;"",Table1[[#This Row],[Français]]&lt;&gt;""),Table1[[#This Row],[Français]]&amp;"//"&amp;Table1[[#This Row],[English]],"")</f>
        <v>Date de signature du contrat//Date of contract signature</v>
      </c>
      <c r="H47" s="70" t="str">
        <f t="shared" si="0"/>
        <v>38791--Signature page</v>
      </c>
    </row>
    <row r="48" spans="1:8" ht="30">
      <c r="A48" s="71" t="s">
        <v>52</v>
      </c>
      <c r="B48" s="67" t="s">
        <v>53</v>
      </c>
      <c r="C48" s="165">
        <f>IF(C47&lt;&gt;"",YEAR(C47),"")</f>
        <v>2006</v>
      </c>
      <c r="D48" s="71" t="s">
        <v>847</v>
      </c>
      <c r="E48" s="219" t="s">
        <v>848</v>
      </c>
      <c r="F48" s="73"/>
      <c r="G48" s="74" t="str">
        <f>IF(OR(Table1[[#This Row],[English]]&lt;&gt;"",Table1[[#This Row],[Français]]&lt;&gt;""),Table1[[#This Row],[Français]]&amp;"//"&amp;Table1[[#This Row],[English]],"")</f>
        <v>Année de signature du contrat//Year of contract signature</v>
      </c>
      <c r="H48" s="70" t="str">
        <f t="shared" si="0"/>
        <v>2006--Signature page</v>
      </c>
    </row>
    <row r="49" spans="1:8" ht="61.5" customHeight="1">
      <c r="A49" s="67" t="s">
        <v>54</v>
      </c>
      <c r="B49" s="67" t="s">
        <v>55</v>
      </c>
      <c r="C49" s="163" t="s">
        <v>896</v>
      </c>
      <c r="D49" s="76" t="s">
        <v>851</v>
      </c>
      <c r="E49" s="71" t="s">
        <v>852</v>
      </c>
      <c r="F49" s="73"/>
      <c r="G49" s="74" t="str">
        <f>IF(OR(Table1[[#This Row],[English]]&lt;&gt;"",Table1[[#This Row],[Français]]&lt;&gt;""),Table1[[#This Row],[Français]]&amp;"//"&amp;Table1[[#This Row],[English]],"")</f>
        <v>Durée//Term</v>
      </c>
      <c r="H49" s="70" t="str">
        <f t="shared" si="0"/>
        <v>70 years, expiring on 15 March 2076--Arts. 2.1, 18</v>
      </c>
    </row>
    <row r="50" spans="1:8" ht="222.75" customHeight="1">
      <c r="A50" s="10" t="s">
        <v>56</v>
      </c>
      <c r="B50" s="10" t="s">
        <v>57</v>
      </c>
      <c r="C50" s="164" t="s">
        <v>901</v>
      </c>
      <c r="D50" s="10" t="s">
        <v>849</v>
      </c>
      <c r="E50" s="10" t="s">
        <v>850</v>
      </c>
      <c r="F50" s="22"/>
      <c r="G50" s="23" t="str">
        <f>IF(OR(Table1[[#This Row],[English]]&lt;&gt;"",Table1[[#This Row],[Français]]&lt;&gt;""),Table1[[#This Row],[Français]]&amp;"//"&amp;Table1[[#This Row],[English]],"")</f>
        <v xml:space="preserve">Conditions de renouvellement//Conditions for renewal </v>
      </c>
      <c r="H50" s="13" t="str">
        <f t="shared" si="0"/>
        <v>Global Agricultural Development (Cambodia) shall have the right to renew the agreement after expiration of the 70-year period. 1 year prior to the expiration of the agreement, Global Agricultural Development (Cambodia) may ask to renew the investment. This renewal can only be made once an approval has been obtained from the Government at the request of the Ministry of Agriculture, Forestry and Fisheries, based upon the previous performance of Global Agricultural Development (Cambodia) and according to the mutual agreement from the Ministry of Agriculture, Forestry and Fisheries on the terms and conditions of the new contract.--Art. 2.2</v>
      </c>
    </row>
    <row r="51" spans="1:8" ht="42" customHeight="1">
      <c r="A51" s="71" t="s">
        <v>228</v>
      </c>
      <c r="B51" s="72" t="s">
        <v>922</v>
      </c>
      <c r="C51" s="163" t="s">
        <v>921</v>
      </c>
      <c r="D51" s="71" t="s">
        <v>853</v>
      </c>
      <c r="E51" s="71" t="s">
        <v>854</v>
      </c>
      <c r="F51" s="73"/>
      <c r="G51" s="74" t="str">
        <f>IF(OR(Table1[[#This Row],[English]]&lt;&gt;"",Table1[[#This Row],[Français]]&lt;&gt;""),Table1[[#This Row],[Français]]&amp;"//"&amp;Table1[[#This Row],[English]],"")</f>
        <v>Ressource(s) concernées (type de minéral, pétrole, gas, bois) ou les récoltes/denrées//Resource(s)</v>
      </c>
      <c r="H51" s="70" t="str">
        <f t="shared" si="0"/>
        <v>Teak Tree (Tectona grandis)--Arts. 1, 3.1.1</v>
      </c>
    </row>
    <row r="52" spans="1:8" ht="42" customHeight="1">
      <c r="A52" s="119" t="s">
        <v>217</v>
      </c>
      <c r="B52" s="119" t="s">
        <v>216</v>
      </c>
      <c r="C52" s="180" t="s">
        <v>855</v>
      </c>
      <c r="D52" s="56" t="s">
        <v>844</v>
      </c>
      <c r="E52" s="56" t="s">
        <v>845</v>
      </c>
      <c r="F52" s="119"/>
      <c r="G52" s="126" t="str">
        <f>IF(OR(Table1[[#This Row],[English]]&lt;&gt;"",Table1[[#This Row],[Français]]&lt;&gt;""),Table1[[#This Row],[Français]]&amp;"//"&amp;Table1[[#This Row],[English]],"")</f>
        <v>Superficie de la concession//Size of the concession area</v>
      </c>
      <c r="H52" s="127" t="str">
        <f>IF(C52&lt;&gt;"",IF(D52&lt;&gt;"",C52&amp;"--"&amp;D52,C52),"")</f>
        <v>9,800 ha--Art. 1</v>
      </c>
    </row>
    <row r="53" spans="1:8">
      <c r="A53" s="14"/>
      <c r="B53" s="14"/>
      <c r="C53" s="166"/>
      <c r="D53" s="156"/>
      <c r="E53" s="156"/>
      <c r="F53" s="15"/>
      <c r="G53" s="16" t="str">
        <f>IF(OR(Table1[[#This Row],[English]]&lt;&gt;"",Table1[[#This Row],[Français]]&lt;&gt;""),Table1[[#This Row],[Français]]&amp;"//"&amp;Table1[[#This Row],[English]],"")</f>
        <v/>
      </c>
      <c r="H53" s="17" t="str">
        <f t="shared" si="0"/>
        <v/>
      </c>
    </row>
    <row r="54" spans="1:8" ht="49.5" customHeight="1">
      <c r="A54" s="62" t="s">
        <v>58</v>
      </c>
      <c r="B54" s="63" t="s">
        <v>191</v>
      </c>
      <c r="C54" s="167"/>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06.5" customHeight="1">
      <c r="A55" s="75" t="s">
        <v>59</v>
      </c>
      <c r="B55" s="67" t="s">
        <v>60</v>
      </c>
      <c r="C55" s="163" t="s">
        <v>905</v>
      </c>
      <c r="D55" s="155" t="s">
        <v>856</v>
      </c>
      <c r="E55" s="155" t="s">
        <v>857</v>
      </c>
      <c r="F55" s="68"/>
      <c r="G55" s="69" t="str">
        <f>IF(OR(Table1[[#This Row],[English]]&lt;&gt;"",Table1[[#This Row],[Français]]&lt;&gt;""),Table1[[#This Row],[Français]]&amp;"//"&amp;Table1[[#This Row],[English]],"")</f>
        <v>Convention de développement local//Local development agreement</v>
      </c>
      <c r="H55" s="70" t="str">
        <f t="shared" si="0"/>
        <v>Global Agricultural Development (Cambodia) must focus on the livelihood, health and education of its employees, workers and their families by building suitable houses, hospitals, temples, schools and recreation centers--Art. 7.5</v>
      </c>
    </row>
    <row r="56" spans="1:8" ht="99.75" customHeight="1">
      <c r="A56" s="10" t="s">
        <v>229</v>
      </c>
      <c r="B56" s="10" t="s">
        <v>61</v>
      </c>
      <c r="C56" s="164" t="s">
        <v>858</v>
      </c>
      <c r="D56" s="10" t="s">
        <v>859</v>
      </c>
      <c r="E56" s="10" t="s">
        <v>860</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The lands which contain national and cultural heritage sites, mountains, reservoirs, traditional forests and other natural protected areas shall be excluded from the company's use and preserved in their natural conditions--Art. 1.3</v>
      </c>
    </row>
    <row r="57" spans="1:8" ht="135">
      <c r="A57" s="71" t="s">
        <v>234</v>
      </c>
      <c r="B57" s="67" t="s">
        <v>62</v>
      </c>
      <c r="C57" s="163" t="s">
        <v>916</v>
      </c>
      <c r="D57" s="71" t="s">
        <v>917</v>
      </c>
      <c r="E57" s="71" t="s">
        <v>918</v>
      </c>
      <c r="F57" s="73"/>
      <c r="G57" s="74" t="str">
        <f>IF(OR(Table1[[#This Row],[English]]&lt;&gt;"",Table1[[#This Row],[Français]]&lt;&gt;""),Table1[[#This Row],[Français]]&amp;"//"&amp;Table1[[#This Row],[English]],"")</f>
        <v xml:space="preserve">Consultations communautaires requises//Requirements for community consultation </v>
      </c>
      <c r="H57" s="70" t="str">
        <f t="shared" si="0"/>
        <v>Global Agricultural Development (Cambodia) shall have coordinated, exchanged or compensated the local residents who own the land--Art. 3.2</v>
      </c>
    </row>
    <row r="58" spans="1:8" ht="24" customHeight="1">
      <c r="A58" s="10" t="s">
        <v>235</v>
      </c>
      <c r="B58" s="10" t="s">
        <v>63</v>
      </c>
      <c r="C58" s="164"/>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1" t="s">
        <v>230</v>
      </c>
      <c r="B59" s="67" t="s">
        <v>64</v>
      </c>
      <c r="C59" s="170" t="s">
        <v>902</v>
      </c>
      <c r="D59" s="71" t="s">
        <v>861</v>
      </c>
      <c r="E59" s="71" t="s">
        <v>862</v>
      </c>
      <c r="F59" s="73"/>
      <c r="G59" s="74" t="str">
        <f>IF(OR(Table1[[#This Row],[English]]&lt;&gt;"",Table1[[#This Row],[Français]]&lt;&gt;""),Table1[[#This Row],[Français]]&amp;"//"&amp;Table1[[#This Row],[English]],"")</f>
        <v>Obligations liées à l'emploi du personnel local//Local employment requirements</v>
      </c>
      <c r="H59" s="70" t="str">
        <f t="shared" si="0"/>
        <v>Global Agricultural Development (Cambodia) must use local labor. If there is no Khmer expert available, the right to hire foreign experts shall be granted following Cambodian law.--Art. 7.4</v>
      </c>
    </row>
    <row r="60" spans="1:8" ht="31.5" customHeight="1">
      <c r="A60" s="71" t="s">
        <v>232</v>
      </c>
      <c r="B60" s="67" t="s">
        <v>65</v>
      </c>
      <c r="C60" s="165"/>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4"/>
      <c r="D61" s="10"/>
      <c r="E61" s="10"/>
      <c r="F61" s="22"/>
      <c r="G61" s="23" t="str">
        <f>IF(OR(Table1[[#This Row],[English]]&lt;&gt;"",Table1[[#This Row],[Français]]&lt;&gt;""),Table1[[#This Row],[Français]]&amp;"//"&amp;Table1[[#This Row],[English]],"")</f>
        <v>Assurance//Insurance</v>
      </c>
      <c r="H61" s="13" t="str">
        <f t="shared" si="0"/>
        <v/>
      </c>
    </row>
    <row r="62" spans="1:8" ht="124" customHeight="1">
      <c r="A62" s="76" t="s">
        <v>206</v>
      </c>
      <c r="B62" s="76" t="s">
        <v>207</v>
      </c>
      <c r="C62" s="170" t="s">
        <v>919</v>
      </c>
      <c r="D62" s="76" t="s">
        <v>917</v>
      </c>
      <c r="E62" s="76" t="s">
        <v>918</v>
      </c>
      <c r="F62" s="77"/>
      <c r="G62" s="78" t="str">
        <f>IF(OR(Table1[[#This Row],[English]]&lt;&gt;"",Table1[[#This Row],[Français]]&lt;&gt;""),Table1[[#This Row],[Français]]&amp;"//"&amp;Table1[[#This Row],[English]],"")</f>
        <v>Réinstallation des habitants//Resettlement</v>
      </c>
      <c r="H62" s="79" t="str">
        <f t="shared" si="0"/>
        <v>Global Agricultural Development (Cambodia) shall make best use of the concession area and the lands involving local residents within 5 years from the date this agreement is signed, and it shall have coordinated, exchanged and compensated the local residents who own the land, accordng to the following plan: year 1: 1,800 hectares; years 2-5: 2,000 hectares per year. --Art. 3.2</v>
      </c>
    </row>
    <row r="63" spans="1:8" ht="34.5" customHeight="1">
      <c r="A63" s="132" t="s">
        <v>231</v>
      </c>
      <c r="B63" s="132" t="s">
        <v>222</v>
      </c>
      <c r="C63" s="171"/>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89.25" customHeight="1">
      <c r="A64" s="124" t="s">
        <v>184</v>
      </c>
      <c r="B64" s="10" t="s">
        <v>183</v>
      </c>
      <c r="C64" s="164" t="s">
        <v>905</v>
      </c>
      <c r="D64" s="10" t="s">
        <v>856</v>
      </c>
      <c r="E64" s="10" t="s">
        <v>857</v>
      </c>
      <c r="F64" s="10"/>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Global Agricultural Development (Cambodia) must focus on the livelihood, health and education of its employees, workers and their families by building suitable houses, hospitals, temples, schools and recreation centers--Art. 7.5</v>
      </c>
    </row>
    <row r="65" spans="1:8" ht="53" customHeight="1">
      <c r="A65" s="83" t="s">
        <v>186</v>
      </c>
      <c r="B65" s="82" t="s">
        <v>185</v>
      </c>
      <c r="C65" s="173"/>
      <c r="D65" s="76"/>
      <c r="E65" s="76"/>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
      </c>
    </row>
    <row r="66" spans="1:8" ht="163.5" customHeight="1">
      <c r="A66" s="145" t="s">
        <v>188</v>
      </c>
      <c r="B66" s="146" t="s">
        <v>189</v>
      </c>
      <c r="C66" s="174" t="s">
        <v>920</v>
      </c>
      <c r="D66" s="147" t="s">
        <v>863</v>
      </c>
      <c r="E66" s="147" t="s">
        <v>864</v>
      </c>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If during the implementation of the investment project any land conflict between Global Agricultural Development (Cambodia) and local residents/people arises on the concession land, competent authorities have the right and obligation to suspend the investment activities on the concession in order to solve the problems and protect the interests of people. In any conflict that occurs between the military agency and local residents/people, priority is to be given to the residents/people in resolving the conflict.--Art. 6.2</v>
      </c>
    </row>
    <row r="67" spans="1:8" ht="61.5" customHeight="1">
      <c r="A67" s="123" t="s">
        <v>215</v>
      </c>
      <c r="B67" s="119" t="s">
        <v>214</v>
      </c>
      <c r="C67" s="169"/>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c r="A68" s="24"/>
      <c r="B68" s="24"/>
      <c r="C68" s="181"/>
      <c r="D68" s="193"/>
      <c r="E68" s="193"/>
      <c r="F68" s="15"/>
      <c r="G68" s="16" t="str">
        <f>IF(OR(Table1[[#This Row],[English]]&lt;&gt;"",Table1[[#This Row],[Français]]&lt;&gt;""),Table1[[#This Row],[Français]]&amp;"//"&amp;Table1[[#This Row],[English]],"")</f>
        <v/>
      </c>
      <c r="H68" s="25" t="str">
        <f t="shared" si="0"/>
        <v/>
      </c>
    </row>
    <row r="69" spans="1:8" ht="29" customHeight="1">
      <c r="A69" s="62" t="s">
        <v>68</v>
      </c>
      <c r="B69" s="26" t="s">
        <v>69</v>
      </c>
      <c r="C69" s="167"/>
      <c r="D69" s="157"/>
      <c r="E69" s="157"/>
      <c r="F69" s="18"/>
      <c r="G69" s="19" t="str">
        <f>IF(OR(Table1[[#This Row],[English]]&lt;&gt;"",Table1[[#This Row],[Français]]&lt;&gt;""),Table1[[#This Row],[Français]]&amp;"//"&amp;Table1[[#This Row],[English]],"")</f>
        <v>3. Obligations financières du détenteur du titre//3. Developer's financial obligations</v>
      </c>
      <c r="H69" s="20" t="str">
        <f t="shared" si="0"/>
        <v/>
      </c>
    </row>
    <row r="70" spans="1:8" ht="139.5" customHeight="1">
      <c r="A70" s="84" t="s">
        <v>70</v>
      </c>
      <c r="B70" s="85" t="s">
        <v>71</v>
      </c>
      <c r="C70" s="220" t="s">
        <v>899</v>
      </c>
      <c r="D70" s="221" t="s">
        <v>865</v>
      </c>
      <c r="E70" s="151" t="s">
        <v>874</v>
      </c>
      <c r="F70" s="86"/>
      <c r="G70" s="87" t="str">
        <f>IF(OR(Table1[[#This Row],[English]]&lt;&gt;"",Table1[[#This Row],[Français]]&lt;&gt;""),Table1[[#This Row],[Français]]&amp;"//"&amp;Table1[[#This Row],[English]],"")</f>
        <v>Taxe minière / redevance//Mining tax / royalty tax</v>
      </c>
      <c r="H70" s="88" t="str">
        <f t="shared" si="0"/>
        <v>Before clearing the land for the development activities, Global Agricultural Development (Cambodia) shall obtain approval from the Ministry of Agriculture, Forestry and Fisheries for the logging, processing or transporting of trees found on the lands and pay royalties and premiums to the Ministry of Agriculture, Forestry and Fisheries in accordance with the principles and Forestry Law in force--Art. 16.1</v>
      </c>
    </row>
    <row r="71" spans="1:8" ht="75.75" customHeight="1">
      <c r="A71" s="84" t="s">
        <v>72</v>
      </c>
      <c r="B71" s="85" t="s">
        <v>73</v>
      </c>
      <c r="C71" s="175" t="s">
        <v>903</v>
      </c>
      <c r="D71" s="151" t="s">
        <v>866</v>
      </c>
      <c r="E71" s="151" t="s">
        <v>867</v>
      </c>
      <c r="F71" s="86"/>
      <c r="G71" s="87" t="str">
        <f>IF(OR(Table1[[#This Row],[English]]&lt;&gt;"",Table1[[#This Row],[Français]]&lt;&gt;""),Table1[[#This Row],[Français]]&amp;"//"&amp;Table1[[#This Row],[English]],"")</f>
        <v>Impôt sur les bénéfices: taux//Income tax: rate</v>
      </c>
      <c r="H71" s="88" t="str">
        <f t="shared" si="0"/>
        <v>Global Agricultural Development (Cambodia) shall be obliged to pay taxes to the State in accordance with Cambodian law--Art. 4.4</v>
      </c>
    </row>
    <row r="72" spans="1:8">
      <c r="A72" s="85" t="s">
        <v>223</v>
      </c>
      <c r="B72" s="85" t="s">
        <v>74</v>
      </c>
      <c r="C72" s="176"/>
      <c r="D72" s="159"/>
      <c r="E72" s="159"/>
      <c r="F72" s="86"/>
      <c r="G72" s="87" t="str">
        <f>IF(OR(Table1[[#This Row],[English]]&lt;&gt;"",Table1[[#This Row],[Français]]&lt;&gt;""),Table1[[#This Row],[Français]]&amp;"//"&amp;Table1[[#This Row],[English]],"")</f>
        <v>Impôt sur les bénéfices: exonération//Income tax: exemptions</v>
      </c>
      <c r="H72" s="88" t="str">
        <f t="shared" si="0"/>
        <v/>
      </c>
    </row>
    <row r="73" spans="1:8" ht="45">
      <c r="A73" s="85" t="s">
        <v>224</v>
      </c>
      <c r="B73" s="85" t="s">
        <v>75</v>
      </c>
      <c r="C73" s="176"/>
      <c r="D73" s="159"/>
      <c r="E73" s="159"/>
      <c r="F73" s="86"/>
      <c r="G73"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3" s="88" t="str">
        <f t="shared" si="0"/>
        <v/>
      </c>
    </row>
    <row r="74" spans="1:8" ht="45.75" customHeight="1">
      <c r="A74" s="106" t="s">
        <v>198</v>
      </c>
      <c r="B74" s="106" t="s">
        <v>76</v>
      </c>
      <c r="C74" s="177"/>
      <c r="D74" s="106"/>
      <c r="E74" s="106"/>
      <c r="F74" s="107"/>
      <c r="G74"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4" s="109" t="str">
        <f>IF(C74&lt;&gt;"",IF(D74&lt;&gt;"",C74&amp;"--"&amp;D74,C74),"")</f>
        <v/>
      </c>
    </row>
    <row r="75" spans="1:8" ht="34.5" customHeight="1">
      <c r="A75" s="106" t="s">
        <v>199</v>
      </c>
      <c r="B75" s="106" t="s">
        <v>77</v>
      </c>
      <c r="C75" s="177"/>
      <c r="D75" s="106"/>
      <c r="E75" s="106"/>
      <c r="F75" s="107"/>
      <c r="G75"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5" s="109" t="str">
        <f>IF(C75&lt;&gt;"",IF(D75&lt;&gt;"",C75&amp;"--"&amp;D75,C75),"")</f>
        <v/>
      </c>
    </row>
    <row r="76" spans="1:8" ht="30">
      <c r="A76" s="106" t="s">
        <v>233</v>
      </c>
      <c r="B76" s="106" t="s">
        <v>78</v>
      </c>
      <c r="C76" s="177"/>
      <c r="D76" s="106"/>
      <c r="E76" s="106"/>
      <c r="F76" s="107"/>
      <c r="G76" s="108" t="str">
        <f>IF(OR(Table1[[#This Row],[English]]&lt;&gt;"",Table1[[#This Row],[Français]]&lt;&gt;""),Table1[[#This Row],[Français]]&amp;"//"&amp;Table1[[#This Row],[English]],"")</f>
        <v>Contrat de Service - Frais du détenteur du titre défrayés  (base de calcul)//Service Agreement - Fee to developer / contractor (basis for calculation)</v>
      </c>
      <c r="H76" s="109" t="str">
        <f>IF(C76&lt;&gt;"",IF(D76&lt;&gt;"",C76&amp;"--"&amp;D76,C76),"")</f>
        <v/>
      </c>
    </row>
    <row r="77" spans="1:8" ht="26" customHeight="1">
      <c r="A77" s="89" t="s">
        <v>236</v>
      </c>
      <c r="B77" s="89" t="s">
        <v>79</v>
      </c>
      <c r="C77" s="173"/>
      <c r="D77" s="89"/>
      <c r="E77" s="89"/>
      <c r="F77" s="90"/>
      <c r="G77" s="91" t="str">
        <f>IF(OR(Table1[[#This Row],[English]]&lt;&gt;"",Table1[[#This Row],[Français]]&lt;&gt;""),Table1[[#This Row],[Français]]&amp;"//"&amp;Table1[[#This Row],[English]],"")</f>
        <v>Impôt sur les Revenus des Valeurs Mobilières (IRVM)//Capital gains tax</v>
      </c>
      <c r="H77" s="92" t="str">
        <f t="shared" si="0"/>
        <v/>
      </c>
    </row>
    <row r="78" spans="1:8" ht="26" customHeight="1">
      <c r="A78" s="128" t="s">
        <v>201</v>
      </c>
      <c r="B78" s="128" t="s">
        <v>208</v>
      </c>
      <c r="C78" s="169"/>
      <c r="D78" s="27"/>
      <c r="E78" s="27"/>
      <c r="F78" s="129"/>
      <c r="G78" s="130" t="str">
        <f>IF(OR(Table1[[#This Row],[English]]&lt;&gt;"",Table1[[#This Row],[Français]]&lt;&gt;""),Table1[[#This Row],[Français]]&amp;"//"&amp;Table1[[#This Row],[English]],"")</f>
        <v>Retenue à la source sur les intérêts et/ou dividendes//Withholding tax on payment of interest and/or dividends</v>
      </c>
      <c r="H78" s="131" t="str">
        <f>IF(C78&lt;&gt;"",IF(D78&lt;&gt;"",C78&amp;"--"&amp;D78,C78),"")</f>
        <v/>
      </c>
    </row>
    <row r="79" spans="1:8">
      <c r="A79" s="27" t="s">
        <v>80</v>
      </c>
      <c r="B79" s="27" t="s">
        <v>81</v>
      </c>
      <c r="C79" s="172"/>
      <c r="D79" s="10"/>
      <c r="E79" s="10"/>
      <c r="F79" s="29"/>
      <c r="G79" s="30" t="str">
        <f>IF(OR(Table1[[#This Row],[English]]&lt;&gt;"",Table1[[#This Row],[Français]]&lt;&gt;""),Table1[[#This Row],[Français]]&amp;"//"&amp;Table1[[#This Row],[English]],"")</f>
        <v>Retenue à la source sur les salaires des nationaux//Witholding tax on national salaries</v>
      </c>
      <c r="H79" s="32" t="str">
        <f t="shared" si="0"/>
        <v/>
      </c>
    </row>
    <row r="80" spans="1:8">
      <c r="A80" s="27" t="s">
        <v>82</v>
      </c>
      <c r="B80" s="27" t="s">
        <v>83</v>
      </c>
      <c r="C80" s="190"/>
      <c r="D80" s="10"/>
      <c r="E80" s="10"/>
      <c r="F80" s="29"/>
      <c r="G80" s="30" t="str">
        <f>IF(OR(Table1[[#This Row],[English]]&lt;&gt;"",Table1[[#This Row],[Français]]&lt;&gt;""),Table1[[#This Row],[Français]]&amp;"//"&amp;Table1[[#This Row],[English]],"")</f>
        <v>Retenue à la source sur les salaires des expatriés//Witholding tax on expatriate salaries</v>
      </c>
      <c r="H80" s="32" t="str">
        <f t="shared" si="0"/>
        <v/>
      </c>
    </row>
    <row r="81" spans="1:8" ht="30">
      <c r="A81" s="27" t="s">
        <v>84</v>
      </c>
      <c r="B81" s="27" t="s">
        <v>85</v>
      </c>
      <c r="C81" s="190"/>
      <c r="D81" s="27"/>
      <c r="E81" s="27"/>
      <c r="F81" s="29"/>
      <c r="G81" s="30" t="str">
        <f>IF(OR(Table1[[#This Row],[English]]&lt;&gt;"",Table1[[#This Row],[Français]]&lt;&gt;""),Table1[[#This Row],[Français]]&amp;"//"&amp;Table1[[#This Row],[English]],"")</f>
        <v>Retenue à la source sur les prestations de service par des entreprises non résidentes//Witholding tax on services of non-resident companies</v>
      </c>
      <c r="H81" s="31" t="str">
        <f t="shared" si="0"/>
        <v/>
      </c>
    </row>
    <row r="82" spans="1:8">
      <c r="A82" s="128" t="s">
        <v>86</v>
      </c>
      <c r="B82" s="27" t="s">
        <v>87</v>
      </c>
      <c r="C82" s="190"/>
      <c r="D82" s="27"/>
      <c r="E82" s="27"/>
      <c r="F82" s="29"/>
      <c r="G82" s="30" t="str">
        <f>IF(OR(Table1[[#This Row],[English]]&lt;&gt;"",Table1[[#This Row],[Français]]&lt;&gt;""),Table1[[#This Row],[Français]]&amp;"//"&amp;Table1[[#This Row],[English]],"")</f>
        <v>Retenue à la source sur les loyers des immeubles//Witholding tax on rent</v>
      </c>
      <c r="H82" s="31" t="str">
        <f t="shared" si="0"/>
        <v/>
      </c>
    </row>
    <row r="83" spans="1:8">
      <c r="A83" s="27" t="s">
        <v>88</v>
      </c>
      <c r="B83" s="27" t="s">
        <v>89</v>
      </c>
      <c r="C83" s="178"/>
      <c r="D83" s="27"/>
      <c r="E83" s="27"/>
      <c r="F83" s="29"/>
      <c r="G83" s="30" t="str">
        <f>IF(OR(Table1[[#This Row],[English]]&lt;&gt;"",Table1[[#This Row],[Français]]&lt;&gt;""),Table1[[#This Row],[Français]]&amp;"//"&amp;Table1[[#This Row],[English]],"")</f>
        <v>Déductibilité des frais financiers//Deductibility of expenses</v>
      </c>
      <c r="H83" s="31" t="str">
        <f t="shared" si="0"/>
        <v/>
      </c>
    </row>
    <row r="84" spans="1:8">
      <c r="A84" s="33" t="s">
        <v>90</v>
      </c>
      <c r="B84" s="27" t="s">
        <v>91</v>
      </c>
      <c r="C84" s="178"/>
      <c r="D84" s="27"/>
      <c r="E84" s="27"/>
      <c r="F84" s="29"/>
      <c r="G84" s="30" t="str">
        <f>IF(OR(Table1[[#This Row],[English]]&lt;&gt;"",Table1[[#This Row],[Français]]&lt;&gt;""),Table1[[#This Row],[Français]]&amp;"//"&amp;Table1[[#This Row],[English]],"")</f>
        <v>Méthode d’évaluation de prix //Method for evaluating price</v>
      </c>
      <c r="H84" s="31" t="str">
        <f t="shared" si="0"/>
        <v/>
      </c>
    </row>
    <row r="85" spans="1:8">
      <c r="A85" s="27" t="s">
        <v>92</v>
      </c>
      <c r="B85" s="27" t="s">
        <v>93</v>
      </c>
      <c r="C85" s="178"/>
      <c r="D85" s="27"/>
      <c r="E85" s="27"/>
      <c r="F85" s="29"/>
      <c r="G85" s="30" t="str">
        <f>IF(OR(Table1[[#This Row],[English]]&lt;&gt;"",Table1[[#This Row],[Français]]&lt;&gt;""),Table1[[#This Row],[Français]]&amp;"//"&amp;Table1[[#This Row],[English]],"")</f>
        <v>Provision pour la reconstitution des gisements//Provisions for renewing reserves</v>
      </c>
      <c r="H85" s="31" t="str">
        <f t="shared" si="0"/>
        <v/>
      </c>
    </row>
    <row r="86" spans="1:8">
      <c r="A86" s="27" t="s">
        <v>94</v>
      </c>
      <c r="B86" s="27" t="s">
        <v>95</v>
      </c>
      <c r="C86" s="178"/>
      <c r="D86" s="27"/>
      <c r="E86" s="27"/>
      <c r="F86" s="29"/>
      <c r="G86" s="30" t="str">
        <f>IF(OR(Table1[[#This Row],[English]]&lt;&gt;"",Table1[[#This Row],[Français]]&lt;&gt;""),Table1[[#This Row],[Français]]&amp;"//"&amp;Table1[[#This Row],[English]],"")</f>
        <v>Crédit d'investissement//Investment credit</v>
      </c>
      <c r="H86" s="31" t="str">
        <f t="shared" si="0"/>
        <v/>
      </c>
    </row>
    <row r="87" spans="1:8" ht="17.25" customHeight="1">
      <c r="A87" s="27" t="s">
        <v>96</v>
      </c>
      <c r="B87" s="27" t="s">
        <v>97</v>
      </c>
      <c r="C87" s="179"/>
      <c r="D87" s="27"/>
      <c r="E87" s="27"/>
      <c r="F87" s="29"/>
      <c r="G87" s="30" t="str">
        <f>IF(OR(Table1[[#This Row],[English]]&lt;&gt;"",Table1[[#This Row],[Français]]&lt;&gt;""),Table1[[#This Row],[Français]]&amp;"//"&amp;Table1[[#This Row],[English]],"")</f>
        <v>Droits de douane en phase de recherche//Custom duties during exploration phase</v>
      </c>
      <c r="H87" s="31" t="str">
        <f t="shared" si="0"/>
        <v/>
      </c>
    </row>
    <row r="88" spans="1:8">
      <c r="A88" s="27" t="s">
        <v>98</v>
      </c>
      <c r="B88" s="27" t="s">
        <v>99</v>
      </c>
      <c r="C88" s="178"/>
      <c r="D88" s="27"/>
      <c r="E88" s="27"/>
      <c r="F88" s="29"/>
      <c r="G88" s="30" t="str">
        <f>IF(OR(Table1[[#This Row],[English]]&lt;&gt;"",Table1[[#This Row],[Français]]&lt;&gt;""),Table1[[#This Row],[Français]]&amp;"//"&amp;Table1[[#This Row],[English]],"")</f>
        <v>Droits de douane en phase de construction//Custom duties during construction phase</v>
      </c>
      <c r="H88" s="31" t="str">
        <f t="shared" si="0"/>
        <v/>
      </c>
    </row>
    <row r="89" spans="1:8">
      <c r="A89" s="27" t="s">
        <v>100</v>
      </c>
      <c r="B89" s="27" t="s">
        <v>218</v>
      </c>
      <c r="C89" s="178"/>
      <c r="D89" s="27"/>
      <c r="E89" s="27"/>
      <c r="F89" s="29"/>
      <c r="G89" s="30" t="str">
        <f>IF(OR(Table1[[#This Row],[English]]&lt;&gt;"",Table1[[#This Row],[Français]]&lt;&gt;""),Table1[[#This Row],[Français]]&amp;"//"&amp;Table1[[#This Row],[English]],"")</f>
        <v>Droits de douane en phase d'exploitation//Custum duties during operation phase</v>
      </c>
      <c r="H89" s="31" t="str">
        <f t="shared" si="0"/>
        <v/>
      </c>
    </row>
    <row r="90" spans="1:8" ht="84" customHeight="1">
      <c r="A90" s="27" t="s">
        <v>101</v>
      </c>
      <c r="B90" s="27" t="s">
        <v>102</v>
      </c>
      <c r="C90" s="178" t="s">
        <v>904</v>
      </c>
      <c r="D90" s="27" t="s">
        <v>868</v>
      </c>
      <c r="E90" s="27" t="s">
        <v>857</v>
      </c>
      <c r="F90" s="29"/>
      <c r="G90" s="30" t="str">
        <f>IF(OR(Table1[[#This Row],[English]]&lt;&gt;"",Table1[[#This Row],[Français]]&lt;&gt;""),Table1[[#This Row],[Français]]&amp;"//"&amp;Table1[[#This Row],[English]],"")</f>
        <v>Droits de douane pour le matériel de traitement//Custom duties on processing equipment</v>
      </c>
      <c r="H90" s="31" t="str">
        <f t="shared" si="0"/>
        <v>Machinery equipment, spare parts and chemical materials that are imported for the purpose of business production will incur taxes according to Cambodian law--Art. 7.9</v>
      </c>
    </row>
    <row r="91" spans="1:8">
      <c r="A91" s="27" t="s">
        <v>103</v>
      </c>
      <c r="B91" s="27" t="s">
        <v>104</v>
      </c>
      <c r="C91" s="178"/>
      <c r="D91" s="27"/>
      <c r="E91" s="27"/>
      <c r="F91" s="29"/>
      <c r="G91" s="30" t="str">
        <f>IF(OR(Table1[[#This Row],[English]]&lt;&gt;"",Table1[[#This Row],[Français]]&lt;&gt;""),Table1[[#This Row],[Français]]&amp;"//"&amp;Table1[[#This Row],[English]],"")</f>
        <v>Droits de douane pour le matériel de transformation//Custom duties on transformation equipment</v>
      </c>
      <c r="H91" s="31" t="str">
        <f t="shared" si="0"/>
        <v/>
      </c>
    </row>
    <row r="92" spans="1:8">
      <c r="A92" s="27" t="s">
        <v>105</v>
      </c>
      <c r="B92" s="27" t="s">
        <v>106</v>
      </c>
      <c r="C92" s="178"/>
      <c r="D92" s="27"/>
      <c r="E92" s="27"/>
      <c r="F92" s="29"/>
      <c r="G92" s="30" t="str">
        <f>IF(OR(Table1[[#This Row],[English]]&lt;&gt;"",Table1[[#This Row],[Français]]&lt;&gt;""),Table1[[#This Row],[Français]]&amp;"//"&amp;Table1[[#This Row],[English]],"")</f>
        <v>Droits de douane pour le matériel de transport//Custom duties on transportation equipment</v>
      </c>
      <c r="H92" s="31" t="str">
        <f t="shared" si="0"/>
        <v/>
      </c>
    </row>
    <row r="93" spans="1:8">
      <c r="A93" s="27" t="s">
        <v>107</v>
      </c>
      <c r="B93" s="27" t="s">
        <v>108</v>
      </c>
      <c r="C93" s="178"/>
      <c r="D93" s="27"/>
      <c r="E93" s="27"/>
      <c r="F93" s="29"/>
      <c r="G93" s="30" t="str">
        <f>IF(OR(Table1[[#This Row],[English]]&lt;&gt;"",Table1[[#This Row],[Français]]&lt;&gt;""),Table1[[#This Row],[Français]]&amp;"//"&amp;Table1[[#This Row],[English]],"")</f>
        <v>TVA//VAT</v>
      </c>
      <c r="H93" s="31" t="str">
        <f t="shared" si="0"/>
        <v/>
      </c>
    </row>
    <row r="94" spans="1:8" ht="50" customHeight="1">
      <c r="A94" s="27" t="s">
        <v>109</v>
      </c>
      <c r="B94" s="27" t="s">
        <v>110</v>
      </c>
      <c r="C94" s="178"/>
      <c r="D94" s="27"/>
      <c r="E94" s="27"/>
      <c r="F94" s="29"/>
      <c r="G94" s="30" t="str">
        <f>IF(OR(Table1[[#This Row],[English]]&lt;&gt;"",Table1[[#This Row],[Français]]&lt;&gt;""),Table1[[#This Row],[Français]]&amp;"//"&amp;Table1[[#This Row],[English]],"")</f>
        <v xml:space="preserve">Droits fixes d'octroi et de renouvellement des permis//Fixed fee for grant and renewal of license  </v>
      </c>
      <c r="H94" s="31" t="str">
        <f t="shared" si="0"/>
        <v/>
      </c>
    </row>
    <row r="95" spans="1:8">
      <c r="A95" s="27" t="s">
        <v>111</v>
      </c>
      <c r="B95" s="27" t="s">
        <v>112</v>
      </c>
      <c r="C95" s="178"/>
      <c r="D95" s="27"/>
      <c r="E95" s="27"/>
      <c r="F95" s="29"/>
      <c r="G95" s="30" t="str">
        <f>IF(OR(Table1[[#This Row],[English]]&lt;&gt;"",Table1[[#This Row],[Français]]&lt;&gt;""),Table1[[#This Row],[Français]]&amp;"//"&amp;Table1[[#This Row],[English]],"")</f>
        <v>Part patronale des cotisations de sécurité sociale//Social security contributions by employer</v>
      </c>
      <c r="H95" s="31" t="str">
        <f t="shared" ref="H95:H143" si="2">IF(C95&lt;&gt;"",IF(D95&lt;&gt;"",C95&amp;"--"&amp;D95,C95),"")</f>
        <v/>
      </c>
    </row>
    <row r="96" spans="1:8" ht="169.5" customHeight="1">
      <c r="A96" s="128" t="s">
        <v>113</v>
      </c>
      <c r="B96" s="128" t="s">
        <v>114</v>
      </c>
      <c r="C96" s="180" t="s">
        <v>898</v>
      </c>
      <c r="D96" s="27" t="s">
        <v>869</v>
      </c>
      <c r="E96" s="27" t="s">
        <v>870</v>
      </c>
      <c r="F96" s="129"/>
      <c r="G96" s="130" t="str">
        <f>IF(OR(Table1[[#This Row],[English]]&lt;&gt;"",Table1[[#This Row],[Français]]&lt;&gt;""),Table1[[#This Row],[Français]]&amp;"//"&amp;Table1[[#This Row],[English]],"")</f>
        <v>Redevances superficiaires//Surface fees</v>
      </c>
      <c r="H96" s="131" t="str">
        <f t="shared" si="2"/>
        <v>Global Agricultural Development (Cambodia) shall pay the land fee annually according to the concessionary land rate defined by the Government and competent institutions. The fee shall be paid annually to the State budget through the account of the Ministry of Agriculture, Forestry and Fisheries no later than 31 January of each year. A 2% late fee will be charged monthly if there is delay in paying the fee. Global Agricultural Development (Cambodia) agrees to pay the fee until the termination of the agreement.--Arts. 4, 7.1</v>
      </c>
    </row>
    <row r="97" spans="1:8">
      <c r="A97" s="27" t="s">
        <v>115</v>
      </c>
      <c r="B97" s="27" t="s">
        <v>116</v>
      </c>
      <c r="C97" s="178"/>
      <c r="D97" s="27"/>
      <c r="E97" s="27"/>
      <c r="F97" s="29"/>
      <c r="G97" s="30" t="str">
        <f>IF(OR(Table1[[#This Row],[English]]&lt;&gt;"",Table1[[#This Row],[Français]]&lt;&gt;""),Table1[[#This Row],[Français]]&amp;"//"&amp;Table1[[#This Row],[English]],"")</f>
        <v>Obligations communautaires ou sous-nationales//Community and regional obligations</v>
      </c>
      <c r="H97" s="31" t="str">
        <f t="shared" si="2"/>
        <v/>
      </c>
    </row>
    <row r="98" spans="1:8" ht="29" customHeight="1">
      <c r="A98" s="27" t="s">
        <v>197</v>
      </c>
      <c r="B98" s="27" t="s">
        <v>170</v>
      </c>
      <c r="C98" s="180"/>
      <c r="D98" s="10"/>
      <c r="E98" s="27"/>
      <c r="F98" s="29"/>
      <c r="G98" s="52" t="str">
        <f>IF(OR(Table1[[#This Row],[English]]&lt;&gt;"",Table1[[#This Row],[Français]]&lt;&gt;""),Table1[[#This Row],[Français]]&amp;"//"&amp;Table1[[#This Row],[English]],"")</f>
        <v>Crédits de carbone//Carbon credits</v>
      </c>
      <c r="H98" s="53" t="str">
        <f>IF(C98&lt;&gt;"",IF(D98&lt;&gt;"",C98&amp;"--"&amp;D98,C98),"")</f>
        <v/>
      </c>
    </row>
    <row r="99" spans="1:8">
      <c r="A99" s="85" t="s">
        <v>117</v>
      </c>
      <c r="B99" s="89" t="s">
        <v>118</v>
      </c>
      <c r="C99" s="176"/>
      <c r="D99" s="159"/>
      <c r="E99" s="159"/>
      <c r="F99" s="86"/>
      <c r="G99" s="87" t="str">
        <f>IF(OR(Table1[[#This Row],[English]]&lt;&gt;"",Table1[[#This Row],[Français]]&lt;&gt;""),Table1[[#This Row],[Français]]&amp;"//"&amp;Table1[[#This Row],[English]],"")</f>
        <v>Primes//Bonuses</v>
      </c>
      <c r="H99" s="88" t="str">
        <f t="shared" si="2"/>
        <v/>
      </c>
    </row>
    <row r="100" spans="1:8" ht="31.5" customHeight="1">
      <c r="A100" s="85" t="s">
        <v>119</v>
      </c>
      <c r="B100" s="89" t="s">
        <v>120</v>
      </c>
      <c r="C100" s="175"/>
      <c r="D100" s="151"/>
      <c r="E100" s="151"/>
      <c r="F100" s="86"/>
      <c r="G100" s="87" t="str">
        <f>IF(OR(Table1[[#This Row],[English]]&lt;&gt;"",Table1[[#This Row],[Français]]&lt;&gt;""),Table1[[#This Row],[Français]]&amp;"//"&amp;Table1[[#This Row],[English]],"")</f>
        <v>Participation de l'Etat//State participation</v>
      </c>
      <c r="H100" s="88" t="str">
        <f t="shared" si="2"/>
        <v/>
      </c>
    </row>
    <row r="101" spans="1:8">
      <c r="A101" s="85" t="s">
        <v>121</v>
      </c>
      <c r="B101" s="85" t="s">
        <v>122</v>
      </c>
      <c r="C101" s="176"/>
      <c r="D101" s="159"/>
      <c r="E101" s="159"/>
      <c r="F101" s="86"/>
      <c r="G101" s="87" t="str">
        <f>IF(OR(Table1[[#This Row],[English]]&lt;&gt;"",Table1[[#This Row],[Français]]&lt;&gt;""),Table1[[#This Row],[Français]]&amp;"//"&amp;Table1[[#This Row],[English]],"")</f>
        <v>Exonérations non-précisées ailleurs//Other exemptions</v>
      </c>
      <c r="H101" s="88" t="str">
        <f t="shared" si="2"/>
        <v/>
      </c>
    </row>
    <row r="102" spans="1:8" ht="39.75" customHeight="1">
      <c r="A102" s="104" t="s">
        <v>195</v>
      </c>
      <c r="B102" s="104" t="s">
        <v>194</v>
      </c>
      <c r="C102" s="175"/>
      <c r="D102" s="89"/>
      <c r="E102" s="89"/>
      <c r="F102" s="86"/>
      <c r="G102" s="87" t="str">
        <f>IF(OR(Table1[[#This Row],[English]]&lt;&gt;"",Table1[[#This Row],[Français]]&lt;&gt;""),Table1[[#This Row],[Français]]&amp;"//"&amp;Table1[[#This Row],[English]],"")</f>
        <v>Modes d'audit à l'égard des obligations financières du détenteur du titre//Audit mechanisms - financial obligations</v>
      </c>
      <c r="H102" s="88" t="str">
        <f t="shared" si="2"/>
        <v/>
      </c>
    </row>
    <row r="103" spans="1:8" ht="21.75" customHeight="1">
      <c r="A103" s="85" t="s">
        <v>123</v>
      </c>
      <c r="B103" s="85" t="s">
        <v>124</v>
      </c>
      <c r="C103" s="202"/>
      <c r="D103" s="151"/>
      <c r="E103" s="151"/>
      <c r="F103" s="86"/>
      <c r="G103" s="87" t="str">
        <f>IF(OR(Table1[[#This Row],[English]]&lt;&gt;"",Table1[[#This Row],[Français]]&lt;&gt;""),Table1[[#This Row],[Français]]&amp;"//"&amp;Table1[[#This Row],[English]],"")</f>
        <v>Restrictions sur les transactions avec les parties liées//Restrictions on transactions with affiliated parties</v>
      </c>
      <c r="H103" s="88" t="str">
        <f>IF(C103&lt;&gt;"",IF(D103&lt;&gt;"",C103&amp;"--"&amp;D103,C103),"")</f>
        <v/>
      </c>
    </row>
    <row r="104" spans="1:8" ht="27.75" customHeight="1">
      <c r="A104" s="83" t="s">
        <v>176</v>
      </c>
      <c r="B104" s="82" t="s">
        <v>174</v>
      </c>
      <c r="C104" s="175"/>
      <c r="D104" s="89"/>
      <c r="E104" s="151"/>
      <c r="F104" s="86"/>
      <c r="G104" s="87" t="str">
        <f>IF(OR(Table1[[#This Row],[English]]&lt;&gt;"",Table1[[#This Row],[Français]]&lt;&gt;""),Table1[[#This Row],[Français]]&amp;"//"&amp;Table1[[#This Row],[English]],"")</f>
        <v>Autre - [le nom de catégorie]//Other - [Name of Category]</v>
      </c>
      <c r="H104" s="88" t="str">
        <f t="shared" si="2"/>
        <v/>
      </c>
    </row>
    <row r="105" spans="1:8">
      <c r="A105" s="153"/>
      <c r="B105" s="34"/>
      <c r="C105" s="195"/>
      <c r="D105" s="152"/>
      <c r="E105" s="152"/>
      <c r="F105" s="15"/>
      <c r="G105" s="16" t="str">
        <f>IF(OR(Table1[[#This Row],[English]]&lt;&gt;"",Table1[[#This Row],[Français]]&lt;&gt;""),Table1[[#This Row],[Français]]&amp;"//"&amp;Table1[[#This Row],[English]],"")</f>
        <v/>
      </c>
      <c r="H105" s="35" t="str">
        <f t="shared" si="2"/>
        <v/>
      </c>
    </row>
    <row r="106" spans="1:8" ht="30">
      <c r="A106" s="62" t="s">
        <v>190</v>
      </c>
      <c r="B106" s="63" t="s">
        <v>125</v>
      </c>
      <c r="C106" s="167"/>
      <c r="D106" s="157"/>
      <c r="E106" s="157"/>
      <c r="F106" s="18"/>
      <c r="G106" s="19" t="str">
        <f>IF(OR(Table1[[#This Row],[English]]&lt;&gt;"",Table1[[#This Row],[Français]]&lt;&gt;""),Table1[[#This Row],[Français]]&amp;"//"&amp;Table1[[#This Row],[English]],"")</f>
        <v>4. Dispositions environnementales //4. Environmental provisions</v>
      </c>
      <c r="H106" s="20" t="str">
        <f t="shared" si="2"/>
        <v/>
      </c>
    </row>
    <row r="107" spans="1:8" ht="71" customHeight="1">
      <c r="A107" s="93" t="s">
        <v>211</v>
      </c>
      <c r="B107" s="93" t="s">
        <v>219</v>
      </c>
      <c r="C107" s="163"/>
      <c r="D107" s="71"/>
      <c r="E107" s="71"/>
      <c r="F107" s="68"/>
      <c r="G107"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7" s="70" t="str">
        <f t="shared" si="2"/>
        <v/>
      </c>
    </row>
    <row r="108" spans="1:8" ht="114" customHeight="1">
      <c r="A108" s="124" t="s">
        <v>213</v>
      </c>
      <c r="B108" s="124" t="s">
        <v>212</v>
      </c>
      <c r="C108" s="164" t="s">
        <v>906</v>
      </c>
      <c r="D108" s="10" t="s">
        <v>872</v>
      </c>
      <c r="E108" s="10" t="s">
        <v>873</v>
      </c>
      <c r="F108" s="142"/>
      <c r="G108"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8" s="144" t="str">
        <f t="shared" si="2"/>
        <v>Global Agricultural Development (Cambodia) must allow the Ministry of Agriculture, Forestry and Fisheries and relevant institutions to monitor and evaluate its activities regarding environmental impact and subsequently follow their instructions to protect the environment--Art. 7.10</v>
      </c>
    </row>
    <row r="109" spans="1:8" ht="30">
      <c r="A109" s="94" t="s">
        <v>225</v>
      </c>
      <c r="B109" s="95" t="s">
        <v>179</v>
      </c>
      <c r="C109" s="173"/>
      <c r="D109" s="82"/>
      <c r="E109" s="94"/>
      <c r="F109" s="96"/>
      <c r="G109"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09" s="98" t="str">
        <f>IF(C109&lt;&gt;"",IF(D109&lt;&gt;"",C109&amp;"--"&amp;D109,C109),"")</f>
        <v/>
      </c>
    </row>
    <row r="110" spans="1:8" ht="102.75" customHeight="1">
      <c r="A110" s="118" t="s">
        <v>210</v>
      </c>
      <c r="B110" s="118" t="s">
        <v>209</v>
      </c>
      <c r="C110" s="180" t="s">
        <v>913</v>
      </c>
      <c r="D110" s="56" t="s">
        <v>871</v>
      </c>
      <c r="E110" s="194" t="s">
        <v>857</v>
      </c>
      <c r="F110" s="120"/>
      <c r="G110"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0" s="122" t="str">
        <f>IF(C110&lt;&gt;"",IF(D110&lt;&gt;"",C110&amp;"--"&amp;D110,C110),"")</f>
        <v>Global Agricultural Development (Cambodia) must implement business activities as planned including cultivation and maintenance by following sustainable conditions for natural resources of the concession area and environmental impact caused by business production--Art. 7.6</v>
      </c>
    </row>
    <row r="111" spans="1:8" ht="45" customHeight="1">
      <c r="A111" s="83" t="s">
        <v>239</v>
      </c>
      <c r="B111" s="82" t="s">
        <v>238</v>
      </c>
      <c r="C111" s="163"/>
      <c r="D111" s="76"/>
      <c r="E111" s="76"/>
      <c r="F111" s="68"/>
      <c r="G111" s="69" t="str">
        <f>IF(OR(Table1[[#This Row],[English]]&lt;&gt;"",Table1[[#This Row],[Français]]&lt;&gt;""),Table1[[#This Row],[Français]]&amp;"//"&amp;Table1[[#This Row],[English]],"")</f>
        <v>Autre - [Responsabilité environnementale]//Other - [Environmental liability]</v>
      </c>
      <c r="H111" s="70" t="str">
        <f t="shared" si="2"/>
        <v/>
      </c>
    </row>
    <row r="112" spans="1:8">
      <c r="A112" s="37"/>
      <c r="B112" s="38"/>
      <c r="C112" s="182"/>
      <c r="D112" s="198"/>
      <c r="E112" s="198"/>
      <c r="F112" s="15"/>
      <c r="G112" s="16" t="str">
        <f>IF(OR(Table1[[#This Row],[English]]&lt;&gt;"",Table1[[#This Row],[Français]]&lt;&gt;""),Table1[[#This Row],[Français]]&amp;"//"&amp;Table1[[#This Row],[English]],"")</f>
        <v/>
      </c>
      <c r="H112" s="17" t="str">
        <f t="shared" si="2"/>
        <v/>
      </c>
    </row>
    <row r="113" spans="1:8" ht="45">
      <c r="A113" s="62" t="s">
        <v>182</v>
      </c>
      <c r="B113" s="18" t="s">
        <v>126</v>
      </c>
      <c r="C113" s="167"/>
      <c r="D113" s="157"/>
      <c r="E113" s="157"/>
      <c r="F113" s="18"/>
      <c r="G113" s="19" t="str">
        <f>IF(OR(Table1[[#This Row],[English]]&lt;&gt;"",Table1[[#This Row],[Français]]&lt;&gt;""),Table1[[#This Row],[Français]]&amp;"//"&amp;Table1[[#This Row],[English]],"")</f>
        <v>5. Dispositions relatives aux opérations et à l’infrastructure//5. Operational provisions</v>
      </c>
      <c r="H113" s="20" t="str">
        <f t="shared" si="2"/>
        <v/>
      </c>
    </row>
    <row r="114" spans="1:8" ht="45">
      <c r="A114" s="55" t="s">
        <v>180</v>
      </c>
      <c r="B114" s="64" t="s">
        <v>181</v>
      </c>
      <c r="C114" s="183"/>
      <c r="D114" s="65"/>
      <c r="E114" s="64"/>
      <c r="F114" s="64"/>
      <c r="G114" s="66" t="str">
        <f>IF(OR(Table1[[#This Row],[English]]&lt;&gt;"",Table1[[#This Row],[Français]]&lt;&gt;""),Table1[[#This Row],[Français]]&amp;"//"&amp;Table1[[#This Row],[English]],"")</f>
        <v>L'étude de faisabilité et le plan d'affaires//Feasibility studies and requirement of business plan</v>
      </c>
      <c r="H114" s="53" t="str">
        <f>IF(C114&lt;&gt;"",IF(D114&lt;&gt;"",C114&amp;"--"&amp;D114,C114),"")</f>
        <v/>
      </c>
    </row>
    <row r="115" spans="1:8" ht="27.75" customHeight="1">
      <c r="A115" s="93" t="s">
        <v>127</v>
      </c>
      <c r="B115" s="99" t="s">
        <v>128</v>
      </c>
      <c r="C115" s="163"/>
      <c r="D115" s="76"/>
      <c r="E115" s="76"/>
      <c r="F115" s="68"/>
      <c r="G115" s="69" t="str">
        <f>IF(OR(Table1[[#This Row],[English]]&lt;&gt;"",Table1[[#This Row],[Français]]&lt;&gt;""),Table1[[#This Row],[Français]]&amp;"//"&amp;Table1[[#This Row],[English]],"")</f>
        <v>Obligations de travaux, d'investissements//Work and investment commitments</v>
      </c>
      <c r="H115" s="70" t="str">
        <f t="shared" si="2"/>
        <v/>
      </c>
    </row>
    <row r="116" spans="1:8">
      <c r="A116" s="36" t="s">
        <v>129</v>
      </c>
      <c r="B116" s="36" t="s">
        <v>130</v>
      </c>
      <c r="C116" s="184"/>
      <c r="D116" s="10"/>
      <c r="E116" s="10"/>
      <c r="F116" s="11"/>
      <c r="G116" s="12" t="str">
        <f>IF(OR(Table1[[#This Row],[English]]&lt;&gt;"",Table1[[#This Row],[Français]]&lt;&gt;""),Table1[[#This Row],[Français]]&amp;"//"&amp;Table1[[#This Row],[English]],"")</f>
        <v>Rétrocession//Transfer of risk</v>
      </c>
      <c r="H116" s="13" t="str">
        <f t="shared" si="2"/>
        <v/>
      </c>
    </row>
    <row r="117" spans="1:8" ht="237.75" customHeight="1">
      <c r="A117" s="67" t="s">
        <v>131</v>
      </c>
      <c r="B117" s="67" t="s">
        <v>132</v>
      </c>
      <c r="C117" s="163" t="s">
        <v>914</v>
      </c>
      <c r="D117" s="155" t="s">
        <v>875</v>
      </c>
      <c r="E117" s="155" t="s">
        <v>873</v>
      </c>
      <c r="F117" s="68"/>
      <c r="G117" s="69" t="str">
        <f>IF(OR(Table1[[#This Row],[English]]&lt;&gt;"",Table1[[#This Row],[Français]]&lt;&gt;""),Table1[[#This Row],[Français]]&amp;"//"&amp;Table1[[#This Row],[English]],"")</f>
        <v>Construction et entretien d'infrastructure//Construction and maintenance of infrastructure</v>
      </c>
      <c r="H117" s="70" t="str">
        <f t="shared" si="2"/>
        <v>Global Agricultural Development (Cambodia) shall be allowed to carry out all construction activities on the concession land in accordance with Cambodian law and in harmony with the objectives specified in article 3 (article 3 outlines the production-business goal and concession land usage schedule). All construction of infrastructure such as dams and canals that may affect the surrounding areas shall be permitted by the Ministry of Agriculture, Forestry and Fisheries and relevant institutions. --Art. 8</v>
      </c>
    </row>
    <row r="118" spans="1:8" ht="15" customHeight="1">
      <c r="A118" s="10" t="s">
        <v>202</v>
      </c>
      <c r="B118" s="10" t="s">
        <v>133</v>
      </c>
      <c r="C118" s="172"/>
      <c r="D118" s="10"/>
      <c r="E118" s="10"/>
      <c r="F118" s="11"/>
      <c r="G118" s="12" t="str">
        <f>IF(OR(Table1[[#This Row],[English]]&lt;&gt;"",Table1[[#This Row],[Français]]&lt;&gt;""),Table1[[#This Row],[Français]]&amp;"//"&amp;Table1[[#This Row],[English]],"")</f>
        <v>Commercialisation et accès gouvernemental à la production //Marketing of output and state access to output</v>
      </c>
      <c r="H118" s="13" t="str">
        <f t="shared" si="2"/>
        <v/>
      </c>
    </row>
    <row r="119" spans="1:8">
      <c r="A119" s="113" t="s">
        <v>134</v>
      </c>
      <c r="B119" s="114" t="s">
        <v>135</v>
      </c>
      <c r="C119" s="185"/>
      <c r="D119" s="112"/>
      <c r="E119" s="112"/>
      <c r="F119" s="115"/>
      <c r="G119" s="116" t="str">
        <f>IF(OR(Table1[[#This Row],[English]]&lt;&gt;"",Table1[[#This Row],[Français]]&lt;&gt;""),Table1[[#This Row],[Français]]&amp;"//"&amp;Table1[[#This Row],[English]],"")</f>
        <v>Utilisation d’infrastructure par les tiers//Third party use of infrastructure</v>
      </c>
      <c r="H119" s="117" t="str">
        <f t="shared" si="2"/>
        <v/>
      </c>
    </row>
    <row r="120" spans="1:8">
      <c r="A120" s="39" t="s">
        <v>136</v>
      </c>
      <c r="B120" s="33" t="s">
        <v>137</v>
      </c>
      <c r="C120" s="164"/>
      <c r="D120" s="10"/>
      <c r="E120" s="10"/>
      <c r="F120" s="11"/>
      <c r="G120" s="12" t="str">
        <f>IF(OR(Table1[[#This Row],[English]]&lt;&gt;"",Table1[[#This Row],[Français]]&lt;&gt;""),Table1[[#This Row],[Français]]&amp;"//"&amp;Table1[[#This Row],[English]],"")</f>
        <v>Financement d’infrastructure//Financing of infrastructure</v>
      </c>
      <c r="H120" s="13" t="str">
        <f t="shared" si="2"/>
        <v/>
      </c>
    </row>
    <row r="121" spans="1:8" ht="82.5" customHeight="1">
      <c r="A121" s="39" t="s">
        <v>138</v>
      </c>
      <c r="B121" s="33" t="s">
        <v>139</v>
      </c>
      <c r="C121" s="164" t="s">
        <v>907</v>
      </c>
      <c r="D121" s="10" t="s">
        <v>876</v>
      </c>
      <c r="E121" s="10" t="s">
        <v>877</v>
      </c>
      <c r="F121" s="11"/>
      <c r="G121" s="12" t="str">
        <f>IF(OR(Table1[[#This Row],[English]]&lt;&gt;"",Table1[[#This Row],[Français]]&lt;&gt;""),Table1[[#This Row],[Français]]&amp;"//"&amp;Table1[[#This Row],[English]],"")</f>
        <v>Propriété d’infrastructure//Ownership of infrastructure</v>
      </c>
      <c r="H121" s="13" t="str">
        <f t="shared" si="2"/>
        <v>All fixed assets and infrastructure as well as results achieved by Global Agricultural Development (Cambodia) shall be under its control until the termination of this agreement--Art. 9</v>
      </c>
    </row>
    <row r="122" spans="1:8">
      <c r="A122" s="28" t="s">
        <v>196</v>
      </c>
      <c r="B122" s="27" t="s">
        <v>193</v>
      </c>
      <c r="C122" s="178"/>
      <c r="D122" s="27"/>
      <c r="E122" s="27"/>
      <c r="F122" s="29"/>
      <c r="G122" s="30" t="str">
        <f>IF(OR(Table1[[#This Row],[English]]&lt;&gt;"",Table1[[#This Row],[Français]]&lt;&gt;""),Table1[[#This Row],[Français]]&amp;"//"&amp;Table1[[#This Row],[English]],"")</f>
        <v>Modes d'audit à l'égard des dispositions opérationnelles//Audit mechanisms - operational obligations</v>
      </c>
      <c r="H122" s="31" t="str">
        <f t="shared" si="2"/>
        <v/>
      </c>
    </row>
    <row r="123" spans="1:8">
      <c r="A123" s="54" t="s">
        <v>178</v>
      </c>
      <c r="B123" s="55" t="s">
        <v>171</v>
      </c>
      <c r="C123" s="180"/>
      <c r="D123" s="56"/>
      <c r="E123" s="194"/>
      <c r="F123" s="54"/>
      <c r="G123" s="52" t="str">
        <f>IF(OR(Table1[[#This Row],[English]]&lt;&gt;"",Table1[[#This Row],[Français]]&lt;&gt;""),Table1[[#This Row],[Français]]&amp;"//"&amp;Table1[[#This Row],[English]],"")</f>
        <v>Activité de beneficiation/ valeur ajoutée//Value addition/downstream activities</v>
      </c>
      <c r="H123" s="53" t="str">
        <f>IF(C123&lt;&gt;"",IF(D123&lt;&gt;"",C123&amp;"--"&amp;D123,C123),"")</f>
        <v/>
      </c>
    </row>
    <row r="124" spans="1:8" ht="105.75" customHeight="1">
      <c r="A124" s="137" t="s">
        <v>226</v>
      </c>
      <c r="B124" s="138" t="s">
        <v>172</v>
      </c>
      <c r="C124" s="186" t="s">
        <v>897</v>
      </c>
      <c r="D124" s="136" t="s">
        <v>878</v>
      </c>
      <c r="E124" s="137" t="s">
        <v>860</v>
      </c>
      <c r="F124" s="139"/>
      <c r="G124"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4" s="141" t="str">
        <f>IF(C124&lt;&gt;"",IF(D124&lt;&gt;"",C124&amp;"--"&amp;D124,C124),"")</f>
        <v>The land that is legally owned by local residents is not available for use by Global Agricultural Development (Cambodia) unless a mutual agreement is reached. In the event of an illegal violation of the ownership of this land, Global Agricultural Development (Cambodia) reserves the right to file a lawsuit with the competent institution. --Art. 1.2</v>
      </c>
    </row>
    <row r="125" spans="1:8" ht="24.75" customHeight="1">
      <c r="A125" s="83" t="s">
        <v>176</v>
      </c>
      <c r="B125" s="203" t="s">
        <v>174</v>
      </c>
      <c r="C125" s="173"/>
      <c r="D125" s="82"/>
      <c r="E125" s="94"/>
      <c r="F125" s="96"/>
      <c r="G125" s="97" t="str">
        <f>IF(OR(Table1[[#This Row],[English]]&lt;&gt;"",Table1[[#This Row],[Français]]&lt;&gt;""),Table1[[#This Row],[Français]]&amp;"//"&amp;Table1[[#This Row],[English]],"")</f>
        <v>Autre - [le nom de catégorie]//Other - [Name of Category]</v>
      </c>
      <c r="H125" s="98" t="str">
        <f>IF(C125&lt;&gt;"",IF(D125&lt;&gt;"",C125&amp;"--"&amp;D125,C125),"")</f>
        <v/>
      </c>
    </row>
    <row r="126" spans="1:8" ht="27" customHeight="1">
      <c r="A126" s="199"/>
      <c r="B126" s="40"/>
      <c r="C126" s="200"/>
      <c r="D126" s="201"/>
      <c r="E126" s="201"/>
      <c r="F126" s="15"/>
      <c r="G126" s="16" t="str">
        <f>IF(OR(Table1[[#This Row],[English]]&lt;&gt;"",Table1[[#This Row],[Français]]&lt;&gt;""),Table1[[#This Row],[Français]]&amp;"//"&amp;Table1[[#This Row],[English]],"")</f>
        <v/>
      </c>
      <c r="H126" s="17" t="str">
        <f t="shared" si="2"/>
        <v/>
      </c>
    </row>
    <row r="127" spans="1:8" ht="30">
      <c r="A127" s="21" t="s">
        <v>140</v>
      </c>
      <c r="B127" s="21" t="s">
        <v>141</v>
      </c>
      <c r="C127" s="167"/>
      <c r="D127" s="157"/>
      <c r="E127" s="157"/>
      <c r="F127" s="18"/>
      <c r="G127" s="19" t="str">
        <f>IF(OR(Table1[[#This Row],[English]]&lt;&gt;"",Table1[[#This Row],[Français]]&lt;&gt;""),Table1[[#This Row],[Français]]&amp;"//"&amp;Table1[[#This Row],[English]],"")</f>
        <v>6. Dispositions diverses//6. Miscellaneous provisions</v>
      </c>
      <c r="H127" s="20" t="str">
        <f t="shared" si="2"/>
        <v/>
      </c>
    </row>
    <row r="128" spans="1:8" ht="37" customHeight="1">
      <c r="A128" s="99" t="s">
        <v>142</v>
      </c>
      <c r="B128" s="93" t="s">
        <v>143</v>
      </c>
      <c r="C128" s="163" t="s">
        <v>908</v>
      </c>
      <c r="D128" s="71" t="s">
        <v>879</v>
      </c>
      <c r="E128" s="71" t="s">
        <v>880</v>
      </c>
      <c r="F128" s="68"/>
      <c r="G128" s="69" t="str">
        <f>IF(OR(Table1[[#This Row],[English]]&lt;&gt;"",Table1[[#This Row],[Français]]&lt;&gt;""),Table1[[#This Row],[Français]]&amp;"//"&amp;Table1[[#This Row],[English]],"")</f>
        <v>Loi applicable en cas des différends//Governing law in case of dispute</v>
      </c>
      <c r="H128" s="70" t="str">
        <f t="shared" si="2"/>
        <v>The agreement shall be governed by Cambodian law--Art. 13</v>
      </c>
    </row>
    <row r="129" spans="1:8" ht="219" customHeight="1">
      <c r="A129" s="99" t="s">
        <v>144</v>
      </c>
      <c r="B129" s="85" t="s">
        <v>145</v>
      </c>
      <c r="C129" s="163" t="s">
        <v>909</v>
      </c>
      <c r="D129" s="76" t="s">
        <v>881</v>
      </c>
      <c r="E129" s="76" t="s">
        <v>882</v>
      </c>
      <c r="F129" s="68"/>
      <c r="G129" s="69" t="str">
        <f>IF(OR(Table1[[#This Row],[English]]&lt;&gt;"",Table1[[#This Row],[Français]]&lt;&gt;""),Table1[[#This Row],[Français]]&amp;"//"&amp;Table1[[#This Row],[English]],"")</f>
        <v>Arbitrage et règlement des différends//Arbitration and dispute resolution</v>
      </c>
      <c r="H129" s="70" t="str">
        <f t="shared" si="2"/>
        <v>If disputes arise during the execution of this agreement, the 2 parties shall mediate and settle the dispute based on the rights and obligations of each party to the agreement. If the parties cannot mediate or settle the dispute within 60 days, the dispute shall be submitted to the Council for the Development of Cambodia for mediation and reconciliation. If the dispute cannot be settled by the Council for the Development of Cambodia within 30 days, the parties shall send the files of the dispute to the competent court of the Kingdom of Cambodia for its decision according to the law in force.--Art. 11</v>
      </c>
    </row>
    <row r="130" spans="1:8" ht="41.25" customHeight="1">
      <c r="A130" s="99" t="s">
        <v>146</v>
      </c>
      <c r="B130" s="93" t="s">
        <v>147</v>
      </c>
      <c r="C130" s="175"/>
      <c r="D130" s="71"/>
      <c r="E130" s="71"/>
      <c r="F130" s="68"/>
      <c r="G130" s="69" t="str">
        <f>IF(OR(Table1[[#This Row],[English]]&lt;&gt;"",Table1[[#This Row],[Français]]&lt;&gt;""),Table1[[#This Row],[Français]]&amp;"//"&amp;Table1[[#This Row],[English]],"")</f>
        <v>Clause de stabilisation//Stabilization clause</v>
      </c>
      <c r="H130" s="70" t="str">
        <f t="shared" si="2"/>
        <v/>
      </c>
    </row>
    <row r="131" spans="1:8" ht="262.5" customHeight="1">
      <c r="A131" s="36" t="s">
        <v>148</v>
      </c>
      <c r="B131" s="10" t="s">
        <v>149</v>
      </c>
      <c r="C131" s="164" t="s">
        <v>910</v>
      </c>
      <c r="D131" s="10" t="s">
        <v>883</v>
      </c>
      <c r="E131" s="10" t="s">
        <v>884</v>
      </c>
      <c r="F131" s="11"/>
      <c r="G131" s="12" t="str">
        <f>IF(OR(Table1[[#This Row],[English]]&lt;&gt;"",Table1[[#This Row],[Français]]&lt;&gt;""),Table1[[#This Row],[Français]]&amp;"//"&amp;Table1[[#This Row],[English]],"")</f>
        <v>Cession / transfert//Assignment / transfer</v>
      </c>
      <c r="H131" s="13" t="str">
        <f t="shared" si="2"/>
        <v>Global Agricultural Development (Cambodia) is entitled to make a transfer to its successors. Legal successors refer to individuals who have been authorized by the law in force to inherit from Global Agricultural Development (Cambodia), or those individuals recognized by the law as its affinity. Notification on rights transfer or any decision regarding the handover to the successors shall be given to the Ministry of Agriculture, Forestry and Fisheries at least 6 months before the execution. If Global Agricultural Development (Cambodia) transfers the agreement, the transfer shall be in accordance with the investment law of the Kingdom of Cambodia and have obtained the approval of the Council for the Development of Cambodia at the request of the Ministry of Agriculture, Forestry and Fisheries.--Art. 5</v>
      </c>
    </row>
    <row r="132" spans="1:8" ht="307.5" customHeight="1">
      <c r="A132" s="36" t="s">
        <v>227</v>
      </c>
      <c r="B132" s="10" t="s">
        <v>150</v>
      </c>
      <c r="C132" s="164" t="s">
        <v>900</v>
      </c>
      <c r="D132" s="10" t="s">
        <v>886</v>
      </c>
      <c r="E132" s="10" t="s">
        <v>885</v>
      </c>
      <c r="F132" s="11"/>
      <c r="G132" s="12" t="str">
        <f>IF(OR(Table1[[#This Row],[English]]&lt;&gt;"",Table1[[#This Row],[Français]]&lt;&gt;""),Table1[[#This Row],[Français]]&amp;"//"&amp;Table1[[#This Row],[English]],"")</f>
        <v>Annulation / Résiliation //Cancellation / termination</v>
      </c>
      <c r="H132" s="13" t="str">
        <f t="shared" si="2"/>
        <v>If Global Agricultural Development (Cambodia) faces a situation beyond its control, it has the right to withdraw from the whole project or part of the project, provided it has received approval for the withdrawal from the Ministry of Agriculture, Forestry and Fisheries. If Global Agricultural Development (Cambodia) withdraws without approval, it shall be held responsible according to the Investment Law of the Kingdom of Cambodia. If Global Agricultural Development (Cambodia) fails to use its best effort to implement the activities set out in the agreement within 1 year starting from the completion of the survey specified in article 1.4, the Ministry of Agriculture, Forestry and Fisheries shall have the right to terminate the agreement unconditionally and without compensation for damages. The deposit paid by Global Agricultural Development (Cambodia) will also become State property. --Art. 10</v>
      </c>
    </row>
    <row r="133" spans="1:8">
      <c r="A133" s="33" t="s">
        <v>151</v>
      </c>
      <c r="B133" s="33" t="s">
        <v>152</v>
      </c>
      <c r="C133" s="164"/>
      <c r="D133" s="10"/>
      <c r="E133" s="10"/>
      <c r="F133" s="11"/>
      <c r="G133" s="12" t="str">
        <f>IF(OR(Table1[[#This Row],[English]]&lt;&gt;"",Table1[[#This Row],[Français]]&lt;&gt;""),Table1[[#This Row],[Français]]&amp;"//"&amp;Table1[[#This Row],[English]],"")</f>
        <v>Indemnisation//Indemnification</v>
      </c>
      <c r="H133" s="13" t="str">
        <f t="shared" si="2"/>
        <v/>
      </c>
    </row>
    <row r="134" spans="1:8" ht="54" customHeight="1">
      <c r="A134" s="100" t="s">
        <v>153</v>
      </c>
      <c r="B134" s="76" t="s">
        <v>154</v>
      </c>
      <c r="C134" s="196"/>
      <c r="D134" s="71"/>
      <c r="E134" s="71"/>
      <c r="F134" s="68"/>
      <c r="G134" s="69" t="str">
        <f>IF(OR(Table1[[#This Row],[English]]&lt;&gt;"",Table1[[#This Row],[Français]]&lt;&gt;""),Table1[[#This Row],[Français]]&amp;"//"&amp;Table1[[#This Row],[English]],"")</f>
        <v>Confidentialité//Confidentiality</v>
      </c>
      <c r="H134" s="70" t="str">
        <f t="shared" si="2"/>
        <v/>
      </c>
    </row>
    <row r="135" spans="1:8" ht="30">
      <c r="A135" s="100" t="s">
        <v>155</v>
      </c>
      <c r="B135" s="76" t="s">
        <v>156</v>
      </c>
      <c r="C135" s="175" t="s">
        <v>756</v>
      </c>
      <c r="D135" s="71" t="s">
        <v>888</v>
      </c>
      <c r="E135" s="71" t="s">
        <v>874</v>
      </c>
      <c r="F135" s="204" t="s">
        <v>887</v>
      </c>
      <c r="G135" s="69" t="str">
        <f>IF(OR(Table1[[#This Row],[English]]&lt;&gt;"",Table1[[#This Row],[Français]]&lt;&gt;""),Table1[[#This Row],[Français]]&amp;"//"&amp;Table1[[#This Row],[English]],"")</f>
        <v>Langue//Language</v>
      </c>
      <c r="H135" s="70" t="str">
        <f>IF(C135&lt;&gt;"",IF(D135&lt;&gt;"",C135&amp;"--"&amp;D135,C135),"")</f>
        <v>ENG--Art. 17</v>
      </c>
    </row>
    <row r="136" spans="1:8" ht="83.25" customHeight="1">
      <c r="A136" s="10" t="s">
        <v>237</v>
      </c>
      <c r="B136" s="10" t="s">
        <v>187</v>
      </c>
      <c r="C136" s="164" t="s">
        <v>911</v>
      </c>
      <c r="D136" s="10" t="s">
        <v>890</v>
      </c>
      <c r="E136" s="10" t="s">
        <v>864</v>
      </c>
      <c r="F136" s="11"/>
      <c r="G136" s="42" t="str">
        <f>IF(OR(Table1[[#This Row],[English]]&lt;&gt;"",Table1[[#This Row],[Français]]&lt;&gt;""),Table1[[#This Row],[Français]]&amp;"//"&amp;Table1[[#This Row],[English]],"")</f>
        <v>Obligations de reporting et autres méthodes de contrôle de la conformité//Reporting Requirements and other methods of monitoring compliance</v>
      </c>
      <c r="H136" s="51" t="str">
        <f>IF(C136&lt;&gt;"",IF(D136&lt;&gt;"",C136&amp;"--"&amp;D136,C136),"")</f>
        <v>The Ministry of Agriculture, Forestry and Fisheries has the right and obligation to monitor the implementation of the agreement, and the technical work and business production program of Global Agricultural Development (Cambodia)--Arts. 6.3</v>
      </c>
    </row>
    <row r="137" spans="1:8" ht="195" customHeight="1">
      <c r="A137" s="124" t="s">
        <v>221</v>
      </c>
      <c r="B137" s="124" t="s">
        <v>220</v>
      </c>
      <c r="C137" s="164" t="s">
        <v>912</v>
      </c>
      <c r="D137" s="10" t="s">
        <v>889</v>
      </c>
      <c r="E137" s="10" t="s">
        <v>891</v>
      </c>
      <c r="F137" s="11"/>
      <c r="G137" s="12" t="str">
        <f>IF(OR(Table1[[#This Row],[English]]&lt;&gt;"",Table1[[#This Row],[Français]]&lt;&gt;""),Table1[[#This Row],[Français]]&amp;"//"&amp;Table1[[#This Row],[English]],"")</f>
        <v>Clause de hardship ou force majeure//Hardship clause or force majeure</v>
      </c>
      <c r="H137" s="13" t="str">
        <f t="shared" si="2"/>
        <v>"Force majeure" refers to fire, flood, storm, war, earthquake, civil unrest, insurgency, strike, explosion, epidemic and other events or circumstances beyond the control of the parties. If Global Agricultural Development (Cambodia) is not able to perform its duties in part or in whole pursuant to the terms and conditions of this agreement due to force majeure, it shall notify the Ministry of Agriculture, Forestry and Fisheries in writing, specifying the reasons and its obligations shall be temporarily suspended during this period. --Art. 15</v>
      </c>
    </row>
    <row r="138" spans="1:8">
      <c r="A138" s="10" t="s">
        <v>175</v>
      </c>
      <c r="B138" s="124" t="s">
        <v>173</v>
      </c>
      <c r="C138" s="191"/>
      <c r="D138" s="33"/>
      <c r="E138" s="33"/>
      <c r="F138" s="41"/>
      <c r="G138" s="42" t="str">
        <f>IF(OR(Table1[[#This Row],[English]]&lt;&gt;"",Table1[[#This Row],[Français]]&lt;&gt;""),Table1[[#This Row],[Français]]&amp;"//"&amp;Table1[[#This Row],[English]],"")</f>
        <v>Expropriation//Expropriation / nationalization</v>
      </c>
      <c r="H138" s="43" t="str">
        <f t="shared" si="2"/>
        <v/>
      </c>
    </row>
    <row r="139" spans="1:8">
      <c r="A139" s="83" t="s">
        <v>176</v>
      </c>
      <c r="B139" s="82" t="s">
        <v>174</v>
      </c>
      <c r="C139" s="187"/>
      <c r="D139" s="197"/>
      <c r="E139" s="160"/>
      <c r="F139" s="101"/>
      <c r="G139" s="102" t="str">
        <f>IF(OR(Table1[[#This Row],[English]]&lt;&gt;"",Table1[[#This Row],[Français]]&lt;&gt;""),Table1[[#This Row],[Français]]&amp;"//"&amp;Table1[[#This Row],[English]],"")</f>
        <v>Autre - [le nom de catégorie]//Other - [Name of Category]</v>
      </c>
      <c r="H139" s="103" t="str">
        <f>IF(C139&lt;&gt;"",IF(D139&lt;&gt;"",C139&amp;"--"&amp;D139,C139),"")</f>
        <v/>
      </c>
    </row>
    <row r="140" spans="1:8">
      <c r="A140" s="44"/>
      <c r="B140" s="14"/>
      <c r="C140" s="192"/>
      <c r="D140" s="156"/>
      <c r="E140" s="156"/>
      <c r="F140" s="15"/>
      <c r="G140" s="16" t="str">
        <f>IF(OR(Table1[[#This Row],[English]]&lt;&gt;"",Table1[[#This Row],[Français]]&lt;&gt;""),Table1[[#This Row],[Français]]&amp;"//"&amp;Table1[[#This Row],[English]],"")</f>
        <v/>
      </c>
      <c r="H140" s="17" t="str">
        <f t="shared" si="2"/>
        <v/>
      </c>
    </row>
    <row r="141" spans="1:8" ht="30">
      <c r="A141" s="21" t="s">
        <v>157</v>
      </c>
      <c r="B141" s="21" t="s">
        <v>158</v>
      </c>
      <c r="C141" s="188"/>
      <c r="D141" s="161"/>
      <c r="E141" s="161"/>
      <c r="F141" s="21"/>
      <c r="G141" s="45" t="str">
        <f>IF(OR(Table1[[#This Row],[English]]&lt;&gt;"",Table1[[#This Row],[Français]]&lt;&gt;""),Table1[[#This Row],[Français]]&amp;"//"&amp;Table1[[#This Row],[English]],"")</f>
        <v>III. Notes sur le document//III. Document notes</v>
      </c>
      <c r="H141" s="46" t="str">
        <f t="shared" si="2"/>
        <v/>
      </c>
    </row>
    <row r="142" spans="1:8">
      <c r="A142" s="10" t="s">
        <v>159</v>
      </c>
      <c r="B142" s="10" t="s">
        <v>160</v>
      </c>
      <c r="C142" s="189"/>
      <c r="D142" s="33"/>
      <c r="E142" s="33"/>
      <c r="F142" s="41"/>
      <c r="G142" s="42" t="str">
        <f>IF(OR(Table1[[#This Row],[English]]&lt;&gt;"",Table1[[#This Row],[Français]]&lt;&gt;""),Table1[[#This Row],[Français]]&amp;"//"&amp;Table1[[#This Row],[English]],"")</f>
        <v>Pages Manquantes de la copie//Pages missing from  copy</v>
      </c>
      <c r="H142" s="43" t="str">
        <f t="shared" si="2"/>
        <v/>
      </c>
    </row>
    <row r="143" spans="1:8" ht="165">
      <c r="A143" s="10" t="s">
        <v>161</v>
      </c>
      <c r="B143" s="10" t="s">
        <v>162</v>
      </c>
      <c r="C143" s="164" t="s">
        <v>915</v>
      </c>
      <c r="D143" s="10" t="s">
        <v>844</v>
      </c>
      <c r="E143" s="10" t="s">
        <v>845</v>
      </c>
      <c r="F143" s="22"/>
      <c r="G143" s="23" t="str">
        <f>IF(OR(Table1[[#This Row],[English]]&lt;&gt;"",Table1[[#This Row],[Français]]&lt;&gt;""),Table1[[#This Row],[Français]]&amp;"//"&amp;Table1[[#This Row],[English]],"")</f>
        <v>Annexes Manquantes de la copie//Annexes missing from copy</v>
      </c>
      <c r="H143" s="13" t="str">
        <f t="shared" si="2"/>
        <v>Map of location; Record of the study and evaluation on the requet of the concession land of the Global Agricultural Development (Cambodia) Co.; Ltd dated 13 January 2006--Art. 1</v>
      </c>
    </row>
    <row r="147" spans="1:8">
      <c r="A147"/>
      <c r="B147"/>
      <c r="C147"/>
      <c r="D147"/>
      <c r="G147"/>
      <c r="H147"/>
    </row>
    <row r="148" spans="1:8">
      <c r="A148"/>
      <c r="B148"/>
      <c r="C148"/>
      <c r="D148"/>
      <c r="G148"/>
      <c r="H148"/>
    </row>
    <row r="149" spans="1:8">
      <c r="A149"/>
      <c r="B149"/>
      <c r="C149"/>
      <c r="D149"/>
      <c r="G149"/>
      <c r="H149"/>
    </row>
    <row r="150" spans="1:8">
      <c r="A150"/>
      <c r="B150"/>
      <c r="C150"/>
      <c r="D150"/>
      <c r="G150"/>
      <c r="H150"/>
    </row>
  </sheetData>
  <mergeCells count="3">
    <mergeCell ref="B16:C16"/>
    <mergeCell ref="G16:H16"/>
    <mergeCell ref="C12:D12"/>
  </mergeCells>
  <phoneticPr fontId="15"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5">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5" sqref="B5"/>
    </sheetView>
  </sheetViews>
  <sheetFormatPr baseColWidth="10" defaultColWidth="8.6640625" defaultRowHeight="16" x14ac:dyDescent="0"/>
  <cols>
    <col min="1" max="1" width="30.5" customWidth="1"/>
    <col min="2" max="2" width="31.83203125" style="213" customWidth="1"/>
    <col min="3" max="3" width="23" bestFit="1" customWidth="1"/>
  </cols>
  <sheetData>
    <row r="1" spans="1:2" ht="15">
      <c r="A1" s="49" t="s">
        <v>163</v>
      </c>
      <c r="B1" s="212" t="s">
        <v>164</v>
      </c>
    </row>
    <row r="2" spans="1:2">
      <c r="A2" s="210" t="s">
        <v>749</v>
      </c>
      <c r="B2" s="213" t="str">
        <f>IF(Categories!C135&lt;&gt;"",Categories!C135,"ENG")</f>
        <v>ENG</v>
      </c>
    </row>
    <row r="3" spans="1:2">
      <c r="A3" s="50" t="s">
        <v>243</v>
      </c>
      <c r="B3" s="214" t="str">
        <f>IF(Categories!C19&lt;&gt;"",Categories!C19,"")</f>
        <v>Cambodia</v>
      </c>
    </row>
    <row r="4" spans="1:2">
      <c r="A4" s="50" t="s">
        <v>735</v>
      </c>
      <c r="B4" s="214" t="str">
        <f>IF(Categories!C19&lt;&gt;"",VLOOKUP(Categories!C19,picklists!A2:B248,2,FALSE), "")</f>
        <v>KHM</v>
      </c>
    </row>
    <row r="5" spans="1:2">
      <c r="A5" t="s">
        <v>737</v>
      </c>
      <c r="B5" s="213" t="str">
        <f>IF(Categories!C51&lt;&gt;"",Categories!C51,"")</f>
        <v>Teak Tree (Tectona grandis)</v>
      </c>
    </row>
    <row r="6" spans="1:2">
      <c r="A6" s="50" t="s">
        <v>165</v>
      </c>
      <c r="B6" s="214" t="str">
        <f>IF(Categories!C27&lt;&gt;"",VLOOKUP(Categories!C27,picklists!I3:J26,IF(B2="ENG",1,IF(B2="FRE",2,1)),FALSE),"")</f>
        <v>Concession</v>
      </c>
    </row>
    <row r="7" spans="1:2" ht="15">
      <c r="A7" s="50" t="s">
        <v>166</v>
      </c>
      <c r="B7" s="222">
        <v>38791</v>
      </c>
    </row>
    <row r="8" spans="1:2">
      <c r="A8" t="s">
        <v>167</v>
      </c>
      <c r="B8" s="213">
        <f>IF(Categories!C48&lt;&gt;"",Categories!C48,"")</f>
        <v>2006</v>
      </c>
    </row>
    <row r="9" spans="1:2">
      <c r="A9" t="s">
        <v>168</v>
      </c>
      <c r="B9" s="213" t="str">
        <f>IF(Categories!C49&lt;&gt;"",Categories!C49,"")</f>
        <v>70 years, expiring on 15 March 2076</v>
      </c>
    </row>
    <row r="10" spans="1:2" ht="15">
      <c r="A10" s="228" t="s">
        <v>745</v>
      </c>
      <c r="B10" s="228"/>
    </row>
    <row r="11" spans="1:2">
      <c r="A11" s="209" t="s">
        <v>12</v>
      </c>
      <c r="B11" s="213" t="str">
        <f>IF(Categories!C20&lt;&gt;"",Categories!C20,"")</f>
        <v>Global Agricultural Development (Cambodia) Co.; Ltd</v>
      </c>
    </row>
    <row r="12" spans="1:2">
      <c r="A12" s="209" t="s">
        <v>241</v>
      </c>
      <c r="B12" s="213" t="str">
        <f>IF(Categories!C21&lt;&gt;"",Categories!C21,"")</f>
        <v/>
      </c>
    </row>
    <row r="13" spans="1:2">
      <c r="A13" s="209" t="s">
        <v>14</v>
      </c>
      <c r="B13" s="213" t="str">
        <f>IF(Categories!C22&lt;&gt;"",Categories!C22,"")</f>
        <v>No 1533, National road No 2, Chak Angrai Kroum Quarter, Mean Chhay District, Phnom Penh</v>
      </c>
    </row>
    <row r="14" spans="1:2">
      <c r="A14" s="209" t="s">
        <v>16</v>
      </c>
      <c r="B14" s="213" t="str">
        <f>IF(Categories!C23&lt;&gt;"",Categories!C23,"")</f>
        <v/>
      </c>
    </row>
    <row r="15" spans="1:2">
      <c r="A15" s="209" t="s">
        <v>746</v>
      </c>
      <c r="B15" s="213" t="str">
        <f>IF(Categories!C24&lt;&gt;"",Categories!C24,"")</f>
        <v/>
      </c>
    </row>
    <row r="16" spans="1:2">
      <c r="A16" s="209" t="s">
        <v>241</v>
      </c>
      <c r="B16" s="213" t="str">
        <f>IF(Categories!C25&lt;&gt;"",Categories!C25,"")</f>
        <v/>
      </c>
    </row>
    <row r="17" spans="1:2">
      <c r="A17" s="209" t="s">
        <v>19</v>
      </c>
      <c r="B17" s="213" t="str">
        <f>IF(Categories!C26&lt;&gt;"",Categories!C26,"")</f>
        <v/>
      </c>
    </row>
    <row r="18" spans="1:2">
      <c r="A18" s="209" t="s">
        <v>22</v>
      </c>
      <c r="B18" s="213" t="str">
        <f>IF(Categories!C28&lt;&gt;"",Categories!C28,"")</f>
        <v/>
      </c>
    </row>
    <row r="19" spans="1:2" ht="30">
      <c r="A19" s="209" t="s">
        <v>23</v>
      </c>
      <c r="B19" s="213" t="str">
        <f>IF(Categories!C29&lt;&gt;"",Categories!C29,"")</f>
        <v/>
      </c>
    </row>
    <row r="20" spans="1:2">
      <c r="A20" s="209" t="s">
        <v>747</v>
      </c>
      <c r="B20" s="213" t="str">
        <f>IF(Categories!C30&lt;&gt;"",Categories!C30,"")</f>
        <v>District of Sambour, Kratie province</v>
      </c>
    </row>
    <row r="21" spans="1:2">
      <c r="A21" s="209" t="s">
        <v>25</v>
      </c>
      <c r="B21" s="213" t="str">
        <f>IF(Categories!C31&lt;&gt;"",Categories!C31,"")</f>
        <v/>
      </c>
    </row>
    <row r="22" spans="1:2">
      <c r="A22" s="209" t="s">
        <v>27</v>
      </c>
      <c r="B22" s="213" t="str">
        <f>IF(Categories!C32&lt;&gt;"",Categories!C32,"")</f>
        <v/>
      </c>
    </row>
    <row r="23" spans="1:2">
      <c r="A23" s="209" t="s">
        <v>29</v>
      </c>
      <c r="B23" s="213" t="str">
        <f>IF(Categories!C33&lt;&gt;"",Categories!C33,"")</f>
        <v/>
      </c>
    </row>
    <row r="24" spans="1:2">
      <c r="A24" s="209" t="s">
        <v>31</v>
      </c>
      <c r="B24" s="213" t="str">
        <f>IF(Categories!C34&lt;&gt;"",Categories!C34,"")</f>
        <v/>
      </c>
    </row>
    <row r="25" spans="1:2">
      <c r="A25" s="209" t="s">
        <v>748</v>
      </c>
      <c r="B25" s="213" t="str">
        <f>IF(B24&lt;&gt;"",YEAR(B24),"")</f>
        <v/>
      </c>
    </row>
    <row r="26" spans="1:2">
      <c r="A26" s="209" t="s">
        <v>33</v>
      </c>
      <c r="B26" s="213" t="str">
        <f>IF(Categories!C35&lt;&gt;"",Categories!C35,"")</f>
        <v/>
      </c>
    </row>
    <row r="27" spans="1:2">
      <c r="A27" s="209" t="s">
        <v>35</v>
      </c>
      <c r="B27" s="213" t="str">
        <f>IF(Categories!C36&lt;&gt;"",Categories!C36,"")</f>
        <v/>
      </c>
    </row>
    <row r="28" spans="1:2" ht="45">
      <c r="A28" s="209" t="s">
        <v>41</v>
      </c>
      <c r="B28" s="213" t="str">
        <f>IF(Categories!C40&lt;&gt;"",Categories!C40,"")</f>
        <v>Global Agricultural Development (Cambodia) Co.; Ltd</v>
      </c>
    </row>
    <row r="29" spans="1:2">
      <c r="A29" s="209" t="s">
        <v>241</v>
      </c>
      <c r="B29" s="213" t="str">
        <f>IF(Categories!C41&lt;&gt;"",Categories!C41,"")</f>
        <v/>
      </c>
    </row>
    <row r="30" spans="1:2">
      <c r="A30" s="209" t="s">
        <v>43</v>
      </c>
      <c r="B30" s="213" t="str">
        <f>IF(Categories!C42&lt;&gt;"",Categories!C42,"")</f>
        <v/>
      </c>
    </row>
    <row r="31" spans="1:2" ht="30">
      <c r="A31" s="209" t="s">
        <v>45</v>
      </c>
      <c r="B31" s="213" t="str">
        <f>IF(Categories!C43&lt;&gt;"",Categories!C43,"")</f>
        <v>The Ministry of Agriculture, Forestry and Fisheries</v>
      </c>
    </row>
    <row r="32" spans="1:2">
      <c r="A32" s="209" t="s">
        <v>47</v>
      </c>
      <c r="B32" s="213" t="str">
        <f>IF(Categories!C44&lt;&gt;"",Categories!C44,"")</f>
        <v/>
      </c>
    </row>
    <row r="33" spans="1:2" ht="30">
      <c r="A33" s="209" t="s">
        <v>49</v>
      </c>
      <c r="B33" s="213" t="str">
        <f>IF(Categories!C45&lt;&gt;"",Categories!C45,"")</f>
        <v/>
      </c>
    </row>
    <row r="34" spans="1:2" ht="30">
      <c r="A34" s="209" t="s">
        <v>169</v>
      </c>
      <c r="B34" s="213" t="str">
        <f>IF(Categories!C46&lt;&gt;"",Categories!C46,"")</f>
        <v/>
      </c>
    </row>
    <row r="35" spans="1:2">
      <c r="A35" s="209" t="s">
        <v>57</v>
      </c>
      <c r="B35" s="213" t="str">
        <f>IF(Categories!C50&lt;&gt;"",Categories!C50,"")</f>
        <v>Global Agricultural Development (Cambodia) shall have the right to renew the agreement after expiration of the 70-year period. 1 year prior to the expiration of the agreement, Global Agricultural Development (Cambodia) may ask to renew the investment. This renewal can only be made once an approval has been obtained from the Government at the request of the Ministry of Agriculture, Forestry and Fisheries, based upon the previous performance of Global Agricultural Development (Cambodia) and according to the mutual agreement from the Ministry of Agriculture, Forestry and Fisheries on the terms and conditions of the new contract.</v>
      </c>
    </row>
    <row r="36" spans="1:2">
      <c r="A36" s="209" t="s">
        <v>216</v>
      </c>
      <c r="B36" s="213" t="str">
        <f>IF(Categories!C52&lt;&gt;"",Categories!C52,"")</f>
        <v>9,800 ha</v>
      </c>
    </row>
    <row r="37" spans="1:2">
      <c r="A37" s="211" t="s">
        <v>160</v>
      </c>
      <c r="B37" s="213" t="str">
        <f>IF(Categories!C142&lt;&gt;"",Categories!C142,"")</f>
        <v/>
      </c>
    </row>
    <row r="38" spans="1:2">
      <c r="A38" s="211" t="s">
        <v>162</v>
      </c>
      <c r="B38" s="213" t="str">
        <f>IF(Categories!C143&lt;&gt;"",Categories!C143,"")</f>
        <v>Map of location; Record of the study and evaluation on the requet of the concession land of the Global Agricultural Development (Cambodia) Co.; Ltd dated 13 January 2006</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243</v>
      </c>
      <c r="B1" t="s">
        <v>244</v>
      </c>
      <c r="D1" t="s">
        <v>736</v>
      </c>
      <c r="H1" t="s">
        <v>738</v>
      </c>
      <c r="I1" t="s">
        <v>738</v>
      </c>
      <c r="L1" t="s">
        <v>749</v>
      </c>
    </row>
    <row r="2" spans="1:13">
      <c r="A2" t="s">
        <v>245</v>
      </c>
      <c r="B2" t="s">
        <v>246</v>
      </c>
      <c r="D2" t="str">
        <f>IF(Metadata!B2="ENG",E2,F2)</f>
        <v>Aluminium</v>
      </c>
      <c r="E2" t="s">
        <v>819</v>
      </c>
      <c r="F2" t="s">
        <v>820</v>
      </c>
      <c r="H2" t="str">
        <f>IF(Metadata!B2="ENG",I2,J2)</f>
        <v>Amodiation contract</v>
      </c>
      <c r="I2" t="s">
        <v>814</v>
      </c>
      <c r="J2" t="s">
        <v>815</v>
      </c>
      <c r="L2" t="s">
        <v>756</v>
      </c>
      <c r="M2" t="s">
        <v>758</v>
      </c>
    </row>
    <row r="3" spans="1:13">
      <c r="A3" t="s">
        <v>247</v>
      </c>
      <c r="B3" t="s">
        <v>248</v>
      </c>
      <c r="D3" t="str">
        <f>IF(Metadata!B2="ENG",E3,F3)</f>
        <v>Base metals</v>
      </c>
      <c r="E3" t="s">
        <v>769</v>
      </c>
      <c r="F3" t="s">
        <v>838</v>
      </c>
      <c r="H3" t="str">
        <f>IF(Metadata!B2="ENG",I3,J3)</f>
        <v>Concession</v>
      </c>
      <c r="I3" s="208" t="s">
        <v>740</v>
      </c>
      <c r="J3" s="208" t="s">
        <v>740</v>
      </c>
      <c r="L3" t="s">
        <v>757</v>
      </c>
      <c r="M3" t="s">
        <v>755</v>
      </c>
    </row>
    <row r="4" spans="1:13">
      <c r="A4" t="s">
        <v>249</v>
      </c>
      <c r="B4" t="s">
        <v>250</v>
      </c>
      <c r="D4" t="str">
        <f>IF(Metadata!B2="ENG",E4,F4)</f>
        <v>Bauxite</v>
      </c>
      <c r="E4" s="215" t="s">
        <v>770</v>
      </c>
      <c r="F4" s="215" t="s">
        <v>770</v>
      </c>
      <c r="H4" t="str">
        <f>IF(Metadata!B2="ENG",I4,J4)</f>
        <v>Convention</v>
      </c>
      <c r="I4" t="s">
        <v>759</v>
      </c>
      <c r="J4" t="s">
        <v>759</v>
      </c>
    </row>
    <row r="5" spans="1:13">
      <c r="A5" t="s">
        <v>251</v>
      </c>
      <c r="B5" t="s">
        <v>252</v>
      </c>
      <c r="D5" t="str">
        <f>IF(Metadata!B2="ENG",E5,F5)</f>
        <v>Coal</v>
      </c>
      <c r="E5" t="s">
        <v>771</v>
      </c>
      <c r="F5" t="s">
        <v>772</v>
      </c>
      <c r="H5" t="str">
        <f>IF(Metadata!B2="ENG",I5,J5)</f>
        <v>Exploration Permit/License</v>
      </c>
      <c r="I5" s="208" t="s">
        <v>739</v>
      </c>
      <c r="J5" t="s">
        <v>750</v>
      </c>
    </row>
    <row r="6" spans="1:13" ht="30">
      <c r="A6" t="s">
        <v>253</v>
      </c>
      <c r="B6" t="s">
        <v>254</v>
      </c>
      <c r="D6" t="str">
        <f>IF(Metadata!B2="ENG",E6,F6)</f>
        <v>Cobalt</v>
      </c>
      <c r="E6" t="s">
        <v>773</v>
      </c>
      <c r="F6" t="s">
        <v>773</v>
      </c>
      <c r="H6" t="str">
        <f>IF(Metadata!B2="ENG",I6,J6)</f>
        <v>Exploitation Permit/License</v>
      </c>
      <c r="I6" s="208" t="s">
        <v>760</v>
      </c>
      <c r="J6" t="s">
        <v>761</v>
      </c>
    </row>
    <row r="7" spans="1:13" ht="30">
      <c r="A7" t="s">
        <v>255</v>
      </c>
      <c r="B7" t="s">
        <v>256</v>
      </c>
      <c r="D7" t="str">
        <f>IF(Metadata!B2="ENG",E7,F7)</f>
        <v>Copper</v>
      </c>
      <c r="E7" t="s">
        <v>774</v>
      </c>
      <c r="F7" t="s">
        <v>826</v>
      </c>
      <c r="H7" t="str">
        <f>IF(Metadata!B2="ENG",I7,J7)</f>
        <v>Forestry Concession Contract</v>
      </c>
      <c r="I7" s="208" t="s">
        <v>767</v>
      </c>
      <c r="J7" t="s">
        <v>768</v>
      </c>
    </row>
    <row r="8" spans="1:13">
      <c r="A8" t="s">
        <v>257</v>
      </c>
      <c r="B8" t="s">
        <v>258</v>
      </c>
      <c r="D8" t="str">
        <f>IF(Metadata!B2="ENG",E8,F8)</f>
        <v>Crude oil</v>
      </c>
      <c r="E8" t="s">
        <v>775</v>
      </c>
      <c r="F8" t="s">
        <v>776</v>
      </c>
      <c r="H8" t="str">
        <f>IF(Metadata!B2="ENG",I8,J8)</f>
        <v>Investment Agreement</v>
      </c>
      <c r="I8" s="208" t="s">
        <v>762</v>
      </c>
      <c r="J8" t="s">
        <v>809</v>
      </c>
    </row>
    <row r="9" spans="1:13" ht="30">
      <c r="A9" t="s">
        <v>259</v>
      </c>
      <c r="B9" t="s">
        <v>260</v>
      </c>
      <c r="D9" t="str">
        <f>IF(Metadata!B2="ENG",E9,F9)</f>
        <v>Diamonds</v>
      </c>
      <c r="E9" t="s">
        <v>777</v>
      </c>
      <c r="F9" t="s">
        <v>827</v>
      </c>
      <c r="H9" t="str">
        <f>IF(Metadata!B2="ENG",I9,J9)</f>
        <v>Investment Incentive Contract</v>
      </c>
      <c r="I9" s="208" t="s">
        <v>763</v>
      </c>
      <c r="J9" t="s">
        <v>810</v>
      </c>
    </row>
    <row r="10" spans="1:13">
      <c r="A10" t="s">
        <v>261</v>
      </c>
      <c r="B10" t="s">
        <v>262</v>
      </c>
      <c r="D10" t="str">
        <f>IF(Metadata!B2="ENG",E10,F10)</f>
        <v>Gas</v>
      </c>
      <c r="E10" t="s">
        <v>778</v>
      </c>
      <c r="F10" t="s">
        <v>779</v>
      </c>
      <c r="H10" t="str">
        <f>IF(Metadata!B2="ENG",I10,J10)</f>
        <v>Joint Venture Contract</v>
      </c>
      <c r="I10" t="s">
        <v>764</v>
      </c>
      <c r="J10" t="s">
        <v>811</v>
      </c>
      <c r="K10" s="218"/>
    </row>
    <row r="11" spans="1:13">
      <c r="A11" t="s">
        <v>263</v>
      </c>
      <c r="B11" t="s">
        <v>264</v>
      </c>
      <c r="D11" t="str">
        <f>IF(Metadata!B2="ENG",E11,F11)</f>
        <v>Gold</v>
      </c>
      <c r="E11" t="s">
        <v>780</v>
      </c>
      <c r="F11" t="s">
        <v>781</v>
      </c>
      <c r="H11" t="str">
        <f>IF(Metadata!B2="ENG",I11,J11)</f>
        <v>Lease</v>
      </c>
      <c r="I11" t="s">
        <v>743</v>
      </c>
      <c r="J11" t="s">
        <v>753</v>
      </c>
    </row>
    <row r="12" spans="1:13" ht="30">
      <c r="A12" t="s">
        <v>265</v>
      </c>
      <c r="B12" t="s">
        <v>266</v>
      </c>
      <c r="D12" t="str">
        <f>IF(Metadata!B2="ENG",E12,F12)</f>
        <v>Iron ore</v>
      </c>
      <c r="E12" t="s">
        <v>782</v>
      </c>
      <c r="F12" t="s">
        <v>818</v>
      </c>
      <c r="H12" t="str">
        <f>IF(Metadata!B2="ENG",I12,J12)</f>
        <v>Production Sharing Agreement</v>
      </c>
      <c r="I12" s="208" t="s">
        <v>744</v>
      </c>
      <c r="J12" t="s">
        <v>751</v>
      </c>
    </row>
    <row r="13" spans="1:13" ht="45">
      <c r="A13" t="s">
        <v>267</v>
      </c>
      <c r="B13" t="s">
        <v>268</v>
      </c>
      <c r="D13" t="str">
        <f>IF(Metadata!B2="ENG",E13,F13)</f>
        <v>Lapis lazuli</v>
      </c>
      <c r="E13" t="s">
        <v>783</v>
      </c>
      <c r="F13" t="s">
        <v>823</v>
      </c>
      <c r="H13" t="str">
        <f>IF(Metadata!B2="ENG",I13,J13)</f>
        <v>Operating Agreement between Private Companies</v>
      </c>
      <c r="I13" s="208" t="s">
        <v>765</v>
      </c>
      <c r="J13" t="s">
        <v>812</v>
      </c>
    </row>
    <row r="14" spans="1:13">
      <c r="A14" t="s">
        <v>269</v>
      </c>
      <c r="B14" t="s">
        <v>270</v>
      </c>
      <c r="D14" t="str">
        <f>IF(Metadata!B2="ENG",E14,F14)</f>
        <v>Lead</v>
      </c>
      <c r="E14" t="s">
        <v>784</v>
      </c>
      <c r="F14" t="s">
        <v>824</v>
      </c>
      <c r="H14" t="str">
        <f>IF(Metadata!B2="ENG",I14,J14)</f>
        <v>Options contract</v>
      </c>
      <c r="I14" s="208" t="s">
        <v>816</v>
      </c>
      <c r="J14" t="s">
        <v>817</v>
      </c>
    </row>
    <row r="15" spans="1:13">
      <c r="A15" t="s">
        <v>271</v>
      </c>
      <c r="B15" t="s">
        <v>272</v>
      </c>
      <c r="D15" t="str">
        <f>IF(Metadata!B2="ENG",E15,F15)</f>
        <v>Lithium</v>
      </c>
      <c r="E15" t="s">
        <v>785</v>
      </c>
      <c r="F15" t="s">
        <v>785</v>
      </c>
      <c r="H15" t="str">
        <f>IF(Metadata!B2="ENG",I15,J15)</f>
        <v>Profit Sharing Contract</v>
      </c>
      <c r="I15" s="208" t="s">
        <v>766</v>
      </c>
      <c r="J15" t="s">
        <v>813</v>
      </c>
    </row>
    <row r="16" spans="1:13">
      <c r="A16" t="s">
        <v>273</v>
      </c>
      <c r="B16" t="s">
        <v>274</v>
      </c>
      <c r="D16" t="str">
        <f>IF(Metadata!B2="ENG",E16,F16)</f>
        <v>Manganese</v>
      </c>
      <c r="E16" t="s">
        <v>786</v>
      </c>
      <c r="F16" t="s">
        <v>825</v>
      </c>
      <c r="H16" t="str">
        <f>IF(Metadata!B2="ENG",I16,J16)</f>
        <v>Service Contract</v>
      </c>
      <c r="I16" s="208" t="s">
        <v>741</v>
      </c>
      <c r="J16" t="s">
        <v>752</v>
      </c>
    </row>
    <row r="17" spans="1:10">
      <c r="A17" t="s">
        <v>275</v>
      </c>
      <c r="B17" t="s">
        <v>276</v>
      </c>
      <c r="D17" t="str">
        <f>IF(Metadata!B2="ENG",E17,F17)</f>
        <v>Molybdenum</v>
      </c>
      <c r="E17" t="s">
        <v>821</v>
      </c>
      <c r="F17" t="s">
        <v>822</v>
      </c>
      <c r="H17" t="str">
        <f>IF(Metadata!B2="ENG",I17,J17)</f>
        <v>Other</v>
      </c>
      <c r="I17" s="208" t="s">
        <v>742</v>
      </c>
      <c r="J17" t="s">
        <v>754</v>
      </c>
    </row>
    <row r="18" spans="1:10">
      <c r="A18" t="s">
        <v>277</v>
      </c>
      <c r="B18" t="s">
        <v>278</v>
      </c>
      <c r="D18" t="str">
        <f>IF(Metadata!B2="ENG",E18,F18)</f>
        <v>Nickel</v>
      </c>
      <c r="E18" t="s">
        <v>787</v>
      </c>
      <c r="F18" t="s">
        <v>787</v>
      </c>
      <c r="H18">
        <f>IF(Metadata!B2="ENG",I18,J18)</f>
        <v>0</v>
      </c>
    </row>
    <row r="19" spans="1:10">
      <c r="A19" t="s">
        <v>279</v>
      </c>
      <c r="B19" t="s">
        <v>280</v>
      </c>
      <c r="D19" t="str">
        <f>IF(Metadata!B2="ENG",E19,F19)</f>
        <v>Phosphate rock</v>
      </c>
      <c r="E19" t="s">
        <v>788</v>
      </c>
      <c r="F19" t="s">
        <v>828</v>
      </c>
      <c r="H19">
        <f>IF(Metadata!B2="ENG",I19,J19)</f>
        <v>0</v>
      </c>
    </row>
    <row r="20" spans="1:10">
      <c r="A20" t="s">
        <v>281</v>
      </c>
      <c r="B20" t="s">
        <v>282</v>
      </c>
      <c r="D20" t="str">
        <f>IF(Metadata!B2="ENG",E20,F20)</f>
        <v>Platinum Group Metals</v>
      </c>
      <c r="E20" t="s">
        <v>789</v>
      </c>
      <c r="F20" t="s">
        <v>829</v>
      </c>
      <c r="H20">
        <f>IF(Metadata!B2="ENG",I20,J20)</f>
        <v>0</v>
      </c>
    </row>
    <row r="21" spans="1:10">
      <c r="A21" t="s">
        <v>283</v>
      </c>
      <c r="B21" t="s">
        <v>284</v>
      </c>
      <c r="D21" t="str">
        <f>IF(Metadata!B2="ENG",E21,F21)</f>
        <v>Precious stones</v>
      </c>
      <c r="E21" t="s">
        <v>790</v>
      </c>
      <c r="F21" t="s">
        <v>830</v>
      </c>
      <c r="H21">
        <f>IF(Metadata!B2="ENG",I21,J21)</f>
        <v>0</v>
      </c>
    </row>
    <row r="22" spans="1:10">
      <c r="A22" t="s">
        <v>285</v>
      </c>
      <c r="B22" t="s">
        <v>286</v>
      </c>
      <c r="D22" t="str">
        <f>IF(Metadata!B2="ENG",E22,F22)</f>
        <v>Quartz</v>
      </c>
      <c r="E22" t="s">
        <v>791</v>
      </c>
      <c r="F22" t="s">
        <v>791</v>
      </c>
      <c r="H22">
        <f>IF(Metadata!B2="ENG",I22,J22)</f>
        <v>0</v>
      </c>
    </row>
    <row r="23" spans="1:10">
      <c r="A23" t="s">
        <v>287</v>
      </c>
      <c r="B23" t="s">
        <v>288</v>
      </c>
      <c r="D23" t="str">
        <f>IF(Metadata!B2="ENG",E23,F23)</f>
        <v>Semi-precious stones</v>
      </c>
      <c r="E23" t="s">
        <v>792</v>
      </c>
      <c r="F23" t="s">
        <v>831</v>
      </c>
      <c r="H23">
        <f>IF(Metadata!B2="ENG",I23,J23)</f>
        <v>0</v>
      </c>
    </row>
    <row r="24" spans="1:10">
      <c r="A24" t="s">
        <v>289</v>
      </c>
      <c r="B24" t="s">
        <v>290</v>
      </c>
      <c r="D24" t="str">
        <f>IF(Metadata!B2="ENG",E24,F24)</f>
        <v>Silver</v>
      </c>
      <c r="E24" t="s">
        <v>793</v>
      </c>
      <c r="F24" t="s">
        <v>832</v>
      </c>
      <c r="H24">
        <f>IF(Metadata!B2="ENG",I24,J24)</f>
        <v>0</v>
      </c>
    </row>
    <row r="25" spans="1:10">
      <c r="A25" t="s">
        <v>291</v>
      </c>
      <c r="B25" t="s">
        <v>292</v>
      </c>
      <c r="D25" t="str">
        <f>IF(Metadata!B2="ENG",E25,F25)</f>
        <v>Titanium</v>
      </c>
      <c r="E25" t="s">
        <v>794</v>
      </c>
      <c r="F25" t="s">
        <v>833</v>
      </c>
      <c r="H25">
        <f>IF(Metadata!B2="ENG",I25,J25)</f>
        <v>0</v>
      </c>
    </row>
    <row r="26" spans="1:10">
      <c r="A26" t="s">
        <v>293</v>
      </c>
      <c r="B26" t="s">
        <v>294</v>
      </c>
      <c r="D26" t="str">
        <f>IF(Metadata!B2="ENG",E26,F26)</f>
        <v>Uranium</v>
      </c>
      <c r="E26" t="s">
        <v>795</v>
      </c>
      <c r="F26" t="s">
        <v>795</v>
      </c>
      <c r="H26">
        <f>IF(Metadata!B2="ENG",I26,J26)</f>
        <v>0</v>
      </c>
    </row>
    <row r="27" spans="1:10">
      <c r="A27" t="s">
        <v>295</v>
      </c>
      <c r="B27" t="s">
        <v>296</v>
      </c>
      <c r="D27" t="str">
        <f>IF(Metadata!B2="ENG",E27,F27)</f>
        <v>Zinc</v>
      </c>
      <c r="E27" t="s">
        <v>796</v>
      </c>
      <c r="F27" t="s">
        <v>796</v>
      </c>
      <c r="H27">
        <f>IF(Metadata!B2="ENG",I27,J27)</f>
        <v>0</v>
      </c>
    </row>
    <row r="28" spans="1:10">
      <c r="A28" t="s">
        <v>297</v>
      </c>
      <c r="B28" t="s">
        <v>298</v>
      </c>
      <c r="D28" t="str">
        <f>IF(Metadata!B2="ENG",E28,F28)</f>
        <v>Citrus</v>
      </c>
      <c r="E28" t="s">
        <v>797</v>
      </c>
      <c r="F28" t="s">
        <v>797</v>
      </c>
      <c r="H28">
        <f>IF(Metadata!B2="ENG",I28,J28)</f>
        <v>0</v>
      </c>
    </row>
    <row r="29" spans="1:10">
      <c r="A29" t="s">
        <v>299</v>
      </c>
      <c r="B29" t="s">
        <v>300</v>
      </c>
      <c r="D29" t="str">
        <f>IF(Metadata!B2="ENG",E29,F29)</f>
        <v>Food crops</v>
      </c>
      <c r="E29" t="s">
        <v>798</v>
      </c>
      <c r="F29" t="s">
        <v>799</v>
      </c>
      <c r="H29">
        <f>IF(Metadata!B2="ENG",I29,J29)</f>
        <v>0</v>
      </c>
    </row>
    <row r="30" spans="1:10">
      <c r="A30" t="s">
        <v>301</v>
      </c>
      <c r="B30" t="s">
        <v>302</v>
      </c>
      <c r="D30" t="str">
        <f>IF(Metadata!B2="ENG",E30,F30)</f>
        <v>Hydrocarbons</v>
      </c>
      <c r="E30" t="s">
        <v>800</v>
      </c>
      <c r="F30" t="s">
        <v>834</v>
      </c>
      <c r="H30">
        <f>IF(Metadata!B2="ENG",I30,J30)</f>
        <v>0</v>
      </c>
    </row>
    <row r="31" spans="1:10">
      <c r="A31" t="s">
        <v>303</v>
      </c>
      <c r="B31" t="s">
        <v>304</v>
      </c>
      <c r="D31" t="str">
        <f>IF(Metadata!B2="ENG",E31,F31)</f>
        <v>Palm oil</v>
      </c>
      <c r="E31" t="s">
        <v>801</v>
      </c>
      <c r="F31" t="s">
        <v>802</v>
      </c>
      <c r="H31">
        <f>IF(Metadata!B2="ENG",I31,J31)</f>
        <v>0</v>
      </c>
    </row>
    <row r="32" spans="1:10">
      <c r="A32" t="s">
        <v>305</v>
      </c>
      <c r="B32" t="s">
        <v>306</v>
      </c>
      <c r="D32" t="str">
        <f>IF(Metadata!B2="ENG",E32,F32)</f>
        <v>Rubber</v>
      </c>
      <c r="E32" t="s">
        <v>803</v>
      </c>
      <c r="F32" t="s">
        <v>835</v>
      </c>
      <c r="H32">
        <f>IF(Metadata!B2="ENG",I32,J32)</f>
        <v>0</v>
      </c>
    </row>
    <row r="33" spans="1:8">
      <c r="A33" t="s">
        <v>307</v>
      </c>
      <c r="B33" t="s">
        <v>308</v>
      </c>
      <c r="D33" t="str">
        <f>IF(Metadata!B2="ENG",E33,F33)</f>
        <v>Soy</v>
      </c>
      <c r="E33" t="s">
        <v>804</v>
      </c>
      <c r="F33" t="s">
        <v>836</v>
      </c>
      <c r="H33">
        <f>IF(Metadata!B2="ENG",I33,J33)</f>
        <v>0</v>
      </c>
    </row>
    <row r="34" spans="1:8">
      <c r="A34" t="s">
        <v>309</v>
      </c>
      <c r="B34" t="s">
        <v>310</v>
      </c>
      <c r="D34" t="str">
        <f>IF(Metadata!B2="ENG",E34,F34)</f>
        <v>Sugar</v>
      </c>
      <c r="E34" t="s">
        <v>805</v>
      </c>
      <c r="F34" t="s">
        <v>806</v>
      </c>
      <c r="H34">
        <f>IF(Metadata!B2="ENG",I34,J34)</f>
        <v>0</v>
      </c>
    </row>
    <row r="35" spans="1:8">
      <c r="A35" t="s">
        <v>311</v>
      </c>
      <c r="B35" t="s">
        <v>312</v>
      </c>
      <c r="D35" t="str">
        <f>IF(Metadata!B2="ENG",E35,F35)</f>
        <v>Timber</v>
      </c>
      <c r="E35" t="s">
        <v>807</v>
      </c>
      <c r="F35" t="s">
        <v>808</v>
      </c>
      <c r="H35">
        <f>IF(Metadata!B2="ENG",I35,J35)</f>
        <v>0</v>
      </c>
    </row>
    <row r="36" spans="1:8">
      <c r="A36" t="s">
        <v>313</v>
      </c>
      <c r="B36" t="s">
        <v>314</v>
      </c>
      <c r="D36">
        <f>IF(Metadata!B2="ENG",E36,F36)</f>
        <v>0</v>
      </c>
      <c r="H36">
        <f>IF(Metadata!B2="ENG",I36,J36)</f>
        <v>0</v>
      </c>
    </row>
    <row r="37" spans="1:8">
      <c r="A37" t="s">
        <v>315</v>
      </c>
      <c r="B37" t="s">
        <v>316</v>
      </c>
      <c r="D37">
        <f>IF(Metadata!B2="ENG",E37,F37)</f>
        <v>0</v>
      </c>
      <c r="H37">
        <f>IF(Metadata!B2="ENG",I37,J37)</f>
        <v>0</v>
      </c>
    </row>
    <row r="38" spans="1:8">
      <c r="A38" t="s">
        <v>317</v>
      </c>
      <c r="B38" t="s">
        <v>318</v>
      </c>
      <c r="D38">
        <f>IF(Metadata!B2="ENG",E38,F38)</f>
        <v>0</v>
      </c>
      <c r="H38">
        <f>IF(Metadata!B2="ENG",I38,J38)</f>
        <v>0</v>
      </c>
    </row>
    <row r="39" spans="1:8">
      <c r="A39" t="s">
        <v>319</v>
      </c>
      <c r="B39" t="s">
        <v>320</v>
      </c>
      <c r="D39">
        <f>IF(Metadata!B2="ENG",E39,F39)</f>
        <v>0</v>
      </c>
      <c r="H39">
        <f>IF(Metadata!B2="ENG",I39,J39)</f>
        <v>0</v>
      </c>
    </row>
    <row r="40" spans="1:8">
      <c r="A40" t="s">
        <v>321</v>
      </c>
      <c r="B40" t="s">
        <v>322</v>
      </c>
      <c r="D40">
        <f>IF(Metadata!B2="ENG",E40,F40)</f>
        <v>0</v>
      </c>
      <c r="H40">
        <f>IF(Metadata!B2="ENG",I40,J40)</f>
        <v>0</v>
      </c>
    </row>
    <row r="41" spans="1:8">
      <c r="A41" t="s">
        <v>323</v>
      </c>
      <c r="B41" t="s">
        <v>324</v>
      </c>
      <c r="D41">
        <f>IF(Metadata!B2="ENG",E41,F41)</f>
        <v>0</v>
      </c>
      <c r="H41">
        <f>IF(Metadata!B2="ENG",I41,J41)</f>
        <v>0</v>
      </c>
    </row>
    <row r="42" spans="1:8">
      <c r="A42" t="s">
        <v>325</v>
      </c>
      <c r="B42" t="s">
        <v>326</v>
      </c>
      <c r="D42">
        <f>IF(Metadata!B2="ENG",E42,F42)</f>
        <v>0</v>
      </c>
      <c r="H42">
        <f>IF(Metadata!B2="ENG",I42,J42)</f>
        <v>0</v>
      </c>
    </row>
    <row r="43" spans="1:8">
      <c r="A43" t="s">
        <v>327</v>
      </c>
      <c r="B43" t="s">
        <v>328</v>
      </c>
      <c r="D43">
        <f>IF(Metadata!B2="ENG",E43,F43)</f>
        <v>0</v>
      </c>
      <c r="H43">
        <f>IF(Metadata!B2="ENG",I43,J43)</f>
        <v>0</v>
      </c>
    </row>
    <row r="44" spans="1:8">
      <c r="A44" t="s">
        <v>329</v>
      </c>
      <c r="B44" t="s">
        <v>330</v>
      </c>
      <c r="D44">
        <f>IF(Metadata!B2="ENG",E44,F44)</f>
        <v>0</v>
      </c>
      <c r="H44">
        <f>IF(Metadata!B2="ENG",I44,J44)</f>
        <v>0</v>
      </c>
    </row>
    <row r="45" spans="1:8">
      <c r="A45" t="s">
        <v>331</v>
      </c>
      <c r="B45" t="s">
        <v>332</v>
      </c>
      <c r="D45">
        <f>IF(Metadata!B2="ENG",E45,F45)</f>
        <v>0</v>
      </c>
      <c r="H45">
        <f>IF(Metadata!B2="ENG",I45,J45)</f>
        <v>0</v>
      </c>
    </row>
    <row r="46" spans="1:8">
      <c r="A46" t="s">
        <v>333</v>
      </c>
      <c r="B46" t="s">
        <v>334</v>
      </c>
      <c r="D46">
        <f>IF(Metadata!B2="ENG",E46,F46)</f>
        <v>0</v>
      </c>
      <c r="H46">
        <f>IF(Metadata!B2="ENG",I46,J46)</f>
        <v>0</v>
      </c>
    </row>
    <row r="47" spans="1:8">
      <c r="A47" t="s">
        <v>335</v>
      </c>
      <c r="B47" t="s">
        <v>336</v>
      </c>
      <c r="D47">
        <f>IF(Metadata!B2="ENG",E47,F47)</f>
        <v>0</v>
      </c>
      <c r="H47">
        <f>IF(Metadata!B2="ENG",I47,J47)</f>
        <v>0</v>
      </c>
    </row>
    <row r="48" spans="1:8">
      <c r="A48" t="s">
        <v>337</v>
      </c>
      <c r="B48" t="s">
        <v>338</v>
      </c>
      <c r="D48">
        <f>IF(Metadata!B2="ENG",E48,F48)</f>
        <v>0</v>
      </c>
      <c r="H48">
        <f>IF(Metadata!B2="ENG",I48,J48)</f>
        <v>0</v>
      </c>
    </row>
    <row r="49" spans="1:8">
      <c r="A49" t="s">
        <v>339</v>
      </c>
      <c r="B49" t="s">
        <v>340</v>
      </c>
      <c r="D49">
        <f>IF(Metadata!B2="ENG",E49,F49)</f>
        <v>0</v>
      </c>
      <c r="H49">
        <f>IF(Metadata!B2="ENG",I49,J49)</f>
        <v>0</v>
      </c>
    </row>
    <row r="50" spans="1:8">
      <c r="A50" t="s">
        <v>341</v>
      </c>
      <c r="B50" t="s">
        <v>342</v>
      </c>
      <c r="D50">
        <f>IF(Metadata!B2="ENG",E50,F50)</f>
        <v>0</v>
      </c>
      <c r="H50">
        <f>IF(Metadata!B2="ENG",I50,J50)</f>
        <v>0</v>
      </c>
    </row>
    <row r="51" spans="1:8">
      <c r="A51" t="s">
        <v>343</v>
      </c>
      <c r="B51" t="s">
        <v>344</v>
      </c>
      <c r="D51">
        <f>IF(Metadata!B2="ENG",E51,F51)</f>
        <v>0</v>
      </c>
      <c r="H51">
        <f>IF(Metadata!B2="ENG",I51,J51)</f>
        <v>0</v>
      </c>
    </row>
    <row r="52" spans="1:8">
      <c r="A52" t="s">
        <v>345</v>
      </c>
      <c r="B52" t="s">
        <v>346</v>
      </c>
      <c r="D52">
        <f>IF(Metadata!B2="ENG",E52,F52)</f>
        <v>0</v>
      </c>
      <c r="H52">
        <f>IF(Metadata!B2="ENG",I52,J52)</f>
        <v>0</v>
      </c>
    </row>
    <row r="53" spans="1:8">
      <c r="A53" t="s">
        <v>347</v>
      </c>
      <c r="B53" t="s">
        <v>348</v>
      </c>
      <c r="D53">
        <f>IF(Metadata!B2="ENG",E53,F53)</f>
        <v>0</v>
      </c>
      <c r="H53">
        <f>IF(Metadata!B2="ENG",I53,J53)</f>
        <v>0</v>
      </c>
    </row>
    <row r="54" spans="1:8">
      <c r="A54" t="s">
        <v>349</v>
      </c>
      <c r="B54" t="s">
        <v>350</v>
      </c>
      <c r="D54">
        <f>IF(Metadata!B2="ENG",E54,F54)</f>
        <v>0</v>
      </c>
      <c r="H54">
        <f>IF(Metadata!B2="ENG",I54,J54)</f>
        <v>0</v>
      </c>
    </row>
    <row r="55" spans="1:8">
      <c r="A55" t="s">
        <v>351</v>
      </c>
      <c r="B55" t="s">
        <v>352</v>
      </c>
      <c r="D55">
        <f>IF(Metadata!B2="ENG",E55,F55)</f>
        <v>0</v>
      </c>
      <c r="H55">
        <f>IF(Metadata!B2="ENG",I55,J55)</f>
        <v>0</v>
      </c>
    </row>
    <row r="56" spans="1:8">
      <c r="A56" t="s">
        <v>353</v>
      </c>
      <c r="B56" t="s">
        <v>354</v>
      </c>
      <c r="D56">
        <f>IF(Metadata!B2="ENG",E56,F56)</f>
        <v>0</v>
      </c>
      <c r="H56">
        <f>IF(Metadata!B2="ENG",I56,J56)</f>
        <v>0</v>
      </c>
    </row>
    <row r="57" spans="1:8">
      <c r="A57" t="s">
        <v>355</v>
      </c>
      <c r="B57" t="s">
        <v>356</v>
      </c>
      <c r="D57">
        <f>IF(Metadata!B2="ENG",E57,F57)</f>
        <v>0</v>
      </c>
      <c r="H57">
        <f>IF(Metadata!B2="ENG",I57,J57)</f>
        <v>0</v>
      </c>
    </row>
    <row r="58" spans="1:8">
      <c r="A58" t="s">
        <v>357</v>
      </c>
      <c r="B58" t="s">
        <v>358</v>
      </c>
      <c r="D58">
        <f>IF(Metadata!B2="ENG",E58,F58)</f>
        <v>0</v>
      </c>
      <c r="H58">
        <f>IF(Metadata!B2="ENG",I58,J58)</f>
        <v>0</v>
      </c>
    </row>
    <row r="59" spans="1:8">
      <c r="A59" t="s">
        <v>359</v>
      </c>
      <c r="B59" t="s">
        <v>360</v>
      </c>
      <c r="D59">
        <f>IF(Metadata!B2="ENG",E59,F59)</f>
        <v>0</v>
      </c>
      <c r="H59">
        <f>IF(Metadata!B2="ENG",I59,J59)</f>
        <v>0</v>
      </c>
    </row>
    <row r="60" spans="1:8">
      <c r="A60" t="s">
        <v>361</v>
      </c>
      <c r="B60" t="s">
        <v>362</v>
      </c>
      <c r="D60">
        <f>IF(Metadata!B2="ENG",E60,F60)</f>
        <v>0</v>
      </c>
      <c r="H60">
        <f>IF(Metadata!B2="ENG",I60,J60)</f>
        <v>0</v>
      </c>
    </row>
    <row r="61" spans="1:8">
      <c r="A61" t="s">
        <v>363</v>
      </c>
      <c r="B61" t="s">
        <v>364</v>
      </c>
      <c r="D61">
        <f>IF(Metadata!B2="ENG",E61,F61)</f>
        <v>0</v>
      </c>
      <c r="H61">
        <f>IF(Metadata!B2="ENG",I61,J61)</f>
        <v>0</v>
      </c>
    </row>
    <row r="62" spans="1:8">
      <c r="A62" t="s">
        <v>365</v>
      </c>
      <c r="B62" t="s">
        <v>366</v>
      </c>
    </row>
    <row r="63" spans="1:8">
      <c r="A63" t="s">
        <v>367</v>
      </c>
      <c r="B63" t="s">
        <v>368</v>
      </c>
    </row>
    <row r="64" spans="1:8">
      <c r="A64" t="s">
        <v>369</v>
      </c>
      <c r="B64" t="s">
        <v>370</v>
      </c>
    </row>
    <row r="65" spans="1:2">
      <c r="A65" t="s">
        <v>371</v>
      </c>
      <c r="B65" t="s">
        <v>372</v>
      </c>
    </row>
    <row r="66" spans="1:2">
      <c r="A66" t="s">
        <v>373</v>
      </c>
      <c r="B66" t="s">
        <v>374</v>
      </c>
    </row>
    <row r="67" spans="1:2">
      <c r="A67" t="s">
        <v>375</v>
      </c>
      <c r="B67" t="s">
        <v>376</v>
      </c>
    </row>
    <row r="68" spans="1:2">
      <c r="A68" t="s">
        <v>377</v>
      </c>
      <c r="B68" t="s">
        <v>378</v>
      </c>
    </row>
    <row r="69" spans="1:2">
      <c r="A69" t="s">
        <v>379</v>
      </c>
      <c r="B69" t="s">
        <v>380</v>
      </c>
    </row>
    <row r="70" spans="1:2">
      <c r="A70" t="s">
        <v>381</v>
      </c>
      <c r="B70" t="s">
        <v>382</v>
      </c>
    </row>
    <row r="71" spans="1:2">
      <c r="A71" t="s">
        <v>383</v>
      </c>
      <c r="B71" t="s">
        <v>384</v>
      </c>
    </row>
    <row r="72" spans="1:2">
      <c r="A72" t="s">
        <v>385</v>
      </c>
      <c r="B72" t="s">
        <v>386</v>
      </c>
    </row>
    <row r="73" spans="1:2">
      <c r="A73" t="s">
        <v>387</v>
      </c>
      <c r="B73" t="s">
        <v>388</v>
      </c>
    </row>
    <row r="74" spans="1:2">
      <c r="A74" t="s">
        <v>389</v>
      </c>
      <c r="B74" t="s">
        <v>390</v>
      </c>
    </row>
    <row r="75" spans="1:2">
      <c r="A75" t="s">
        <v>391</v>
      </c>
      <c r="B75" t="s">
        <v>392</v>
      </c>
    </row>
    <row r="76" spans="1:2">
      <c r="A76" t="s">
        <v>393</v>
      </c>
      <c r="B76" t="s">
        <v>394</v>
      </c>
    </row>
    <row r="77" spans="1:2">
      <c r="A77" t="s">
        <v>395</v>
      </c>
      <c r="B77" t="s">
        <v>396</v>
      </c>
    </row>
    <row r="78" spans="1:2">
      <c r="A78" t="s">
        <v>397</v>
      </c>
      <c r="B78" t="s">
        <v>398</v>
      </c>
    </row>
    <row r="79" spans="1:2">
      <c r="A79" t="s">
        <v>399</v>
      </c>
      <c r="B79" t="s">
        <v>400</v>
      </c>
    </row>
    <row r="80" spans="1:2">
      <c r="A80" t="s">
        <v>401</v>
      </c>
      <c r="B80" t="s">
        <v>402</v>
      </c>
    </row>
    <row r="81" spans="1:2">
      <c r="A81" t="s">
        <v>403</v>
      </c>
      <c r="B81" t="s">
        <v>404</v>
      </c>
    </row>
    <row r="82" spans="1:2">
      <c r="A82" t="s">
        <v>405</v>
      </c>
      <c r="B82" t="s">
        <v>406</v>
      </c>
    </row>
    <row r="83" spans="1:2">
      <c r="A83" t="s">
        <v>407</v>
      </c>
      <c r="B83" t="s">
        <v>408</v>
      </c>
    </row>
    <row r="84" spans="1:2">
      <c r="A84" t="s">
        <v>409</v>
      </c>
      <c r="B84" t="s">
        <v>410</v>
      </c>
    </row>
    <row r="85" spans="1:2">
      <c r="A85" t="s">
        <v>411</v>
      </c>
      <c r="B85" t="s">
        <v>412</v>
      </c>
    </row>
    <row r="86" spans="1:2">
      <c r="A86" t="s">
        <v>413</v>
      </c>
      <c r="B86" t="s">
        <v>414</v>
      </c>
    </row>
    <row r="87" spans="1:2">
      <c r="A87" t="s">
        <v>415</v>
      </c>
      <c r="B87" t="s">
        <v>416</v>
      </c>
    </row>
    <row r="88" spans="1:2">
      <c r="A88" t="s">
        <v>417</v>
      </c>
      <c r="B88" t="s">
        <v>418</v>
      </c>
    </row>
    <row r="89" spans="1:2">
      <c r="A89" t="s">
        <v>419</v>
      </c>
      <c r="B89" t="s">
        <v>420</v>
      </c>
    </row>
    <row r="90" spans="1:2">
      <c r="A90" t="s">
        <v>421</v>
      </c>
      <c r="B90" t="s">
        <v>422</v>
      </c>
    </row>
    <row r="91" spans="1:2">
      <c r="A91" t="s">
        <v>423</v>
      </c>
      <c r="B91" t="s">
        <v>424</v>
      </c>
    </row>
    <row r="92" spans="1:2">
      <c r="A92" t="s">
        <v>425</v>
      </c>
      <c r="B92" t="s">
        <v>426</v>
      </c>
    </row>
    <row r="93" spans="1:2">
      <c r="A93" t="s">
        <v>427</v>
      </c>
      <c r="B93" t="s">
        <v>428</v>
      </c>
    </row>
    <row r="94" spans="1:2">
      <c r="A94" t="s">
        <v>429</v>
      </c>
      <c r="B94" t="s">
        <v>430</v>
      </c>
    </row>
    <row r="95" spans="1:2">
      <c r="A95" t="s">
        <v>431</v>
      </c>
      <c r="B95" t="s">
        <v>432</v>
      </c>
    </row>
    <row r="96" spans="1:2">
      <c r="A96" t="s">
        <v>433</v>
      </c>
      <c r="B96" t="s">
        <v>108</v>
      </c>
    </row>
    <row r="97" spans="1:2">
      <c r="A97" t="s">
        <v>434</v>
      </c>
      <c r="B97" t="s">
        <v>435</v>
      </c>
    </row>
    <row r="98" spans="1:2">
      <c r="A98" t="s">
        <v>436</v>
      </c>
      <c r="B98" t="s">
        <v>437</v>
      </c>
    </row>
    <row r="99" spans="1:2">
      <c r="A99" t="s">
        <v>438</v>
      </c>
      <c r="B99" t="s">
        <v>439</v>
      </c>
    </row>
    <row r="100" spans="1:2">
      <c r="A100" t="s">
        <v>440</v>
      </c>
      <c r="B100" t="s">
        <v>441</v>
      </c>
    </row>
    <row r="101" spans="1:2">
      <c r="A101" t="s">
        <v>442</v>
      </c>
      <c r="B101" t="s">
        <v>443</v>
      </c>
    </row>
    <row r="102" spans="1:2">
      <c r="A102" t="s">
        <v>444</v>
      </c>
      <c r="B102" t="s">
        <v>445</v>
      </c>
    </row>
    <row r="103" spans="1:2">
      <c r="A103" t="s">
        <v>446</v>
      </c>
      <c r="B103" t="s">
        <v>447</v>
      </c>
    </row>
    <row r="104" spans="1:2">
      <c r="A104" t="s">
        <v>448</v>
      </c>
      <c r="B104" t="s">
        <v>449</v>
      </c>
    </row>
    <row r="105" spans="1:2">
      <c r="A105" t="s">
        <v>450</v>
      </c>
      <c r="B105" t="s">
        <v>451</v>
      </c>
    </row>
    <row r="106" spans="1:2">
      <c r="A106" t="s">
        <v>452</v>
      </c>
      <c r="B106" t="s">
        <v>453</v>
      </c>
    </row>
    <row r="107" spans="1:2">
      <c r="A107" t="s">
        <v>454</v>
      </c>
      <c r="B107" t="s">
        <v>455</v>
      </c>
    </row>
    <row r="108" spans="1:2">
      <c r="A108" t="s">
        <v>456</v>
      </c>
      <c r="B108" t="s">
        <v>457</v>
      </c>
    </row>
    <row r="109" spans="1:2">
      <c r="A109" t="s">
        <v>458</v>
      </c>
      <c r="B109" t="s">
        <v>459</v>
      </c>
    </row>
    <row r="110" spans="1:2">
      <c r="A110" t="s">
        <v>460</v>
      </c>
      <c r="B110" t="s">
        <v>461</v>
      </c>
    </row>
    <row r="111" spans="1:2">
      <c r="A111" t="s">
        <v>462</v>
      </c>
      <c r="B111" t="s">
        <v>463</v>
      </c>
    </row>
    <row r="112" spans="1:2">
      <c r="A112" t="s">
        <v>464</v>
      </c>
      <c r="B112" t="s">
        <v>465</v>
      </c>
    </row>
    <row r="113" spans="1:2">
      <c r="A113" t="s">
        <v>466</v>
      </c>
      <c r="B113" t="s">
        <v>467</v>
      </c>
    </row>
    <row r="114" spans="1:2">
      <c r="A114" t="s">
        <v>468</v>
      </c>
      <c r="B114" t="s">
        <v>469</v>
      </c>
    </row>
    <row r="115" spans="1:2">
      <c r="A115" t="s">
        <v>470</v>
      </c>
      <c r="B115" t="s">
        <v>471</v>
      </c>
    </row>
    <row r="116" spans="1:2">
      <c r="A116" t="s">
        <v>472</v>
      </c>
      <c r="B116" t="s">
        <v>473</v>
      </c>
    </row>
    <row r="117" spans="1:2">
      <c r="A117" t="s">
        <v>474</v>
      </c>
      <c r="B117" t="s">
        <v>475</v>
      </c>
    </row>
    <row r="118" spans="1:2">
      <c r="A118" t="s">
        <v>476</v>
      </c>
      <c r="B118" t="s">
        <v>477</v>
      </c>
    </row>
    <row r="119" spans="1:2">
      <c r="A119" t="s">
        <v>478</v>
      </c>
      <c r="B119" t="s">
        <v>479</v>
      </c>
    </row>
    <row r="120" spans="1:2">
      <c r="A120" t="s">
        <v>480</v>
      </c>
      <c r="B120" t="s">
        <v>481</v>
      </c>
    </row>
    <row r="121" spans="1:2">
      <c r="A121" t="s">
        <v>482</v>
      </c>
      <c r="B121" t="s">
        <v>483</v>
      </c>
    </row>
    <row r="122" spans="1:2">
      <c r="A122" t="s">
        <v>484</v>
      </c>
      <c r="B122" t="s">
        <v>485</v>
      </c>
    </row>
    <row r="123" spans="1:2">
      <c r="A123" t="s">
        <v>486</v>
      </c>
      <c r="B123" t="s">
        <v>487</v>
      </c>
    </row>
    <row r="124" spans="1:2">
      <c r="A124" t="s">
        <v>488</v>
      </c>
      <c r="B124" t="s">
        <v>489</v>
      </c>
    </row>
    <row r="125" spans="1:2">
      <c r="A125" t="s">
        <v>490</v>
      </c>
      <c r="B125" t="s">
        <v>491</v>
      </c>
    </row>
    <row r="126" spans="1:2">
      <c r="A126" t="s">
        <v>492</v>
      </c>
      <c r="B126" t="s">
        <v>493</v>
      </c>
    </row>
    <row r="127" spans="1:2">
      <c r="A127" t="s">
        <v>494</v>
      </c>
      <c r="B127" t="s">
        <v>495</v>
      </c>
    </row>
    <row r="128" spans="1:2">
      <c r="A128" t="s">
        <v>496</v>
      </c>
      <c r="B128" t="s">
        <v>497</v>
      </c>
    </row>
    <row r="129" spans="1:2">
      <c r="A129" t="s">
        <v>498</v>
      </c>
      <c r="B129" t="s">
        <v>499</v>
      </c>
    </row>
    <row r="130" spans="1:2">
      <c r="A130" t="s">
        <v>500</v>
      </c>
      <c r="B130" t="s">
        <v>501</v>
      </c>
    </row>
    <row r="131" spans="1:2">
      <c r="A131" t="s">
        <v>502</v>
      </c>
      <c r="B131" t="s">
        <v>503</v>
      </c>
    </row>
    <row r="132" spans="1:2">
      <c r="A132" t="s">
        <v>504</v>
      </c>
      <c r="B132" t="s">
        <v>505</v>
      </c>
    </row>
    <row r="133" spans="1:2">
      <c r="A133" t="s">
        <v>506</v>
      </c>
      <c r="B133" t="s">
        <v>507</v>
      </c>
    </row>
    <row r="134" spans="1:2">
      <c r="A134" t="s">
        <v>508</v>
      </c>
      <c r="B134" t="s">
        <v>509</v>
      </c>
    </row>
    <row r="135" spans="1:2">
      <c r="A135" t="s">
        <v>510</v>
      </c>
      <c r="B135" t="s">
        <v>511</v>
      </c>
    </row>
    <row r="136" spans="1:2">
      <c r="A136" t="s">
        <v>512</v>
      </c>
      <c r="B136" t="s">
        <v>513</v>
      </c>
    </row>
    <row r="137" spans="1:2">
      <c r="A137" t="s">
        <v>514</v>
      </c>
      <c r="B137" t="s">
        <v>515</v>
      </c>
    </row>
    <row r="138" spans="1:2">
      <c r="A138" t="s">
        <v>516</v>
      </c>
      <c r="B138" t="s">
        <v>517</v>
      </c>
    </row>
    <row r="139" spans="1:2">
      <c r="A139" t="s">
        <v>518</v>
      </c>
      <c r="B139" t="s">
        <v>519</v>
      </c>
    </row>
    <row r="140" spans="1:2">
      <c r="A140" t="s">
        <v>520</v>
      </c>
      <c r="B140" t="s">
        <v>521</v>
      </c>
    </row>
    <row r="141" spans="1:2">
      <c r="A141" t="s">
        <v>522</v>
      </c>
      <c r="B141" t="s">
        <v>523</v>
      </c>
    </row>
    <row r="142" spans="1:2">
      <c r="A142" t="s">
        <v>524</v>
      </c>
      <c r="B142" t="s">
        <v>525</v>
      </c>
    </row>
    <row r="143" spans="1:2">
      <c r="A143" t="s">
        <v>526</v>
      </c>
      <c r="B143" t="s">
        <v>527</v>
      </c>
    </row>
    <row r="144" spans="1:2">
      <c r="A144" t="s">
        <v>528</v>
      </c>
      <c r="B144" t="s">
        <v>529</v>
      </c>
    </row>
    <row r="145" spans="1:2">
      <c r="A145" t="s">
        <v>530</v>
      </c>
      <c r="B145" t="s">
        <v>531</v>
      </c>
    </row>
    <row r="146" spans="1:2">
      <c r="A146" t="s">
        <v>532</v>
      </c>
      <c r="B146" t="s">
        <v>533</v>
      </c>
    </row>
    <row r="147" spans="1:2">
      <c r="A147" t="s">
        <v>534</v>
      </c>
      <c r="B147" t="s">
        <v>535</v>
      </c>
    </row>
    <row r="148" spans="1:2">
      <c r="A148" t="s">
        <v>536</v>
      </c>
      <c r="B148" t="s">
        <v>537</v>
      </c>
    </row>
    <row r="149" spans="1:2">
      <c r="A149" t="s">
        <v>538</v>
      </c>
      <c r="B149" t="s">
        <v>539</v>
      </c>
    </row>
    <row r="150" spans="1:2">
      <c r="A150" t="s">
        <v>540</v>
      </c>
      <c r="B150" t="s">
        <v>541</v>
      </c>
    </row>
    <row r="151" spans="1:2">
      <c r="A151" t="s">
        <v>542</v>
      </c>
      <c r="B151" t="s">
        <v>543</v>
      </c>
    </row>
    <row r="152" spans="1:2">
      <c r="A152" t="s">
        <v>544</v>
      </c>
      <c r="B152" t="s">
        <v>545</v>
      </c>
    </row>
    <row r="153" spans="1:2">
      <c r="A153" t="s">
        <v>546</v>
      </c>
      <c r="B153" t="s">
        <v>547</v>
      </c>
    </row>
    <row r="154" spans="1:2">
      <c r="A154" t="s">
        <v>548</v>
      </c>
      <c r="B154" t="s">
        <v>549</v>
      </c>
    </row>
    <row r="155" spans="1:2">
      <c r="A155" t="s">
        <v>550</v>
      </c>
      <c r="B155" t="s">
        <v>551</v>
      </c>
    </row>
    <row r="156" spans="1:2">
      <c r="A156" t="s">
        <v>552</v>
      </c>
      <c r="B156" t="s">
        <v>553</v>
      </c>
    </row>
    <row r="157" spans="1:2">
      <c r="A157" t="s">
        <v>554</v>
      </c>
      <c r="B157" t="s">
        <v>555</v>
      </c>
    </row>
    <row r="158" spans="1:2">
      <c r="A158" t="s">
        <v>556</v>
      </c>
      <c r="B158" t="s">
        <v>557</v>
      </c>
    </row>
    <row r="159" spans="1:2">
      <c r="A159" t="s">
        <v>558</v>
      </c>
      <c r="B159" t="s">
        <v>559</v>
      </c>
    </row>
    <row r="160" spans="1:2">
      <c r="A160" t="s">
        <v>560</v>
      </c>
      <c r="B160" t="s">
        <v>561</v>
      </c>
    </row>
    <row r="161" spans="1:2">
      <c r="A161" t="s">
        <v>562</v>
      </c>
      <c r="B161" t="s">
        <v>563</v>
      </c>
    </row>
    <row r="162" spans="1:2">
      <c r="A162" t="s">
        <v>564</v>
      </c>
      <c r="B162" t="s">
        <v>565</v>
      </c>
    </row>
    <row r="163" spans="1:2">
      <c r="A163" t="s">
        <v>566</v>
      </c>
      <c r="B163" t="s">
        <v>567</v>
      </c>
    </row>
    <row r="164" spans="1:2">
      <c r="A164" t="s">
        <v>568</v>
      </c>
      <c r="B164" t="s">
        <v>569</v>
      </c>
    </row>
    <row r="165" spans="1:2">
      <c r="A165" t="s">
        <v>570</v>
      </c>
      <c r="B165" t="s">
        <v>571</v>
      </c>
    </row>
    <row r="166" spans="1:2">
      <c r="A166" t="s">
        <v>572</v>
      </c>
      <c r="B166" t="s">
        <v>573</v>
      </c>
    </row>
    <row r="167" spans="1:2">
      <c r="A167" t="s">
        <v>574</v>
      </c>
      <c r="B167" t="s">
        <v>575</v>
      </c>
    </row>
    <row r="168" spans="1:2">
      <c r="A168" t="s">
        <v>576</v>
      </c>
      <c r="B168" t="s">
        <v>577</v>
      </c>
    </row>
    <row r="169" spans="1:2">
      <c r="A169" t="s">
        <v>578</v>
      </c>
      <c r="B169" t="s">
        <v>579</v>
      </c>
    </row>
    <row r="170" spans="1:2">
      <c r="A170" t="s">
        <v>580</v>
      </c>
      <c r="B170" t="s">
        <v>581</v>
      </c>
    </row>
    <row r="171" spans="1:2">
      <c r="A171" t="s">
        <v>582</v>
      </c>
      <c r="B171" t="s">
        <v>583</v>
      </c>
    </row>
    <row r="172" spans="1:2">
      <c r="A172" t="s">
        <v>584</v>
      </c>
      <c r="B172" t="s">
        <v>585</v>
      </c>
    </row>
    <row r="173" spans="1:2">
      <c r="A173" t="s">
        <v>586</v>
      </c>
      <c r="B173" t="s">
        <v>587</v>
      </c>
    </row>
    <row r="174" spans="1:2">
      <c r="A174" t="s">
        <v>588</v>
      </c>
      <c r="B174" t="s">
        <v>589</v>
      </c>
    </row>
    <row r="175" spans="1:2">
      <c r="A175" t="s">
        <v>590</v>
      </c>
      <c r="B175" t="s">
        <v>591</v>
      </c>
    </row>
    <row r="176" spans="1:2">
      <c r="A176" t="s">
        <v>592</v>
      </c>
      <c r="B176" t="s">
        <v>593</v>
      </c>
    </row>
    <row r="177" spans="1:2">
      <c r="A177" t="s">
        <v>594</v>
      </c>
      <c r="B177" t="s">
        <v>595</v>
      </c>
    </row>
    <row r="178" spans="1:2">
      <c r="A178" t="s">
        <v>596</v>
      </c>
      <c r="B178" t="s">
        <v>597</v>
      </c>
    </row>
    <row r="179" spans="1:2">
      <c r="A179" t="s">
        <v>598</v>
      </c>
      <c r="B179" t="s">
        <v>599</v>
      </c>
    </row>
    <row r="180" spans="1:2">
      <c r="A180" t="s">
        <v>600</v>
      </c>
      <c r="B180" t="s">
        <v>601</v>
      </c>
    </row>
    <row r="181" spans="1:2">
      <c r="A181" t="s">
        <v>602</v>
      </c>
      <c r="B181" t="s">
        <v>603</v>
      </c>
    </row>
    <row r="182" spans="1:2">
      <c r="A182" t="s">
        <v>604</v>
      </c>
      <c r="B182" t="s">
        <v>605</v>
      </c>
    </row>
    <row r="183" spans="1:2">
      <c r="A183" t="s">
        <v>606</v>
      </c>
      <c r="B183" t="s">
        <v>607</v>
      </c>
    </row>
    <row r="184" spans="1:2">
      <c r="A184" t="s">
        <v>608</v>
      </c>
      <c r="B184" t="s">
        <v>296</v>
      </c>
    </row>
    <row r="185" spans="1:2">
      <c r="A185" t="s">
        <v>609</v>
      </c>
      <c r="B185" t="s">
        <v>610</v>
      </c>
    </row>
    <row r="186" spans="1:2">
      <c r="A186" t="s">
        <v>611</v>
      </c>
      <c r="B186" t="s">
        <v>612</v>
      </c>
    </row>
    <row r="187" spans="1:2">
      <c r="A187" t="s">
        <v>613</v>
      </c>
      <c r="B187" t="s">
        <v>614</v>
      </c>
    </row>
    <row r="188" spans="1:2">
      <c r="A188" t="s">
        <v>615</v>
      </c>
      <c r="B188" t="s">
        <v>616</v>
      </c>
    </row>
    <row r="189" spans="1:2">
      <c r="A189" t="s">
        <v>617</v>
      </c>
      <c r="B189" t="s">
        <v>618</v>
      </c>
    </row>
    <row r="190" spans="1:2">
      <c r="A190" t="s">
        <v>619</v>
      </c>
      <c r="B190" t="s">
        <v>620</v>
      </c>
    </row>
    <row r="191" spans="1:2">
      <c r="A191" t="s">
        <v>621</v>
      </c>
      <c r="B191" t="s">
        <v>622</v>
      </c>
    </row>
    <row r="192" spans="1:2">
      <c r="A192" t="s">
        <v>623</v>
      </c>
      <c r="B192" t="s">
        <v>624</v>
      </c>
    </row>
    <row r="193" spans="1:2">
      <c r="A193" t="s">
        <v>625</v>
      </c>
      <c r="B193" t="s">
        <v>626</v>
      </c>
    </row>
    <row r="194" spans="1:2">
      <c r="A194" t="s">
        <v>627</v>
      </c>
      <c r="B194" t="s">
        <v>628</v>
      </c>
    </row>
    <row r="195" spans="1:2">
      <c r="A195" t="s">
        <v>629</v>
      </c>
      <c r="B195" t="s">
        <v>630</v>
      </c>
    </row>
    <row r="196" spans="1:2">
      <c r="A196" t="s">
        <v>631</v>
      </c>
      <c r="B196" t="s">
        <v>632</v>
      </c>
    </row>
    <row r="197" spans="1:2">
      <c r="A197" t="s">
        <v>633</v>
      </c>
      <c r="B197" t="s">
        <v>634</v>
      </c>
    </row>
    <row r="198" spans="1:2">
      <c r="A198" t="s">
        <v>635</v>
      </c>
      <c r="B198" t="s">
        <v>636</v>
      </c>
    </row>
    <row r="199" spans="1:2">
      <c r="A199" t="s">
        <v>637</v>
      </c>
      <c r="B199" t="s">
        <v>638</v>
      </c>
    </row>
    <row r="200" spans="1:2">
      <c r="A200" t="s">
        <v>639</v>
      </c>
      <c r="B200" t="s">
        <v>640</v>
      </c>
    </row>
    <row r="201" spans="1:2">
      <c r="A201" t="s">
        <v>641</v>
      </c>
      <c r="B201" t="s">
        <v>296</v>
      </c>
    </row>
    <row r="202" spans="1:2">
      <c r="A202" t="s">
        <v>642</v>
      </c>
      <c r="B202" t="s">
        <v>643</v>
      </c>
    </row>
    <row r="203" spans="1:2">
      <c r="A203" t="s">
        <v>644</v>
      </c>
      <c r="B203" t="s">
        <v>645</v>
      </c>
    </row>
    <row r="204" spans="1:2">
      <c r="A204" t="s">
        <v>646</v>
      </c>
      <c r="B204" t="s">
        <v>647</v>
      </c>
    </row>
    <row r="205" spans="1:2">
      <c r="A205" t="s">
        <v>648</v>
      </c>
      <c r="B205" t="s">
        <v>649</v>
      </c>
    </row>
    <row r="206" spans="1:2">
      <c r="A206" t="s">
        <v>650</v>
      </c>
      <c r="B206" t="s">
        <v>651</v>
      </c>
    </row>
    <row r="207" spans="1:2">
      <c r="A207" t="s">
        <v>652</v>
      </c>
      <c r="B207" t="s">
        <v>651</v>
      </c>
    </row>
    <row r="208" spans="1:2">
      <c r="A208" t="s">
        <v>653</v>
      </c>
      <c r="B208" t="s">
        <v>654</v>
      </c>
    </row>
    <row r="209" spans="1:2">
      <c r="A209" t="s">
        <v>655</v>
      </c>
      <c r="B209" t="s">
        <v>656</v>
      </c>
    </row>
    <row r="210" spans="1:2">
      <c r="A210" t="s">
        <v>657</v>
      </c>
      <c r="B210" t="s">
        <v>658</v>
      </c>
    </row>
    <row r="211" spans="1:2">
      <c r="A211" t="s">
        <v>659</v>
      </c>
      <c r="B211" t="s">
        <v>660</v>
      </c>
    </row>
    <row r="212" spans="1:2">
      <c r="A212" t="s">
        <v>661</v>
      </c>
      <c r="B212" t="s">
        <v>662</v>
      </c>
    </row>
    <row r="213" spans="1:2">
      <c r="A213" t="s">
        <v>663</v>
      </c>
      <c r="B213" t="s">
        <v>664</v>
      </c>
    </row>
    <row r="214" spans="1:2">
      <c r="A214" t="s">
        <v>665</v>
      </c>
      <c r="B214" t="s">
        <v>666</v>
      </c>
    </row>
    <row r="215" spans="1:2">
      <c r="A215" t="s">
        <v>667</v>
      </c>
      <c r="B215" t="s">
        <v>668</v>
      </c>
    </row>
    <row r="216" spans="1:2">
      <c r="A216" t="s">
        <v>669</v>
      </c>
      <c r="B216" t="s">
        <v>670</v>
      </c>
    </row>
    <row r="217" spans="1:2">
      <c r="A217" t="s">
        <v>671</v>
      </c>
      <c r="B217" t="s">
        <v>672</v>
      </c>
    </row>
    <row r="218" spans="1:2">
      <c r="A218" t="s">
        <v>673</v>
      </c>
      <c r="B218" t="s">
        <v>674</v>
      </c>
    </row>
    <row r="219" spans="1:2">
      <c r="A219" t="s">
        <v>675</v>
      </c>
      <c r="B219" t="s">
        <v>676</v>
      </c>
    </row>
    <row r="220" spans="1:2">
      <c r="A220" t="s">
        <v>677</v>
      </c>
      <c r="B220" t="s">
        <v>678</v>
      </c>
    </row>
    <row r="221" spans="1:2">
      <c r="A221" t="s">
        <v>679</v>
      </c>
      <c r="B221" t="s">
        <v>680</v>
      </c>
    </row>
    <row r="222" spans="1:2">
      <c r="A222" t="s">
        <v>681</v>
      </c>
      <c r="B222" t="s">
        <v>682</v>
      </c>
    </row>
    <row r="223" spans="1:2">
      <c r="A223" t="s">
        <v>683</v>
      </c>
      <c r="B223" t="s">
        <v>684</v>
      </c>
    </row>
    <row r="224" spans="1:2">
      <c r="A224" t="s">
        <v>685</v>
      </c>
      <c r="B224" t="s">
        <v>686</v>
      </c>
    </row>
    <row r="225" spans="1:2">
      <c r="A225" t="s">
        <v>687</v>
      </c>
      <c r="B225" t="s">
        <v>688</v>
      </c>
    </row>
    <row r="226" spans="1:2">
      <c r="A226" t="s">
        <v>689</v>
      </c>
      <c r="B226" t="s">
        <v>690</v>
      </c>
    </row>
    <row r="227" spans="1:2">
      <c r="A227" t="s">
        <v>691</v>
      </c>
      <c r="B227" t="s">
        <v>692</v>
      </c>
    </row>
    <row r="228" spans="1:2">
      <c r="A228" t="s">
        <v>693</v>
      </c>
      <c r="B228" t="s">
        <v>694</v>
      </c>
    </row>
    <row r="229" spans="1:2">
      <c r="A229" t="s">
        <v>695</v>
      </c>
      <c r="B229" t="s">
        <v>696</v>
      </c>
    </row>
    <row r="230" spans="1:2">
      <c r="A230" t="s">
        <v>697</v>
      </c>
      <c r="B230" t="s">
        <v>698</v>
      </c>
    </row>
    <row r="231" spans="1:2">
      <c r="A231" t="s">
        <v>699</v>
      </c>
      <c r="B231" t="s">
        <v>700</v>
      </c>
    </row>
    <row r="232" spans="1:2">
      <c r="A232" t="s">
        <v>701</v>
      </c>
      <c r="B232" t="s">
        <v>702</v>
      </c>
    </row>
    <row r="233" spans="1:2">
      <c r="A233" t="s">
        <v>703</v>
      </c>
      <c r="B233" t="s">
        <v>704</v>
      </c>
    </row>
    <row r="234" spans="1:2">
      <c r="A234" t="s">
        <v>705</v>
      </c>
      <c r="B234" t="s">
        <v>706</v>
      </c>
    </row>
    <row r="235" spans="1:2">
      <c r="A235" t="s">
        <v>707</v>
      </c>
      <c r="B235" t="s">
        <v>708</v>
      </c>
    </row>
    <row r="236" spans="1:2">
      <c r="A236" t="s">
        <v>709</v>
      </c>
      <c r="B236" t="s">
        <v>710</v>
      </c>
    </row>
    <row r="237" spans="1:2">
      <c r="A237" t="s">
        <v>711</v>
      </c>
      <c r="B237" t="s">
        <v>712</v>
      </c>
    </row>
    <row r="238" spans="1:2">
      <c r="A238" t="s">
        <v>713</v>
      </c>
      <c r="B238" t="s">
        <v>714</v>
      </c>
    </row>
    <row r="239" spans="1:2">
      <c r="A239" t="s">
        <v>715</v>
      </c>
      <c r="B239" t="s">
        <v>716</v>
      </c>
    </row>
    <row r="240" spans="1:2">
      <c r="A240" t="s">
        <v>717</v>
      </c>
      <c r="B240" t="s">
        <v>718</v>
      </c>
    </row>
    <row r="241" spans="1:2">
      <c r="A241" t="s">
        <v>719</v>
      </c>
      <c r="B241" t="s">
        <v>720</v>
      </c>
    </row>
    <row r="242" spans="1:2">
      <c r="A242" t="s">
        <v>721</v>
      </c>
      <c r="B242" t="s">
        <v>722</v>
      </c>
    </row>
    <row r="243" spans="1:2">
      <c r="A243" t="s">
        <v>723</v>
      </c>
      <c r="B243" t="s">
        <v>724</v>
      </c>
    </row>
    <row r="244" spans="1:2">
      <c r="A244" t="s">
        <v>725</v>
      </c>
      <c r="B244" t="s">
        <v>726</v>
      </c>
    </row>
    <row r="245" spans="1:2">
      <c r="A245" t="s">
        <v>727</v>
      </c>
      <c r="B245" t="s">
        <v>728</v>
      </c>
    </row>
    <row r="246" spans="1:2">
      <c r="A246" t="s">
        <v>729</v>
      </c>
      <c r="B246" t="s">
        <v>730</v>
      </c>
    </row>
    <row r="247" spans="1:2">
      <c r="A247" t="s">
        <v>731</v>
      </c>
      <c r="B247" t="s">
        <v>732</v>
      </c>
    </row>
    <row r="248" spans="1:2">
      <c r="A248" t="s">
        <v>733</v>
      </c>
      <c r="B248" t="s">
        <v>734</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2015-09-17T22:41:28Z</dcterms:modified>
</cp:coreProperties>
</file>