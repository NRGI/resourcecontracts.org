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png" ContentType="image/png"/>
  <Default Extension="jpg" ContentType="image/jpe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024" codeName="{7A2D7E96-6E34-419A-AE5F-296B3A7E7977}"/>
  <workbookPr showInkAnnotation="0" codeName="ThisWorkbook" autoCompressPictures="0"/>
  <bookViews>
    <workbookView xWindow="0" yWindow="0" windowWidth="25600" windowHeight="16000" tabRatio="500" activeTab="1"/>
  </bookViews>
  <sheets>
    <sheet name="Categories" sheetId="1" r:id="rId1"/>
    <sheet name="Metadata" sheetId="2" r:id="rId2"/>
    <sheet name="picklists" sheetId="3" r:id="rId3"/>
  </sheets>
  <definedNames>
    <definedName name="countries">picklists!$A$2:$A$248</definedName>
    <definedName name="language">picklists!$L$2:$L$3</definedName>
    <definedName name="license_type">picklists!$H$2:$H$61</definedName>
    <definedName name="resources">picklists!$D$3:$D$61</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B2" i="2" l="1"/>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D17" i="3"/>
  <c r="D18" i="3"/>
  <c r="H17" i="3"/>
  <c r="H19" i="3"/>
  <c r="H18" i="3"/>
  <c r="H16" i="3"/>
  <c r="H15" i="3"/>
  <c r="H14" i="3"/>
  <c r="H13" i="3"/>
  <c r="H12" i="3"/>
  <c r="H11" i="3"/>
  <c r="H10" i="3"/>
  <c r="H9" i="3"/>
  <c r="H8" i="3"/>
  <c r="H7" i="3"/>
  <c r="H6" i="3"/>
  <c r="H5" i="3"/>
  <c r="H4" i="3"/>
  <c r="H3" i="3"/>
  <c r="H2" i="3"/>
  <c r="D2" i="3"/>
  <c r="D61" i="3"/>
  <c r="D60" i="3"/>
  <c r="D59" i="3"/>
  <c r="D58" i="3"/>
  <c r="D57" i="3"/>
  <c r="D56" i="3"/>
  <c r="D55" i="3"/>
  <c r="D54" i="3"/>
  <c r="D53" i="3"/>
  <c r="D52" i="3"/>
  <c r="D51" i="3"/>
  <c r="D50" i="3"/>
  <c r="D49" i="3"/>
  <c r="D48" i="3"/>
  <c r="D47" i="3"/>
  <c r="D46" i="3"/>
  <c r="D45" i="3"/>
  <c r="D44" i="3"/>
  <c r="D43" i="3"/>
  <c r="D42" i="3"/>
  <c r="D41" i="3"/>
  <c r="D40" i="3"/>
  <c r="D39" i="3"/>
  <c r="D38" i="3"/>
  <c r="D37" i="3"/>
  <c r="D36" i="3"/>
  <c r="D35" i="3"/>
  <c r="D34" i="3"/>
  <c r="B5" i="2"/>
  <c r="B3" i="2"/>
  <c r="B4" i="2"/>
  <c r="B7" i="2"/>
  <c r="C48" i="1"/>
  <c r="B8" i="2"/>
  <c r="B9" i="2"/>
  <c r="B11" i="2"/>
  <c r="B12" i="2"/>
  <c r="B13" i="2"/>
  <c r="B14" i="2"/>
  <c r="B15" i="2"/>
  <c r="B16" i="2"/>
  <c r="B17" i="2"/>
  <c r="B18" i="2"/>
  <c r="B19" i="2"/>
  <c r="B20" i="2"/>
  <c r="B21" i="2"/>
  <c r="B22" i="2"/>
  <c r="C33" i="1"/>
  <c r="B23" i="2"/>
  <c r="B24" i="2"/>
  <c r="B25" i="2"/>
  <c r="B26" i="2"/>
  <c r="B27" i="2"/>
  <c r="B28" i="2"/>
  <c r="B29" i="2"/>
  <c r="B30" i="2"/>
  <c r="B31" i="2"/>
  <c r="D33" i="3"/>
  <c r="D32" i="3"/>
  <c r="D31" i="3"/>
  <c r="D30" i="3"/>
  <c r="D29" i="3"/>
  <c r="D28" i="3"/>
  <c r="D27" i="3"/>
  <c r="D26" i="3"/>
  <c r="D25" i="3"/>
  <c r="D24" i="3"/>
  <c r="D23" i="3"/>
  <c r="D22" i="3"/>
  <c r="D21" i="3"/>
  <c r="D20" i="3"/>
  <c r="D19" i="3"/>
  <c r="D16" i="3"/>
  <c r="D15" i="3"/>
  <c r="D14" i="3"/>
  <c r="D13" i="3"/>
  <c r="D12" i="3"/>
  <c r="D11" i="3"/>
  <c r="D10" i="3"/>
  <c r="D9" i="3"/>
  <c r="D8" i="3"/>
  <c r="D7" i="3"/>
  <c r="D6" i="3"/>
  <c r="D5" i="3"/>
  <c r="D4" i="3"/>
  <c r="D3" i="3"/>
  <c r="B38" i="2"/>
  <c r="B37" i="2"/>
  <c r="G18" i="1"/>
  <c r="B36" i="2"/>
  <c r="B35" i="2"/>
  <c r="B34" i="2"/>
  <c r="B33" i="2"/>
  <c r="B32" i="2"/>
  <c r="H25" i="1"/>
  <c r="G25" i="1"/>
  <c r="H41" i="1"/>
  <c r="G41" i="1"/>
  <c r="G21" i="1"/>
  <c r="H21" i="1"/>
  <c r="G52" i="1"/>
  <c r="H52" i="1"/>
  <c r="G67" i="1"/>
  <c r="H67" i="1"/>
  <c r="G110" i="1"/>
  <c r="H110" i="1"/>
  <c r="G78" i="1"/>
  <c r="H78" i="1"/>
  <c r="G66" i="1"/>
  <c r="H66" i="1"/>
  <c r="G113" i="1"/>
  <c r="H113" i="1"/>
  <c r="G65" i="1"/>
  <c r="H65" i="1"/>
  <c r="G137" i="1"/>
  <c r="H137" i="1"/>
  <c r="G134" i="1"/>
  <c r="H134" i="1"/>
  <c r="G109" i="1"/>
  <c r="H109" i="1"/>
  <c r="G123" i="1"/>
  <c r="H123" i="1"/>
  <c r="G122" i="1"/>
  <c r="H122" i="1"/>
  <c r="G98" i="1"/>
  <c r="H98" i="1"/>
  <c r="G64" i="1"/>
  <c r="H64" i="1"/>
  <c r="G63" i="1"/>
  <c r="H63" i="1"/>
  <c r="G46" i="1"/>
  <c r="H46" i="1"/>
  <c r="H141" i="1"/>
  <c r="G141" i="1"/>
  <c r="H140" i="1"/>
  <c r="G140" i="1"/>
  <c r="H139" i="1"/>
  <c r="G139" i="1"/>
  <c r="H138" i="1"/>
  <c r="G138" i="1"/>
  <c r="H136" i="1"/>
  <c r="G136" i="1"/>
  <c r="H135" i="1"/>
  <c r="G135" i="1"/>
  <c r="H133" i="1"/>
  <c r="G133" i="1"/>
  <c r="H132" i="1"/>
  <c r="G132" i="1"/>
  <c r="H131" i="1"/>
  <c r="G131" i="1"/>
  <c r="H130" i="1"/>
  <c r="G130" i="1"/>
  <c r="H129" i="1"/>
  <c r="G129" i="1"/>
  <c r="H128" i="1"/>
  <c r="G128" i="1"/>
  <c r="H127" i="1"/>
  <c r="G127" i="1"/>
  <c r="H126" i="1"/>
  <c r="G126" i="1"/>
  <c r="H125" i="1"/>
  <c r="G125" i="1"/>
  <c r="H124" i="1"/>
  <c r="G124" i="1"/>
  <c r="H121" i="1"/>
  <c r="G121" i="1"/>
  <c r="H120" i="1"/>
  <c r="G120" i="1"/>
  <c r="H119" i="1"/>
  <c r="G119" i="1"/>
  <c r="H118" i="1"/>
  <c r="G118" i="1"/>
  <c r="H117" i="1"/>
  <c r="G117" i="1"/>
  <c r="H116" i="1"/>
  <c r="G116" i="1"/>
  <c r="H115" i="1"/>
  <c r="G115" i="1"/>
  <c r="H114" i="1"/>
  <c r="G114" i="1"/>
  <c r="H112" i="1"/>
  <c r="G112" i="1"/>
  <c r="H111" i="1"/>
  <c r="G111" i="1"/>
  <c r="H108" i="1"/>
  <c r="G108" i="1"/>
  <c r="H107" i="1"/>
  <c r="G107" i="1"/>
  <c r="H106" i="1"/>
  <c r="G106" i="1"/>
  <c r="H105" i="1"/>
  <c r="G105" i="1"/>
  <c r="H104" i="1"/>
  <c r="G104" i="1"/>
  <c r="H103" i="1"/>
  <c r="G103" i="1"/>
  <c r="H102" i="1"/>
  <c r="G102" i="1"/>
  <c r="H101" i="1"/>
  <c r="G101" i="1"/>
  <c r="H100" i="1"/>
  <c r="G100" i="1"/>
  <c r="H99" i="1"/>
  <c r="G99" i="1"/>
  <c r="H97" i="1"/>
  <c r="G97" i="1"/>
  <c r="H96" i="1"/>
  <c r="G96" i="1"/>
  <c r="H95" i="1"/>
  <c r="G95" i="1"/>
  <c r="H94" i="1"/>
  <c r="G94" i="1"/>
  <c r="H93" i="1"/>
  <c r="G93" i="1"/>
  <c r="H92" i="1"/>
  <c r="G92" i="1"/>
  <c r="H91" i="1"/>
  <c r="G91" i="1"/>
  <c r="H90" i="1"/>
  <c r="G90" i="1"/>
  <c r="H89" i="1"/>
  <c r="G89" i="1"/>
  <c r="H88" i="1"/>
  <c r="G88" i="1"/>
  <c r="H87" i="1"/>
  <c r="G87" i="1"/>
  <c r="H86" i="1"/>
  <c r="G86" i="1"/>
  <c r="H85" i="1"/>
  <c r="G85" i="1"/>
  <c r="H84" i="1"/>
  <c r="G84" i="1"/>
  <c r="H83" i="1"/>
  <c r="G83" i="1"/>
  <c r="H82" i="1"/>
  <c r="G82" i="1"/>
  <c r="H81" i="1"/>
  <c r="G81" i="1"/>
  <c r="H80" i="1"/>
  <c r="G80" i="1"/>
  <c r="H79" i="1"/>
  <c r="G79" i="1"/>
  <c r="H77" i="1"/>
  <c r="G77" i="1"/>
  <c r="H76" i="1"/>
  <c r="G76" i="1"/>
  <c r="H75" i="1"/>
  <c r="G75" i="1"/>
  <c r="H74" i="1"/>
  <c r="G74" i="1"/>
  <c r="H73" i="1"/>
  <c r="G73" i="1"/>
  <c r="H72" i="1"/>
  <c r="G72" i="1"/>
  <c r="H71" i="1"/>
  <c r="G71" i="1"/>
  <c r="H70" i="1"/>
  <c r="G70" i="1"/>
  <c r="H69" i="1"/>
  <c r="G69" i="1"/>
  <c r="H68" i="1"/>
  <c r="G68" i="1"/>
  <c r="H62" i="1"/>
  <c r="G62" i="1"/>
  <c r="H61" i="1"/>
  <c r="G61" i="1"/>
  <c r="H60" i="1"/>
  <c r="G60" i="1"/>
  <c r="H59" i="1"/>
  <c r="G59" i="1"/>
  <c r="H58" i="1"/>
  <c r="G58" i="1"/>
  <c r="H57" i="1"/>
  <c r="G57" i="1"/>
  <c r="H56" i="1"/>
  <c r="G56" i="1"/>
  <c r="H55" i="1"/>
  <c r="G55" i="1"/>
  <c r="H54" i="1"/>
  <c r="G54" i="1"/>
  <c r="H53" i="1"/>
  <c r="G53" i="1"/>
  <c r="H51" i="1"/>
  <c r="G51" i="1"/>
  <c r="H50" i="1"/>
  <c r="G50" i="1"/>
  <c r="H49" i="1"/>
  <c r="G49" i="1"/>
  <c r="H48" i="1"/>
  <c r="G48" i="1"/>
  <c r="H47" i="1"/>
  <c r="G47" i="1"/>
  <c r="H45" i="1"/>
  <c r="G45" i="1"/>
  <c r="H44" i="1"/>
  <c r="G44" i="1"/>
  <c r="H43" i="1"/>
  <c r="G43" i="1"/>
  <c r="H42" i="1"/>
  <c r="G42" i="1"/>
  <c r="H40" i="1"/>
  <c r="G40" i="1"/>
  <c r="H39" i="1"/>
  <c r="G39" i="1"/>
  <c r="H38" i="1"/>
  <c r="G38" i="1"/>
  <c r="H37" i="1"/>
  <c r="G37" i="1"/>
  <c r="H36" i="1"/>
  <c r="G36" i="1"/>
  <c r="H35" i="1"/>
  <c r="G35" i="1"/>
  <c r="H34" i="1"/>
  <c r="G34" i="1"/>
  <c r="H33" i="1"/>
  <c r="G33" i="1"/>
  <c r="H32" i="1"/>
  <c r="G32" i="1"/>
  <c r="H31" i="1"/>
  <c r="G31" i="1"/>
  <c r="H30" i="1"/>
  <c r="G30" i="1"/>
  <c r="H29" i="1"/>
  <c r="G29" i="1"/>
  <c r="H28" i="1"/>
  <c r="G28" i="1"/>
  <c r="H27" i="1"/>
  <c r="G27" i="1"/>
  <c r="H26" i="1"/>
  <c r="G26" i="1"/>
  <c r="H24" i="1"/>
  <c r="G24" i="1"/>
  <c r="H23" i="1"/>
  <c r="G23" i="1"/>
  <c r="H22" i="1"/>
  <c r="G22" i="1"/>
  <c r="H20" i="1"/>
  <c r="G20" i="1"/>
  <c r="H19" i="1"/>
  <c r="G19" i="1"/>
  <c r="H18" i="1"/>
</calcChain>
</file>

<file path=xl/sharedStrings.xml><?xml version="1.0" encoding="utf-8"?>
<sst xmlns="http://schemas.openxmlformats.org/spreadsheetml/2006/main" count="1008" uniqueCount="941">
  <si>
    <t>FOR UPLOADERS - AUTOMATICALLY FILLED</t>
  </si>
  <si>
    <t>Français</t>
  </si>
  <si>
    <t>English</t>
  </si>
  <si>
    <t xml:space="preserve">Article/
Reference </t>
  </si>
  <si>
    <t>Notes</t>
  </si>
  <si>
    <t>Details with Reference</t>
  </si>
  <si>
    <t>Details-Reference (AUTOMATIC)</t>
  </si>
  <si>
    <t xml:space="preserve">I. Information générale sur le projet </t>
  </si>
  <si>
    <t>General information</t>
  </si>
  <si>
    <t>Pays</t>
  </si>
  <si>
    <t>Country</t>
  </si>
  <si>
    <t>Nom de la société locale</t>
  </si>
  <si>
    <t>Local company name</t>
  </si>
  <si>
    <t xml:space="preserve">Siège social </t>
  </si>
  <si>
    <t xml:space="preserve">Corporate headquarters </t>
  </si>
  <si>
    <t>Structure du Capital</t>
  </si>
  <si>
    <t>Company structure</t>
  </si>
  <si>
    <t xml:space="preserve">Société(s) mère(s) ou affiliée(s) hors du pays, si diffèrent de celle(s) notée(s) ci-dessus; et leurs sièges sociales </t>
  </si>
  <si>
    <t>Site web de l’entreprise</t>
  </si>
  <si>
    <t>Company website</t>
  </si>
  <si>
    <t>Type of document / right (Concession, Lease, Production Sharing Agreement, Service Agreement, etc.)</t>
  </si>
  <si>
    <t>Nom du projet</t>
  </si>
  <si>
    <t>Project title</t>
  </si>
  <si>
    <t>Name and/or number of field, block or deposit</t>
  </si>
  <si>
    <t>Lieu-dit habité le plus proche</t>
  </si>
  <si>
    <t>Closest community</t>
  </si>
  <si>
    <t>Date d'octroi du permis d'exploitation ou concession</t>
  </si>
  <si>
    <t>Date of issue of title/permit</t>
  </si>
  <si>
    <t>Année d'octroi du permis d'exploitation ou concession</t>
  </si>
  <si>
    <t>Year of issue of title/permit</t>
  </si>
  <si>
    <t>Date de ratification</t>
  </si>
  <si>
    <t>Date of ratification</t>
  </si>
  <si>
    <t>Investissement estimé</t>
  </si>
  <si>
    <t>Estimated investment</t>
  </si>
  <si>
    <t>Production attendue</t>
  </si>
  <si>
    <t>Expected production</t>
  </si>
  <si>
    <t>II. Résumé des dispositions du contrat</t>
  </si>
  <si>
    <t>II. Summary of terms</t>
  </si>
  <si>
    <t>1. Dispositions du base</t>
  </si>
  <si>
    <t>1. Fundamental provisions</t>
  </si>
  <si>
    <t>Nom de la société signataire du contrat et composition des actionnaires mentionnés dans le document</t>
  </si>
  <si>
    <t>Name of company executing the document and composition of the shareholders</t>
  </si>
  <si>
    <t xml:space="preserve">Signataire(s), société </t>
  </si>
  <si>
    <t>Signatories, company</t>
  </si>
  <si>
    <t>Agence de l'Etat, société nationale, ministère signataire du contrat</t>
  </si>
  <si>
    <t>State agency, national company, ministry executing the document</t>
  </si>
  <si>
    <t>Signataire(s), Etat</t>
  </si>
  <si>
    <t>Signatories, State</t>
  </si>
  <si>
    <t>Nom et/ou composition de la société du projet crée ou envisagée</t>
  </si>
  <si>
    <t>Name and/or composition of the company created or anticipated</t>
  </si>
  <si>
    <t>Date de signature du contrat</t>
  </si>
  <si>
    <t>Date of contract signature</t>
  </si>
  <si>
    <t>Année de signature du contrat</t>
  </si>
  <si>
    <t>Year of contract signature</t>
  </si>
  <si>
    <t>Durée</t>
  </si>
  <si>
    <t>Term</t>
  </si>
  <si>
    <t>Conditions de renouvellement</t>
  </si>
  <si>
    <t xml:space="preserve">Conditions for renewal </t>
  </si>
  <si>
    <t>2. Obligations à l'égard des communautés, la protection sociale et l’économie locale/régionale</t>
  </si>
  <si>
    <t>Convention de développement local</t>
  </si>
  <si>
    <t>Local development agreement</t>
  </si>
  <si>
    <t>Protection of sacred locations, resources and environment</t>
  </si>
  <si>
    <t xml:space="preserve">Requirements for community consultation </t>
  </si>
  <si>
    <t>Management training requirement for nationals</t>
  </si>
  <si>
    <t>Local employment requirements</t>
  </si>
  <si>
    <t>Local procurement requirements</t>
  </si>
  <si>
    <t>Assurance</t>
  </si>
  <si>
    <t>Insurance</t>
  </si>
  <si>
    <t>3. Obligations financières du détenteur du titre</t>
  </si>
  <si>
    <t>3. Developer's financial obligations</t>
  </si>
  <si>
    <t>Taxe minière / redevance</t>
  </si>
  <si>
    <t>Mining tax / royalty tax</t>
  </si>
  <si>
    <t>Impôt sur les bénéfices: taux</t>
  </si>
  <si>
    <t>Income tax: rate</t>
  </si>
  <si>
    <t>Income tax: exemptions</t>
  </si>
  <si>
    <t>Other income tax features (amortization, deductibility of expenses, loss carry forward, ring-fencing)</t>
  </si>
  <si>
    <t>Service Agreement - Fee to developer / contractor (basis for calculation)</t>
  </si>
  <si>
    <t>Capital gains tax</t>
  </si>
  <si>
    <t>Retenue à la source sur les salaires des nationaux</t>
  </si>
  <si>
    <t>Witholding tax on national salaries</t>
  </si>
  <si>
    <t>Retenue à la source sur les salaires des expatriés</t>
  </si>
  <si>
    <t>Witholding tax on expatriate salaries</t>
  </si>
  <si>
    <t>Retenue à la source sur les prestations de service par des entreprises non résidentes</t>
  </si>
  <si>
    <t>Witholding tax on services of non-resident companies</t>
  </si>
  <si>
    <t>Retenue à la source sur les loyers des immeubles</t>
  </si>
  <si>
    <t>Witholding tax on rent</t>
  </si>
  <si>
    <t>Déductibilité des frais financiers</t>
  </si>
  <si>
    <t>Deductibility of expenses</t>
  </si>
  <si>
    <t xml:space="preserve">Méthode d’évaluation de prix </t>
  </si>
  <si>
    <t>Method for evaluating price</t>
  </si>
  <si>
    <t>Provision pour la reconstitution des gisements</t>
  </si>
  <si>
    <t>Provisions for renewing reserves</t>
  </si>
  <si>
    <t>Crédit d'investissement</t>
  </si>
  <si>
    <t>Investment credit</t>
  </si>
  <si>
    <t>Droits de douane en phase de recherche</t>
  </si>
  <si>
    <t>Custom duties during exploration phase</t>
  </si>
  <si>
    <t>Droits de douane en phase de construction</t>
  </si>
  <si>
    <t>Custom duties during construction phase</t>
  </si>
  <si>
    <t>Droits de douane en phase d'exploitation</t>
  </si>
  <si>
    <t>Droits de douane pour le matériel de traitement</t>
  </si>
  <si>
    <t>Custom duties on processing equipment</t>
  </si>
  <si>
    <t>Droits de douane pour le matériel de transformation</t>
  </si>
  <si>
    <t>Custom duties on transformation equipment</t>
  </si>
  <si>
    <t>Droits de douane pour le matériel de transport</t>
  </si>
  <si>
    <t>Custom duties on transportation equipment</t>
  </si>
  <si>
    <t>TVA</t>
  </si>
  <si>
    <t>VAT</t>
  </si>
  <si>
    <t>Droits fixes d'octroi et de renouvellement des permis</t>
  </si>
  <si>
    <t>Part patronale des cotisations de sécurité sociale</t>
  </si>
  <si>
    <t>Social security contributions by employer</t>
  </si>
  <si>
    <t>Redevances superficiaires</t>
  </si>
  <si>
    <t>Surface fees</t>
  </si>
  <si>
    <t>Obligations communautaires ou sous-nationales</t>
  </si>
  <si>
    <t>Community and regional obligations</t>
  </si>
  <si>
    <t>Primes</t>
  </si>
  <si>
    <t>Bonuses</t>
  </si>
  <si>
    <t>Participation de l'Etat</t>
  </si>
  <si>
    <t>State participation</t>
  </si>
  <si>
    <t>Exonérations non-précisées ailleurs</t>
  </si>
  <si>
    <t>Other exemptions</t>
  </si>
  <si>
    <t>Restrictions sur les transactions avec les parties liées</t>
  </si>
  <si>
    <t>Restrictions on transactions with affiliated parties</t>
  </si>
  <si>
    <t>4. Environmental provisions</t>
  </si>
  <si>
    <t>5. Operational provisions</t>
  </si>
  <si>
    <t>Obligations de travaux, d'investissements</t>
  </si>
  <si>
    <t>Work and investment commitments</t>
  </si>
  <si>
    <t>Rétrocession</t>
  </si>
  <si>
    <t>Transfer of risk</t>
  </si>
  <si>
    <t>Construction et entretien d'infrastructure</t>
  </si>
  <si>
    <t>Construction and maintenance of infrastructure</t>
  </si>
  <si>
    <t>Marketing of output and state access to output</t>
  </si>
  <si>
    <t>Utilisation d’infrastructure par les tiers</t>
  </si>
  <si>
    <t>Third party use of infrastructure</t>
  </si>
  <si>
    <t>Financement d’infrastructure</t>
  </si>
  <si>
    <t>Financing of infrastructure</t>
  </si>
  <si>
    <t>Propriété d’infrastructure</t>
  </si>
  <si>
    <t>Ownership of infrastructure</t>
  </si>
  <si>
    <t>6. Dispositions diverses</t>
  </si>
  <si>
    <t>6. Miscellaneous provisions</t>
  </si>
  <si>
    <t>Loi applicable en cas des différends</t>
  </si>
  <si>
    <t>Governing law in case of dispute</t>
  </si>
  <si>
    <t>Arbitrage et règlement des différends</t>
  </si>
  <si>
    <t>Arbitration and dispute resolution</t>
  </si>
  <si>
    <t>Clause de stabilisation</t>
  </si>
  <si>
    <t>Stabilization clause</t>
  </si>
  <si>
    <t>Cession / transfert</t>
  </si>
  <si>
    <t>Assignment / transfer</t>
  </si>
  <si>
    <t>Cancellation / termination</t>
  </si>
  <si>
    <t>Indemnisation</t>
  </si>
  <si>
    <t>Indemnification</t>
  </si>
  <si>
    <t>Confidentialité</t>
  </si>
  <si>
    <t>Confidentiality</t>
  </si>
  <si>
    <t>Langue</t>
  </si>
  <si>
    <t>Language</t>
  </si>
  <si>
    <t>III. Notes sur le document</t>
  </si>
  <si>
    <t>III. Document notes</t>
  </si>
  <si>
    <t>Pages Manquantes de la copie</t>
  </si>
  <si>
    <t>Pages missing from  copy</t>
  </si>
  <si>
    <t>Annexes Manquantes de la copie</t>
  </si>
  <si>
    <t>Annexes missing from copy</t>
  </si>
  <si>
    <t>Category</t>
  </si>
  <si>
    <t>Terms</t>
  </si>
  <si>
    <t>Type of Mining Title</t>
  </si>
  <si>
    <t>Signature Date</t>
  </si>
  <si>
    <t>Signature Year</t>
  </si>
  <si>
    <t>Contract Term (duration) in Years</t>
  </si>
  <si>
    <t>Name of third party to contract (where applicable)</t>
  </si>
  <si>
    <t>Carbon credits</t>
  </si>
  <si>
    <t>Value addition/downstream activities</t>
  </si>
  <si>
    <t>Contracting party's permitted use of public or private land outside concession area</t>
  </si>
  <si>
    <t>Expropriation / nationalization</t>
  </si>
  <si>
    <t>Other - [Name of Category]</t>
  </si>
  <si>
    <t>Expropriation</t>
  </si>
  <si>
    <t>Autre - [le nom de catégorie]</t>
  </si>
  <si>
    <t>Nom de la partie tiers (si applicable)</t>
  </si>
  <si>
    <t>Activité de beneficiation/ valeur ajoutée</t>
  </si>
  <si>
    <t>Right to take and/or use water within/near contract concession area (including fees, licenses, and permits required)</t>
  </si>
  <si>
    <t>L'étude de faisabilité et le plan d'affaires</t>
  </si>
  <si>
    <t>Feasibility studies and requirement of business plan</t>
  </si>
  <si>
    <t>5. Dispositions relatives aux opérations et à l’infrastructure</t>
  </si>
  <si>
    <t>Requirements regarding workers or farm/concession dwellers within concession areas or in nearby communities in respect of occupational health and safety, access to clean water, housing, medical care, or education</t>
  </si>
  <si>
    <t>Obligations concernant les travailleurs ou les habitants dans ou près des concessions en ce qui concerne la santé et la sécurité au travail, l'accès à l'eau potable, le logement, les soins médicaux ou l'éducation</t>
  </si>
  <si>
    <t>Physical security, protection of property, and/or use of guards</t>
  </si>
  <si>
    <t>La sécurité physique, la protection de la propriété, et / ou l'utilisation des gardes</t>
  </si>
  <si>
    <t>Reporting Requirements and other methods of monitoring compliance</t>
  </si>
  <si>
    <t>Mécanismes de réclamation pour les parties non contractantes</t>
  </si>
  <si>
    <t>Grievance mechanisms for non-contractual harms to non-contracting parties</t>
  </si>
  <si>
    <t xml:space="preserve">4. Dispositions environnementales </t>
  </si>
  <si>
    <t>2. Community and social obligations</t>
  </si>
  <si>
    <t>Parent companies or affilates outside of the country, if different from the above mentioned; and their corporate headquarters</t>
  </si>
  <si>
    <t>Audit mechanisms - operational obligations</t>
  </si>
  <si>
    <t>Audit mechanisms - financial obligations</t>
  </si>
  <si>
    <t>Modes d'audit à l'égard des obligations financières du détenteur du titre</t>
  </si>
  <si>
    <t>Modes d'audit à l'égard des dispositions opérationnelles</t>
  </si>
  <si>
    <t>Crédits de carbone</t>
  </si>
  <si>
    <t>Partage de production - Eléments de "Cost Oil" (base de calcul, limites sur le recouvrement des coûts, e.g. comme % des revenues ou de la production, crédit d'investissement, etc.)</t>
  </si>
  <si>
    <t>Partage de production - Eléments de "Profit Oil" (critères pour la modification du partage, - TRI, facteur "r", niveau de production, etc.)</t>
  </si>
  <si>
    <t>Nom du gisement/ champ de pétrole/ gas</t>
  </si>
  <si>
    <t>Retenue à la source sur les intérêts et/ou dividendes</t>
  </si>
  <si>
    <t xml:space="preserve">Commercialisation et accès gouvernemental à la production </t>
  </si>
  <si>
    <t>Type du titre associé au contrat (concession, bail, contrat de partage, contrat de service…)</t>
  </si>
  <si>
    <t xml:space="preserve">Emplacement, longitude et latitude / terrestre vs marin (peu profond vs. profond) </t>
  </si>
  <si>
    <t>Réinstallation des habitants</t>
  </si>
  <si>
    <t>Resettlement</t>
  </si>
  <si>
    <t>Withholding tax on payment of interest and/or dividends</t>
  </si>
  <si>
    <t>Other requirements regarding protection of the environment (including prevention of pollution and watercourse protection)</t>
  </si>
  <si>
    <t>Les autres obligations pour la protection de l'environnement (y compris la prévention de la pollution et la protection des cours d'eau)</t>
  </si>
  <si>
    <t>Etude d'impact social, environnemental ou des droits humains, et les plans de gestion des risques</t>
  </si>
  <si>
    <t>Social, environmental and/or human rights monitoring requirements</t>
  </si>
  <si>
    <t>Mode et fréquence de suivi des risques sociaux (y compris enfreinte aux droits de l'homme) ou environnementaux</t>
  </si>
  <si>
    <t xml:space="preserve">Rights of non-contracting parties to access/use concession area (including permitted independent farming in concession area) </t>
  </si>
  <si>
    <t>Droits d'accès/utilisation à la zone de concession pour les parties non contractantes qui utilisaient la terre au préalable (y compris l'agriculture indépendante autorisée dans la zone de concession)</t>
  </si>
  <si>
    <t>Size of the concession area</t>
  </si>
  <si>
    <t>Superficie de la concession</t>
  </si>
  <si>
    <t>Custum duties during operation phase</t>
  </si>
  <si>
    <t>Social, environmental and/or human rights impact assessments, as well as related management plans</t>
  </si>
  <si>
    <t>Hardship clause or force majeure</t>
  </si>
  <si>
    <t>Clause de hardship ou force majeure</t>
  </si>
  <si>
    <t>Outgrowers Program (details, additional land provided, etc)</t>
  </si>
  <si>
    <t>Impôt sur les bénéfices: exonération</t>
  </si>
  <si>
    <t>Autre aspects de l'impôt sur les bénéfices: (l’amortissement, déductibilité des frais financiers, report des pertes, cloisonnement)</t>
  </si>
  <si>
    <t>Droit de prendre ou d'utiliser l'eau dans la zone de concession (ou à coté) (y compris les tarifs, licences, et permis)</t>
  </si>
  <si>
    <t>Autorisation pour utiliser les terres publique ou privées à l'extérieur de la zone de concession</t>
  </si>
  <si>
    <t xml:space="preserve">Annulation / Résiliation </t>
  </si>
  <si>
    <t>Ressource(s) concernées (type de minéral, pétrole, gas, bois) ou les récoltes/denrées</t>
  </si>
  <si>
    <t>Protection des lieux sacrés, des ressources et du milieu de vie</t>
  </si>
  <si>
    <t>Obligations liées à l'emploi du personnel local</t>
  </si>
  <si>
    <t>Obligations liées a l'approvisionnement en biens et services locaux</t>
  </si>
  <si>
    <t>Consultations communautaires requises</t>
  </si>
  <si>
    <t>Obligations liées a la formation des cadres locaux</t>
  </si>
  <si>
    <t>Impôt sur les Revenus des Valeurs Mobilières (IRVM)</t>
  </si>
  <si>
    <t>Obligations de reporting et autres méthodes de contrôle de la conformité</t>
  </si>
  <si>
    <t>Numéro d'entreprise légal</t>
  </si>
  <si>
    <t>Legal Enterprise Identifier</t>
  </si>
  <si>
    <t>Page (permalink) page = page top, middle, bottom</t>
  </si>
  <si>
    <t>country</t>
  </si>
  <si>
    <t>iso3</t>
  </si>
  <si>
    <t>Afganistan</t>
  </si>
  <si>
    <t>AFG</t>
  </si>
  <si>
    <t>Albania</t>
  </si>
  <si>
    <t>ALB</t>
  </si>
  <si>
    <t>Algeria</t>
  </si>
  <si>
    <t>DZA</t>
  </si>
  <si>
    <t>American Samoa</t>
  </si>
  <si>
    <t>ASM</t>
  </si>
  <si>
    <t>Andorra</t>
  </si>
  <si>
    <t>AND</t>
  </si>
  <si>
    <t>Angola</t>
  </si>
  <si>
    <t>AGO</t>
  </si>
  <si>
    <t>Anguilla</t>
  </si>
  <si>
    <t>AIA</t>
  </si>
  <si>
    <t>Antigua &amp; Barbuda</t>
  </si>
  <si>
    <t>ATG</t>
  </si>
  <si>
    <t>Argentina</t>
  </si>
  <si>
    <t>ARG</t>
  </si>
  <si>
    <t>Armenia</t>
  </si>
  <si>
    <t>ARM</t>
  </si>
  <si>
    <t>Aruba</t>
  </si>
  <si>
    <t>ABW</t>
  </si>
  <si>
    <t>Australia</t>
  </si>
  <si>
    <t>AUS</t>
  </si>
  <si>
    <t>Austria</t>
  </si>
  <si>
    <t>AUT</t>
  </si>
  <si>
    <t>Azerbaijan</t>
  </si>
  <si>
    <t>AZE</t>
  </si>
  <si>
    <t>Bahamas</t>
  </si>
  <si>
    <t>BHS</t>
  </si>
  <si>
    <t>Bahrain</t>
  </si>
  <si>
    <t>BHR</t>
  </si>
  <si>
    <t>Bangladesh</t>
  </si>
  <si>
    <t>BGD</t>
  </si>
  <si>
    <t>Barbados</t>
  </si>
  <si>
    <t>BRB</t>
  </si>
  <si>
    <t>Belarus</t>
  </si>
  <si>
    <t>BLR</t>
  </si>
  <si>
    <t>Belgium</t>
  </si>
  <si>
    <t>BEL</t>
  </si>
  <si>
    <t>Belize</t>
  </si>
  <si>
    <t>BLZ</t>
  </si>
  <si>
    <t>Benin</t>
  </si>
  <si>
    <t>BEN</t>
  </si>
  <si>
    <t>Bermuda</t>
  </si>
  <si>
    <t>BMU</t>
  </si>
  <si>
    <t>Bhutan</t>
  </si>
  <si>
    <t>BTN</t>
  </si>
  <si>
    <t>Bolivia</t>
  </si>
  <si>
    <t>BOL</t>
  </si>
  <si>
    <t>Bonaire</t>
  </si>
  <si>
    <t>BES</t>
  </si>
  <si>
    <t>Bosnia-Herzegovina</t>
  </si>
  <si>
    <t>BIH</t>
  </si>
  <si>
    <t>Botswana</t>
  </si>
  <si>
    <t>BWA</t>
  </si>
  <si>
    <t>Brazil</t>
  </si>
  <si>
    <t>BRA</t>
  </si>
  <si>
    <t>British Indian Ocean Territory</t>
  </si>
  <si>
    <t>IOT</t>
  </si>
  <si>
    <t>British Virgin Islands</t>
  </si>
  <si>
    <t>VGB</t>
  </si>
  <si>
    <t>Brunei Darussalam</t>
  </si>
  <si>
    <t>BRN</t>
  </si>
  <si>
    <t>Bulgaria</t>
  </si>
  <si>
    <t>BGR</t>
  </si>
  <si>
    <t>Burkina Faso</t>
  </si>
  <si>
    <t>BFA</t>
  </si>
  <si>
    <t>Burundi</t>
  </si>
  <si>
    <t>BDI</t>
  </si>
  <si>
    <t>Cambodia</t>
  </si>
  <si>
    <t>KHM</t>
  </si>
  <si>
    <t>Cameroon</t>
  </si>
  <si>
    <t>CMR</t>
  </si>
  <si>
    <t>Canada</t>
  </si>
  <si>
    <t>CAN</t>
  </si>
  <si>
    <t>Cape Verde Islands</t>
  </si>
  <si>
    <t>CPV</t>
  </si>
  <si>
    <t>Cayman Islands</t>
  </si>
  <si>
    <t>CYM</t>
  </si>
  <si>
    <t>Central African Republic</t>
  </si>
  <si>
    <t>CAF</t>
  </si>
  <si>
    <t>Chad</t>
  </si>
  <si>
    <t>TCD</t>
  </si>
  <si>
    <t>Chile</t>
  </si>
  <si>
    <t>CHL</t>
  </si>
  <si>
    <t>China</t>
  </si>
  <si>
    <t>CHN</t>
  </si>
  <si>
    <t>Christmas Island</t>
  </si>
  <si>
    <t>CXR</t>
  </si>
  <si>
    <t>Cocos (Keeling) Islands</t>
  </si>
  <si>
    <t>CCK</t>
  </si>
  <si>
    <t>Colombia</t>
  </si>
  <si>
    <t>COL</t>
  </si>
  <si>
    <t>Comoros</t>
  </si>
  <si>
    <t>COM</t>
  </si>
  <si>
    <t>Congo (Brazzaville)</t>
  </si>
  <si>
    <t>COG</t>
  </si>
  <si>
    <t>Congo (Kinshasa)</t>
  </si>
  <si>
    <t>ZAR</t>
  </si>
  <si>
    <t>Cook Islands</t>
  </si>
  <si>
    <t>COK</t>
  </si>
  <si>
    <t>Costa Rica</t>
  </si>
  <si>
    <t>CRI</t>
  </si>
  <si>
    <t>Croatia</t>
  </si>
  <si>
    <t>HRV</t>
  </si>
  <si>
    <t>Cuba</t>
  </si>
  <si>
    <t>CUB</t>
  </si>
  <si>
    <t>CuraÃ§ao</t>
  </si>
  <si>
    <t>CUW</t>
  </si>
  <si>
    <t>Cyprus</t>
  </si>
  <si>
    <t>CYP</t>
  </si>
  <si>
    <t>Czech Republic</t>
  </si>
  <si>
    <t>CZE</t>
  </si>
  <si>
    <t>Denmark</t>
  </si>
  <si>
    <t>DNK</t>
  </si>
  <si>
    <t>Djibouti</t>
  </si>
  <si>
    <t>DJI</t>
  </si>
  <si>
    <t>Dominica</t>
  </si>
  <si>
    <t>DMA</t>
  </si>
  <si>
    <t>Dominican Republic</t>
  </si>
  <si>
    <t>DOM</t>
  </si>
  <si>
    <t>East Timor</t>
  </si>
  <si>
    <t>TLS</t>
  </si>
  <si>
    <t>Ecuador</t>
  </si>
  <si>
    <t>ECU</t>
  </si>
  <si>
    <t>Egypt</t>
  </si>
  <si>
    <t>EGY</t>
  </si>
  <si>
    <t>El Salvador</t>
  </si>
  <si>
    <t>SLV</t>
  </si>
  <si>
    <t>Equatorial Guinea</t>
  </si>
  <si>
    <t>GNQ</t>
  </si>
  <si>
    <t>Eritrea</t>
  </si>
  <si>
    <t>ERI</t>
  </si>
  <si>
    <t>Estonia</t>
  </si>
  <si>
    <t>EST</t>
  </si>
  <si>
    <t>Ethiopia</t>
  </si>
  <si>
    <t>ETH</t>
  </si>
  <si>
    <t>Faeroe Islands</t>
  </si>
  <si>
    <t>FRO</t>
  </si>
  <si>
    <t>Falkland Islands</t>
  </si>
  <si>
    <t>FLK</t>
  </si>
  <si>
    <t>Fiji</t>
  </si>
  <si>
    <t>FJI</t>
  </si>
  <si>
    <t>Finland</t>
  </si>
  <si>
    <t>FIN</t>
  </si>
  <si>
    <t>France</t>
  </si>
  <si>
    <t>FRA</t>
  </si>
  <si>
    <t>French Guiana</t>
  </si>
  <si>
    <t>GUF</t>
  </si>
  <si>
    <t>French Polynesia</t>
  </si>
  <si>
    <t>PYF</t>
  </si>
  <si>
    <t>French Southern Territories</t>
  </si>
  <si>
    <t>ATF</t>
  </si>
  <si>
    <t>Gabon</t>
  </si>
  <si>
    <t>GAB</t>
  </si>
  <si>
    <t>Gambia</t>
  </si>
  <si>
    <t>GMB</t>
  </si>
  <si>
    <t>Georgia</t>
  </si>
  <si>
    <t>GEO</t>
  </si>
  <si>
    <t>Germany</t>
  </si>
  <si>
    <t>DEU</t>
  </si>
  <si>
    <t>Ghana</t>
  </si>
  <si>
    <t>GHA</t>
  </si>
  <si>
    <t>Gibralter</t>
  </si>
  <si>
    <t>GIB</t>
  </si>
  <si>
    <t>Greece</t>
  </si>
  <si>
    <t>GRC</t>
  </si>
  <si>
    <t>Greenland</t>
  </si>
  <si>
    <t>GRL</t>
  </si>
  <si>
    <t>Grenada</t>
  </si>
  <si>
    <t>GRD</t>
  </si>
  <si>
    <t>Guadeloupe</t>
  </si>
  <si>
    <t>GLP</t>
  </si>
  <si>
    <t>Guam</t>
  </si>
  <si>
    <t>GUM</t>
  </si>
  <si>
    <t>Guatemala</t>
  </si>
  <si>
    <t>GTM</t>
  </si>
  <si>
    <t>Guernsey</t>
  </si>
  <si>
    <t>GGY</t>
  </si>
  <si>
    <t>Guinea</t>
  </si>
  <si>
    <t>GIN</t>
  </si>
  <si>
    <t>Guinea-Bissau</t>
  </si>
  <si>
    <t>GNB</t>
  </si>
  <si>
    <t>Guyana</t>
  </si>
  <si>
    <t>GUY</t>
  </si>
  <si>
    <t>Haiti</t>
  </si>
  <si>
    <t>HTI</t>
  </si>
  <si>
    <t>Holy See</t>
  </si>
  <si>
    <t>Honduras</t>
  </si>
  <si>
    <t>HND</t>
  </si>
  <si>
    <t>Hong Kong</t>
  </si>
  <si>
    <t>HKG</t>
  </si>
  <si>
    <t>Hungary</t>
  </si>
  <si>
    <t>HUN</t>
  </si>
  <si>
    <t>Iceland</t>
  </si>
  <si>
    <t>ISL</t>
  </si>
  <si>
    <t>India</t>
  </si>
  <si>
    <t>IND</t>
  </si>
  <si>
    <t>Indonesia</t>
  </si>
  <si>
    <t>IDN</t>
  </si>
  <si>
    <t>Iran</t>
  </si>
  <si>
    <t>IRN</t>
  </si>
  <si>
    <t>Iraq</t>
  </si>
  <si>
    <t>IRQ</t>
  </si>
  <si>
    <t>Ireland</t>
  </si>
  <si>
    <t>IRL</t>
  </si>
  <si>
    <t>Isle of Man</t>
  </si>
  <si>
    <t>IMN</t>
  </si>
  <si>
    <t>Israel</t>
  </si>
  <si>
    <t>ISR</t>
  </si>
  <si>
    <t>Italy</t>
  </si>
  <si>
    <t>ITA</t>
  </si>
  <si>
    <t>Ivory Coast</t>
  </si>
  <si>
    <t>CIV</t>
  </si>
  <si>
    <t>Jamaica</t>
  </si>
  <si>
    <t>JAM</t>
  </si>
  <si>
    <t>Japan</t>
  </si>
  <si>
    <t>JPN</t>
  </si>
  <si>
    <t>Jersey</t>
  </si>
  <si>
    <t>JEY</t>
  </si>
  <si>
    <t>Jordan</t>
  </si>
  <si>
    <t>JOR</t>
  </si>
  <si>
    <t>Kazakhstan</t>
  </si>
  <si>
    <t>KAZ</t>
  </si>
  <si>
    <t>Kenya</t>
  </si>
  <si>
    <t>KEN</t>
  </si>
  <si>
    <t>Kiribati</t>
  </si>
  <si>
    <t>KIR</t>
  </si>
  <si>
    <t>Kuwait</t>
  </si>
  <si>
    <t>KWT</t>
  </si>
  <si>
    <t>Kyrgyzstan</t>
  </si>
  <si>
    <t>KGZ</t>
  </si>
  <si>
    <t>Laos</t>
  </si>
  <si>
    <t>LAO</t>
  </si>
  <si>
    <t>Latvia</t>
  </si>
  <si>
    <t>LVA</t>
  </si>
  <si>
    <t>Lebanon</t>
  </si>
  <si>
    <t>LBN</t>
  </si>
  <si>
    <t>Lesotho</t>
  </si>
  <si>
    <t>LSO</t>
  </si>
  <si>
    <t>Liberia</t>
  </si>
  <si>
    <t>LBR</t>
  </si>
  <si>
    <t>Libya</t>
  </si>
  <si>
    <t>LBY</t>
  </si>
  <si>
    <t>Liechtenstein</t>
  </si>
  <si>
    <t>LIE</t>
  </si>
  <si>
    <t>Lithuania</t>
  </si>
  <si>
    <t>LTU</t>
  </si>
  <si>
    <t>Luxembourg</t>
  </si>
  <si>
    <t>LUX</t>
  </si>
  <si>
    <t>Macau</t>
  </si>
  <si>
    <t>MAC</t>
  </si>
  <si>
    <t>Macedonia</t>
  </si>
  <si>
    <t>MKD</t>
  </si>
  <si>
    <t>Madagascar</t>
  </si>
  <si>
    <t>MDG</t>
  </si>
  <si>
    <t>Malawi</t>
  </si>
  <si>
    <t>MWI</t>
  </si>
  <si>
    <t>Malaysia</t>
  </si>
  <si>
    <t>MYS</t>
  </si>
  <si>
    <t>Maldives</t>
  </si>
  <si>
    <t>MDV</t>
  </si>
  <si>
    <t>Mali</t>
  </si>
  <si>
    <t>MLI</t>
  </si>
  <si>
    <t>Malta</t>
  </si>
  <si>
    <t>MLT</t>
  </si>
  <si>
    <t>Marshall Islands</t>
  </si>
  <si>
    <t>MHL</t>
  </si>
  <si>
    <t>Martinique</t>
  </si>
  <si>
    <t>MTQ</t>
  </si>
  <si>
    <t>Mauritania</t>
  </si>
  <si>
    <t>MRT</t>
  </si>
  <si>
    <t>Mauritius</t>
  </si>
  <si>
    <t>MUS</t>
  </si>
  <si>
    <t>Mayotte</t>
  </si>
  <si>
    <t>MYT</t>
  </si>
  <si>
    <t>Mexico</t>
  </si>
  <si>
    <t>MEX</t>
  </si>
  <si>
    <t>Micronesia</t>
  </si>
  <si>
    <t>FSM</t>
  </si>
  <si>
    <t>Moldova</t>
  </si>
  <si>
    <t>MDA</t>
  </si>
  <si>
    <t>Monaco</t>
  </si>
  <si>
    <t>MCO</t>
  </si>
  <si>
    <t>Mongolia</t>
  </si>
  <si>
    <t>MNG</t>
  </si>
  <si>
    <t>Montenegro</t>
  </si>
  <si>
    <t>MNE</t>
  </si>
  <si>
    <t>Montserrat</t>
  </si>
  <si>
    <t>MSR</t>
  </si>
  <si>
    <t>Morocco</t>
  </si>
  <si>
    <t>MAR</t>
  </si>
  <si>
    <t>Mozambique</t>
  </si>
  <si>
    <t>MOZ</t>
  </si>
  <si>
    <t>Myanmar</t>
  </si>
  <si>
    <t>MMR</t>
  </si>
  <si>
    <t>Namibia</t>
  </si>
  <si>
    <t>NAM</t>
  </si>
  <si>
    <t>Nauru</t>
  </si>
  <si>
    <t>NRU</t>
  </si>
  <si>
    <t>Nepal</t>
  </si>
  <si>
    <t>NPL</t>
  </si>
  <si>
    <t>Netherlands Antilles</t>
  </si>
  <si>
    <t>ANT</t>
  </si>
  <si>
    <t>Netherlands</t>
  </si>
  <si>
    <t>NLD</t>
  </si>
  <si>
    <t>New Caledonia</t>
  </si>
  <si>
    <t>NCL</t>
  </si>
  <si>
    <t>New Zealand</t>
  </si>
  <si>
    <t>NZL</t>
  </si>
  <si>
    <t>Nicaragua</t>
  </si>
  <si>
    <t>NIC</t>
  </si>
  <si>
    <t>Niger</t>
  </si>
  <si>
    <t>NER</t>
  </si>
  <si>
    <t>Nigeria</t>
  </si>
  <si>
    <t>NGA</t>
  </si>
  <si>
    <t>Niue</t>
  </si>
  <si>
    <t>NIU</t>
  </si>
  <si>
    <t>Norfolk Island</t>
  </si>
  <si>
    <t>NFK</t>
  </si>
  <si>
    <t>North Korea</t>
  </si>
  <si>
    <t>PRK</t>
  </si>
  <si>
    <t>Northern Mariana Islands</t>
  </si>
  <si>
    <t>MNP</t>
  </si>
  <si>
    <t>Norway</t>
  </si>
  <si>
    <t>NOR</t>
  </si>
  <si>
    <t>Oman</t>
  </si>
  <si>
    <t>OMN</t>
  </si>
  <si>
    <t>Pakistan</t>
  </si>
  <si>
    <t>PAK</t>
  </si>
  <si>
    <t>Palau</t>
  </si>
  <si>
    <t>PLW</t>
  </si>
  <si>
    <t>Palestinian Territories</t>
  </si>
  <si>
    <t>PSE</t>
  </si>
  <si>
    <t>Panama</t>
  </si>
  <si>
    <t>PAN</t>
  </si>
  <si>
    <t>Papua New Guinea</t>
  </si>
  <si>
    <t>PNG</t>
  </si>
  <si>
    <t>Paraguay</t>
  </si>
  <si>
    <t>PRY</t>
  </si>
  <si>
    <t>Peru</t>
  </si>
  <si>
    <t>PER</t>
  </si>
  <si>
    <t>Philippines</t>
  </si>
  <si>
    <t>PHL</t>
  </si>
  <si>
    <t>Pitcairn Islands</t>
  </si>
  <si>
    <t>PCN</t>
  </si>
  <si>
    <t>Poland</t>
  </si>
  <si>
    <t>POL</t>
  </si>
  <si>
    <t>Portugal</t>
  </si>
  <si>
    <t>PRT</t>
  </si>
  <si>
    <t>Puerto Rico</t>
  </si>
  <si>
    <t>PRI</t>
  </si>
  <si>
    <t>Qatar</t>
  </si>
  <si>
    <t>QAT</t>
  </si>
  <si>
    <t>Romania</t>
  </si>
  <si>
    <t>ROU</t>
  </si>
  <si>
    <t>Russia</t>
  </si>
  <si>
    <t>RUS</t>
  </si>
  <si>
    <t>Rwanda</t>
  </si>
  <si>
    <t>RWA</t>
  </si>
  <si>
    <t>RÃ©union</t>
  </si>
  <si>
    <t>REU</t>
  </si>
  <si>
    <t>Saba</t>
  </si>
  <si>
    <t>Saint BarthÃ©lemy</t>
  </si>
  <si>
    <t>BLM</t>
  </si>
  <si>
    <t>Saint Christopher &amp; Nevis</t>
  </si>
  <si>
    <t>KNA</t>
  </si>
  <si>
    <t>Saint Helena</t>
  </si>
  <si>
    <t>SHN</t>
  </si>
  <si>
    <t>Saint Lucia</t>
  </si>
  <si>
    <t>LCA</t>
  </si>
  <si>
    <t>Saint Martin</t>
  </si>
  <si>
    <t>MAF</t>
  </si>
  <si>
    <t>Saint Pierre &amp; Miquelon</t>
  </si>
  <si>
    <t>SPM</t>
  </si>
  <si>
    <t>Saint Vincent &amp; The Grenadines</t>
  </si>
  <si>
    <t>VCT</t>
  </si>
  <si>
    <t>Samoa</t>
  </si>
  <si>
    <t>WSM</t>
  </si>
  <si>
    <t>San Marino</t>
  </si>
  <si>
    <t>SMR</t>
  </si>
  <si>
    <t>Sao Tome &amp; Principe</t>
  </si>
  <si>
    <t>STP</t>
  </si>
  <si>
    <t>Saudi Arabia</t>
  </si>
  <si>
    <t>SAU</t>
  </si>
  <si>
    <t>Senegal</t>
  </si>
  <si>
    <t>SEN</t>
  </si>
  <si>
    <t>Serbia</t>
  </si>
  <si>
    <t>SRB</t>
  </si>
  <si>
    <t>Seychelles</t>
  </si>
  <si>
    <t>SYC</t>
  </si>
  <si>
    <t>Sierra Leone</t>
  </si>
  <si>
    <t>SLE</t>
  </si>
  <si>
    <t>Singapore</t>
  </si>
  <si>
    <t>SGP</t>
  </si>
  <si>
    <t>Sint Eustatius</t>
  </si>
  <si>
    <t>Sint Maarten</t>
  </si>
  <si>
    <t>SXM</t>
  </si>
  <si>
    <t>Slovakia</t>
  </si>
  <si>
    <t>SVK</t>
  </si>
  <si>
    <t>Slovenia</t>
  </si>
  <si>
    <t>SVN</t>
  </si>
  <si>
    <t>Solomon Islands</t>
  </si>
  <si>
    <t>SLB</t>
  </si>
  <si>
    <t>Somalia</t>
  </si>
  <si>
    <t>SOM</t>
  </si>
  <si>
    <t>Somaliland</t>
  </si>
  <si>
    <t>South Africa</t>
  </si>
  <si>
    <t>ZAF</t>
  </si>
  <si>
    <t>South Georgia &amp; The South Sandwish Islands</t>
  </si>
  <si>
    <t>SGS</t>
  </si>
  <si>
    <t>South Korea</t>
  </si>
  <si>
    <t>KOR</t>
  </si>
  <si>
    <t>South Sudan</t>
  </si>
  <si>
    <t>SSD</t>
  </si>
  <si>
    <t>Spain</t>
  </si>
  <si>
    <t>ESP</t>
  </si>
  <si>
    <t>Sri Lanka</t>
  </si>
  <si>
    <t>LKA</t>
  </si>
  <si>
    <t>Sudan</t>
  </si>
  <si>
    <t>SDN</t>
  </si>
  <si>
    <t>Suriname</t>
  </si>
  <si>
    <t>SUR</t>
  </si>
  <si>
    <t>Swaziland</t>
  </si>
  <si>
    <t>SWZ</t>
  </si>
  <si>
    <t>Sweden</t>
  </si>
  <si>
    <t>SWE</t>
  </si>
  <si>
    <t>Switzerland</t>
  </si>
  <si>
    <t>CHE</t>
  </si>
  <si>
    <t>Syria</t>
  </si>
  <si>
    <t>SYR</t>
  </si>
  <si>
    <t>Taiwan</t>
  </si>
  <si>
    <t>TWN</t>
  </si>
  <si>
    <t>Tajikistan</t>
  </si>
  <si>
    <t>TJK</t>
  </si>
  <si>
    <t>Tanzania</t>
  </si>
  <si>
    <t>TZA</t>
  </si>
  <si>
    <t>Thailand</t>
  </si>
  <si>
    <t>THA</t>
  </si>
  <si>
    <t>Togo</t>
  </si>
  <si>
    <t>TGO</t>
  </si>
  <si>
    <t>Tokelau</t>
  </si>
  <si>
    <t>TKL</t>
  </si>
  <si>
    <t>Tonga</t>
  </si>
  <si>
    <t>TON</t>
  </si>
  <si>
    <t>Trinidad &amp; Tobago</t>
  </si>
  <si>
    <t>TTO</t>
  </si>
  <si>
    <t>Tunisia</t>
  </si>
  <si>
    <t>TUN</t>
  </si>
  <si>
    <t>Turkey</t>
  </si>
  <si>
    <t>TUR</t>
  </si>
  <si>
    <t>Turkmenistan</t>
  </si>
  <si>
    <t>TKM</t>
  </si>
  <si>
    <t>Turks &amp; Caicos Islands</t>
  </si>
  <si>
    <t>TCA</t>
  </si>
  <si>
    <t>Tuvalu</t>
  </si>
  <si>
    <t>TUV</t>
  </si>
  <si>
    <t>Uganda</t>
  </si>
  <si>
    <t>UGA</t>
  </si>
  <si>
    <t>Ukraine</t>
  </si>
  <si>
    <t>UKR</t>
  </si>
  <si>
    <t>United Arab Emirates</t>
  </si>
  <si>
    <t>ARE</t>
  </si>
  <si>
    <t>United Kingdom</t>
  </si>
  <si>
    <t>GBR</t>
  </si>
  <si>
    <t>United States</t>
  </si>
  <si>
    <t>USA</t>
  </si>
  <si>
    <t>United States Virgin Islands</t>
  </si>
  <si>
    <t>VIR</t>
  </si>
  <si>
    <t>Uruguay</t>
  </si>
  <si>
    <t>URY</t>
  </si>
  <si>
    <t>Uzbekistan</t>
  </si>
  <si>
    <t>UZB</t>
  </si>
  <si>
    <t>Vanuatu</t>
  </si>
  <si>
    <t>VUT</t>
  </si>
  <si>
    <t>Venezuela</t>
  </si>
  <si>
    <t>VEN</t>
  </si>
  <si>
    <t>Vietnam</t>
  </si>
  <si>
    <t>VNM</t>
  </si>
  <si>
    <t>Wallis &amp; Futuna</t>
  </si>
  <si>
    <t>WLF</t>
  </si>
  <si>
    <t>Western Sahara</t>
  </si>
  <si>
    <t>ESH</t>
  </si>
  <si>
    <t>Yemen</t>
  </si>
  <si>
    <t>YEM</t>
  </si>
  <si>
    <t>Zambia</t>
  </si>
  <si>
    <t>ZMB</t>
  </si>
  <si>
    <t>Zimbabwe</t>
  </si>
  <si>
    <t>ZWE</t>
  </si>
  <si>
    <t>countriy-iso3</t>
  </si>
  <si>
    <t>resources</t>
  </si>
  <si>
    <t>resource</t>
  </si>
  <si>
    <t>license type</t>
  </si>
  <si>
    <t>Exploration Permit/License</t>
  </si>
  <si>
    <t>Concession</t>
  </si>
  <si>
    <t>Service Contract</t>
  </si>
  <si>
    <t>Other</t>
  </si>
  <si>
    <t>Lease</t>
  </si>
  <si>
    <t>Production Sharing Agreement</t>
  </si>
  <si>
    <t>PROPOSED ADDITIONAL FIELDS (AUTOPOPULATED)</t>
  </si>
  <si>
    <t>Parent companies or affilates</t>
  </si>
  <si>
    <t>location</t>
  </si>
  <si>
    <t>Year of ratifciation</t>
  </si>
  <si>
    <t>language</t>
  </si>
  <si>
    <t>Permis d'exploration</t>
  </si>
  <si>
    <t>Accord de partage</t>
  </si>
  <si>
    <t>Contrat de service</t>
  </si>
  <si>
    <t>Bail</t>
  </si>
  <si>
    <t>Autre</t>
  </si>
  <si>
    <t>french</t>
  </si>
  <si>
    <t>ENG</t>
  </si>
  <si>
    <t>FRE</t>
  </si>
  <si>
    <t>english</t>
  </si>
  <si>
    <t>Convention</t>
  </si>
  <si>
    <t>Exploitation Permit/License</t>
  </si>
  <si>
    <t>Permis d'exploitation</t>
  </si>
  <si>
    <t>Investment Agreement</t>
  </si>
  <si>
    <t>Investment Incentive Contract</t>
  </si>
  <si>
    <t>Joint Venture Contract</t>
  </si>
  <si>
    <t>Operating Agreement between Private Companies</t>
  </si>
  <si>
    <t>Profit Sharing Contract</t>
  </si>
  <si>
    <t>Forestry Concession Contract</t>
  </si>
  <si>
    <t>Contrat de Concession Forestière</t>
  </si>
  <si>
    <t>Base metals</t>
  </si>
  <si>
    <t>Bauxite</t>
  </si>
  <si>
    <t>Coal</t>
  </si>
  <si>
    <t>Charbon</t>
  </si>
  <si>
    <t>Cobalt</t>
  </si>
  <si>
    <t>Copper</t>
  </si>
  <si>
    <t>Crude oil</t>
  </si>
  <si>
    <t>Huile brute</t>
  </si>
  <si>
    <t>Diamonds</t>
  </si>
  <si>
    <t>Gas</t>
  </si>
  <si>
    <t>Gaz</t>
  </si>
  <si>
    <t>Gold</t>
  </si>
  <si>
    <t>Or</t>
  </si>
  <si>
    <t>Iron ore</t>
  </si>
  <si>
    <t>Lapis lazuli</t>
  </si>
  <si>
    <t>Lead</t>
  </si>
  <si>
    <t>Lithium</t>
  </si>
  <si>
    <t>Manganese</t>
  </si>
  <si>
    <t>Nickel</t>
  </si>
  <si>
    <t>Phosphate rock</t>
  </si>
  <si>
    <t>Platinum Group Metals</t>
  </si>
  <si>
    <t>Precious stones</t>
  </si>
  <si>
    <t>Quartz</t>
  </si>
  <si>
    <t>Semi-precious stones</t>
  </si>
  <si>
    <t>Silver</t>
  </si>
  <si>
    <t>Titanium</t>
  </si>
  <si>
    <t>Uranium</t>
  </si>
  <si>
    <t>Zinc</t>
  </si>
  <si>
    <t>Citrus</t>
  </si>
  <si>
    <t>Food crops</t>
  </si>
  <si>
    <t>Les cultures vivrières</t>
  </si>
  <si>
    <t>Hydrocarbons</t>
  </si>
  <si>
    <t>Palm oil</t>
  </si>
  <si>
    <t>Huile de palme</t>
  </si>
  <si>
    <t>Rubber</t>
  </si>
  <si>
    <t>Soy</t>
  </si>
  <si>
    <t>Sugar</t>
  </si>
  <si>
    <t>Sucre</t>
  </si>
  <si>
    <t>Timber</t>
  </si>
  <si>
    <t>Bois d'œuvre</t>
  </si>
  <si>
    <t>Accord d'investissement</t>
  </si>
  <si>
    <t>Contrat d'incitation à l'investissement</t>
  </si>
  <si>
    <t>Contrat de joint-venture</t>
  </si>
  <si>
    <t>Accord de fonctionnement entre les entreprises privées</t>
  </si>
  <si>
    <t>Accord d'intéressement</t>
  </si>
  <si>
    <t>Amodiation contract</t>
  </si>
  <si>
    <t>Contrat d'amodiation</t>
  </si>
  <si>
    <t>Options contract</t>
  </si>
  <si>
    <t>Contrat d'option</t>
  </si>
  <si>
    <t>Fer</t>
  </si>
  <si>
    <t>Aluminium</t>
  </si>
  <si>
    <t>Alumine</t>
  </si>
  <si>
    <t>Molybdenum</t>
  </si>
  <si>
    <t>Molybdène</t>
  </si>
  <si>
    <t>Lapis-lazuli</t>
  </si>
  <si>
    <t>Plomb</t>
  </si>
  <si>
    <t>Manganèse</t>
  </si>
  <si>
    <t>Cuivre</t>
  </si>
  <si>
    <t>Diamants</t>
  </si>
  <si>
    <t>Rroche phosphatée</t>
  </si>
  <si>
    <t>Métaux du groupe du platine</t>
  </si>
  <si>
    <t>Pierres précieuses</t>
  </si>
  <si>
    <t>Pierres semi précieuses</t>
  </si>
  <si>
    <t>Argent</t>
  </si>
  <si>
    <t>Titane</t>
  </si>
  <si>
    <t>Hydrocarbures</t>
  </si>
  <si>
    <t>Caoutchouc</t>
  </si>
  <si>
    <t>Soja</t>
  </si>
  <si>
    <t>Les metaux de base</t>
  </si>
  <si>
    <t>Cover page</t>
  </si>
  <si>
    <t>1 (top)</t>
  </si>
  <si>
    <t>1 (bottom)</t>
  </si>
  <si>
    <t>Art. A1</t>
  </si>
  <si>
    <t>Signature page</t>
  </si>
  <si>
    <t xml:space="preserve">Forestry Development Authority </t>
  </si>
  <si>
    <t>Cover page 2</t>
  </si>
  <si>
    <t>3 years</t>
  </si>
  <si>
    <t>The contract is not renewable</t>
  </si>
  <si>
    <t>Art. B2.2</t>
  </si>
  <si>
    <t>Art. B2.1</t>
  </si>
  <si>
    <t>5,000 ha</t>
  </si>
  <si>
    <t>Art. B6.34</t>
  </si>
  <si>
    <t>Art. B3.33</t>
  </si>
  <si>
    <t>Art. B6.31</t>
  </si>
  <si>
    <t>Art. B2.11</t>
  </si>
  <si>
    <t>Arts. A4, B7.11-B7.14</t>
  </si>
  <si>
    <t>The contract is governed by the laws of the Republic of Liberia</t>
  </si>
  <si>
    <t>Art. B3.51</t>
  </si>
  <si>
    <t>Art. B8.5</t>
  </si>
  <si>
    <t>John T. Woods, Forestry Development Authority , Tom Downing, Gemap Comptroller/FDA</t>
  </si>
  <si>
    <t>Art. B8.72</t>
  </si>
  <si>
    <t>Art. B2.3</t>
  </si>
  <si>
    <t>Art. B4.24</t>
  </si>
  <si>
    <t>Arts. B3.31-B3.32</t>
  </si>
  <si>
    <t>TEMPLATE OIL/GAS/MINING/LAND -  RESOURCECONTRACTS.ORG and OPENLANDCONTRACTS.ORG</t>
  </si>
  <si>
    <t>Details - value</t>
  </si>
  <si>
    <t xml:space="preserve">Location, longitude and latitude / Onshore vs Offshore (shallow vs. deep) </t>
  </si>
  <si>
    <t>Type of resources (mineral type, crude oil, gas, timber, etc.) OR specific crops planned (ex: food crops, oil palm, etc.)</t>
  </si>
  <si>
    <t>Programme de sous-traitance avec les petits planteurs (détails, des terres supplémentaires fournis, etc)</t>
  </si>
  <si>
    <t>Production Share - "Cost Oil" features (basis of calculation, limits on cost recovery - e.g. as % of revenue or production, capex uplift, etc.)</t>
  </si>
  <si>
    <t>Production Share - "Profit Oil" features (triggers for variations in split - IRR, "r" factor, production, etc.)</t>
  </si>
  <si>
    <t>Contrat de Service - Frais du détenteur du titre défrayés (base de calcul)</t>
  </si>
  <si>
    <t xml:space="preserve">Fixed fee for grant and renewal of license </t>
  </si>
  <si>
    <t>Pages missing from copy</t>
  </si>
  <si>
    <t>Art. B8.6(a)(ii)</t>
  </si>
  <si>
    <t>Art. B3.1</t>
  </si>
  <si>
    <t>2 (top)</t>
  </si>
  <si>
    <t>13 (middle)</t>
  </si>
  <si>
    <t>12 (middle)</t>
  </si>
  <si>
    <t>15 (top)</t>
  </si>
  <si>
    <t>All infrastructure shall revert to the Government upon termination of the contract and shall be left in safe running order</t>
  </si>
  <si>
    <t>Art. B1.0(iii)</t>
  </si>
  <si>
    <t>Cover page, cover page 2</t>
  </si>
  <si>
    <t>1 (bottom), 2 (top)</t>
  </si>
  <si>
    <t>Cover page, Art. B2.1</t>
  </si>
  <si>
    <t>Benson &amp; Randall Streets, Monrovia, Liberia</t>
  </si>
  <si>
    <t>1 (middle), 11 (top)</t>
  </si>
  <si>
    <t>Region/Sector: # 2, County: Gbarpolu , Forest Name: TSC A-7</t>
  </si>
  <si>
    <t>5 (top)</t>
  </si>
  <si>
    <r>
      <t>Gbarpolu County: Concession area lies within Latitudes 7</t>
    </r>
    <r>
      <rPr>
        <sz val="12"/>
        <color theme="1"/>
        <rFont val="Symbol"/>
        <family val="1"/>
        <charset val="2"/>
      </rPr>
      <t>°8</t>
    </r>
    <r>
      <rPr>
        <sz val="12"/>
        <color theme="1"/>
        <rFont val="Calibri"/>
        <family val="2"/>
        <scheme val="minor"/>
      </rPr>
      <t>'24'' - 7</t>
    </r>
    <r>
      <rPr>
        <sz val="12"/>
        <color theme="1"/>
        <rFont val="Symbol"/>
        <family val="1"/>
        <charset val="2"/>
      </rPr>
      <t>°</t>
    </r>
    <r>
      <rPr>
        <sz val="12"/>
        <color theme="1"/>
        <rFont val="Calibri"/>
        <family val="2"/>
        <scheme val="minor"/>
      </rPr>
      <t>12'36'' North of the equator and Longitudes 10</t>
    </r>
    <r>
      <rPr>
        <sz val="12"/>
        <color theme="1"/>
        <rFont val="Symbol"/>
        <family val="1"/>
        <charset val="2"/>
      </rPr>
      <t>°11</t>
    </r>
    <r>
      <rPr>
        <sz val="12"/>
        <color theme="1"/>
        <rFont val="Calibri"/>
        <family val="2"/>
        <scheme val="minor"/>
      </rPr>
      <t>'24'' - 10</t>
    </r>
    <r>
      <rPr>
        <sz val="12"/>
        <color theme="1"/>
        <rFont val="Symbol"/>
        <family val="1"/>
        <charset val="2"/>
      </rPr>
      <t>°18</t>
    </r>
    <r>
      <rPr>
        <sz val="12"/>
        <color theme="1"/>
        <rFont val="Calibri"/>
        <family val="2"/>
        <scheme val="minor"/>
      </rPr>
      <t>'36'' West of the Greenwich meridian</t>
    </r>
  </si>
  <si>
    <t>36 (middle)</t>
  </si>
  <si>
    <t>Alfred D. Bargor, Bargor &amp; Bargor Enterprise, Inc.</t>
  </si>
  <si>
    <t>Bargor &amp; Bargor Enterprise, Inc.</t>
  </si>
  <si>
    <t>11 (bottom)</t>
  </si>
  <si>
    <t>11 (top)</t>
  </si>
  <si>
    <t>Bargor &amp; Bargor Enterprise shall follow internationally recognized, modern safety precautions in all activities and shall comply with written safety instructions supplied by the Government. Bargor &amp; Bargor Enterprise shall follow internationally recognized, modern measures for the protection of general health and safety of its employees and shall comply with written public health instructions given in writing by the Government.</t>
  </si>
  <si>
    <t>24 (middle)</t>
  </si>
  <si>
    <t>13 (bottom)</t>
  </si>
  <si>
    <t>24 (top)</t>
  </si>
  <si>
    <t>11 (middle)</t>
  </si>
  <si>
    <t>6 (bottom), 26 (bottom)</t>
  </si>
  <si>
    <t>Art. B4.3</t>
  </si>
  <si>
    <t>31 (bottom)</t>
  </si>
  <si>
    <t>17 (middle)</t>
  </si>
  <si>
    <t>15 (bottom), 16 (top), 22 (bottom)</t>
  </si>
  <si>
    <t>16 (bottom)</t>
  </si>
  <si>
    <t>17 (top)</t>
  </si>
  <si>
    <t xml:space="preserve">This provision is partly illegible </t>
  </si>
  <si>
    <t>8 (middle)</t>
  </si>
  <si>
    <t>12 (top)</t>
  </si>
  <si>
    <t>32 (middle)</t>
  </si>
  <si>
    <t>31 (top)</t>
  </si>
  <si>
    <t>Arts. B3.4, B6.3, B6.32, B6.34, B6.35, B6.36, B6.37, B6.38</t>
  </si>
  <si>
    <t>Arts. B4.21, B4.22(a), (b) and (c), B6.18, B6.5</t>
  </si>
  <si>
    <t xml:space="preserve">Art. B4.23(a) and (c) </t>
  </si>
  <si>
    <t>Arts. B4.12, B4.14</t>
  </si>
  <si>
    <t>Bargor &amp; Bargor Enterprise shall use public land outside the contract area only with written approval from the Forestry Development Authority. The Forestry Development Authority shall not unreasonably deny the right to use such land. Bargor &amp; Bargor Enterprise may use private lands with the permission of the land owner. If Bargor &amp; Bargor Enterprise does not obtain the permission of the land owner, use and compensation of private lands is governed by Chapter 11 of the Forestry Reform Law of 2006 and the Forestry Development Authority Regulation 110-07. With or without permission of the land owner, Bargor &amp; Bargor Enterprise shall not seek a use, lease, right-of-way, or easement that substantially interferes with the operations of another previously issued forest management contract or timber sale contract. Bargor &amp; Bargor Enterprise also shall not interfere with any good faith exercise of third-party rights to timber or forest products, including customary rights, without permission of the third party. If Bargor &amp; Bargor Enterprise uses private lands without permission of the land owner, the use must be necessary for Bargor &amp; Bargor Enterprise’s activities and operations under the contract.</t>
  </si>
  <si>
    <t>Arts. B1.0, B8.3</t>
  </si>
  <si>
    <t>9 (top), 30 (top)</t>
  </si>
  <si>
    <t>The parties understand that section 18.15 of the National Forestry Reform Law guarantees to the public free access to all documents and information related to this contract and its administration, subject only to limited exceptions</t>
  </si>
  <si>
    <t>Art. B5.55</t>
  </si>
  <si>
    <t>21 (top)</t>
  </si>
  <si>
    <t>Liberia, Bargor &amp; Bargor Enterprise, Contract to Manage Timber Sale Area, Timber, TSC A-7, 27 June 2008</t>
  </si>
  <si>
    <t>Bargor &amp; Bargor Enterprise shall conduct its operations in a manner that promotes sustainable development of forest resources and environmental protection. It shall conduct all operations and activities using only environmentally sound forest harvesting practices that conform to the Forest Management Guidelines, the Liberia Code of Forest Harvesting Practices, and internationally accepted, scientific principles and practices applicable to forest operations and timber processing. Bargor &amp; Bargor Enterprise shall conduct all operations and activities so as to avoid waste and loss of natural resources and to protect natural resources from damage. It shall conduct all operations and activities so as to prevent pollution and contamination of the environment. Bargor &amp; Bargor Enterprise shall harvest trees in a manner that avoids unnecessary damage and waste, and unnecessary damage to young growth and other trees. It shall identify in the annual operational plan areas requiring special measures for the protection of plants and animals, and protect these areas from damage or removal during operations. Bargor &amp; Bargor Enterprise shall comply with all requirements for watercourse protection in the Liberia Code of Forest Harvesting Practices, and conduct all operations so as to reasonably minimize soil erosion, and prevent pollution of air, soil, and water.</t>
  </si>
  <si>
    <t>Bargor &amp; Bargor Enterprise shall identify areas requiring special measures for the protection of cultural resources in the annual operational plan. It shall describe these special measures and protect these areas from damage or removal during its operations.</t>
  </si>
  <si>
    <t xml:space="preserve">Bargor &amp; Bargor Enterprise shall give preference to competent and qualified ECOWAS (Economic Community of West African States) citizens in the selection of employees to conduct its contractual operations, and is not to import unskilled labor from outside the ECOWAS nations </t>
  </si>
  <si>
    <t>Bargor &amp; Bargor Enterprise shall use all reasonable means to prevent encroachment by unauthorized persons in to the contract area, but it shall not employ or in any way use armed security guards for any purpose</t>
  </si>
  <si>
    <t>The land rental bid is US$ 1.91 per hectare per year. The land rental bid payment is calculated by applying the land rental bid to all (and only) land that is used, either inside or outside of the concession area. Bargor &amp; Bargor Enterprise shall first pay it prior to felling any trees and, after that, every year on the anniversary of the contract signing date. Bargor &amp; Bargor Enterprise shall pay log stumpage, annual contract administration, area, coupe inspection, and forest product fees to the Government under Regulation 107-07, on Certain Forest Fees.</t>
  </si>
  <si>
    <t>Bargor &amp; Bargor Enterprise shall complete the Social Agreements required under Regulation 105-07. The Social Agreements, once attested to by the Forestry Development Authority, then become part of the contract and, if breached, are treated like a breach of the contract.</t>
  </si>
  <si>
    <t xml:space="preserve">The contract may be interrupted by the Forestry Development Authority to ensure consistency with the Environmental Impact Assessment and related documents </t>
  </si>
  <si>
    <t>Subject to the written approval of the Government, the Social Agreement (as called for under Regulation 105-07) and such conditions as the Government or Social Agreement may impose, Bargor &amp; Bargor Enterprise may use free of charge any water found within the contract area and in the public domain within 5 kilometers of the contract area. However, Bargor &amp; Bargor Enterprise may only use such water provided that it shall not deprive any lands, tribes, villages, towns, houses, or watering places for animals of a reasonable supply of water, and does not interfere with the rights of water enjoyed by persons under the Land and Native Right Ordinance. Bargor &amp; Bargor Enterprise's use of water must in no way result in environmental damage or creates other hazards.</t>
  </si>
  <si>
    <t>14 (top), 23 (bottom)</t>
  </si>
  <si>
    <t>Bargor &amp; Bargor Enterprise is granted rights concerning construction of infrastructure by Section 18.8 of the National Forestry Reform Law of 2006, and shall comply with all laws governing construction, maintenance, and the use of improvements. Certain improvements require authorization from the Government. Bargor &amp; Bargor Enterprise shall ensure that all infrastructure and works installed in relation to the contract comply with the Liberia Code of Forest Harvesting Practices.</t>
  </si>
  <si>
    <t>14 (top)</t>
  </si>
  <si>
    <t>Failure by Bargor &amp; Bargor Enterprise to submit a claim (a written demand seeking the payment of money, adjustment or interpretation of contract terms, or other relief, under or relating to this contract) for resolution within 60 days of a disputed action by the Forestry Development Authority shall relinquish the Forestry Development Authority of any and all obligations related to the dispute. Claims arising under the contract shall be decided by the contracting officer (an officer of the Forestry Development Authority who has been delegated the power and duty to administer the contract). The decision of the contracting officer shall be final and conclusive if within 45 days from receipt, Bargor &amp; Bargor Enterprise fails to appeal the decision to an appropriate Liberian court.</t>
  </si>
  <si>
    <t>Bargor &amp; Bargor Enterprise shall not assign or transfer this contract or any interests, rights, privileges or obligations under the contract without prior written approval from the Forestry Development Authority. The Forestry Development Authority shall not to consent to any transfer, except in compliance with Regulation 104-07, Section 71.</t>
  </si>
  <si>
    <t>The contract may be terminated if Bargor &amp; Bargor Enterprise commits a number of breaches, including: (b) felling trees not covered by an Annual Harvesting Certificate, (d) abandoning operations for a period of 1 year or more, (e) significantly failing to meet the requirements of an approved annual operational plan, (f) assigning to a third-party rights held under the contract without the consent of the Forestry Development Authority, (g) going into bankruptcy or liquidation, (i) failing to meet any monetary obligations, including payments of bids or fees to the Government or payments to local communities, in a timely fashion, (k) engaging in a pattern of activity that demonstrates flagrant disregard for the terms of the contract, (m) failing to comply with any provisions of law or regulations, (o) intentionally removing any timber, forest products (flora, fauna, and micro-organisms with social or economic value) or natural resources not provided for in the contract without written approval from the Government, (q) being convicted for violation of criminal statutes or civil standards, or other regulations for environmental protection, and (r) if it or its senior officers are convicted for violation of criminal statutes and civil standards, or any other offense indicating a lack of business integrity or honesty that seriously and directly affects the responsibility of Bargor &amp; Bargor Enterprise, including (ii) payment of a bribe, and (v) human rights violations</t>
  </si>
  <si>
    <t>Force majeure means any unforeseen cause beyond the reasonable control of the parties that prevents the parties from performing contractual duties for 15 consecutive days or more. Force majeure includes, among other things, acts of God and other natural disasters, war, riot, epidemic, expropriation of facilities or goods, and unforeseen restrictions on trade. Failure by either party to fulfill terms and conditions of the contract as a result of force majeure is not a breach of the contract. Any party who fails to perform obligations as a result of force majeure shall take all reasonable steps to make good, and resume compliance with, those obligations.</t>
  </si>
  <si>
    <t>Bargor &amp; Bargor Enterprise shall allow the Government and public to use, free of charge, any roads constructed, provided the use does not interfere with operations. Bargor &amp; Bargor Enterprise shall allow the Government and public to use communication lines that it develops, subject to fair compensation and provided the use does not interfere with operations.</t>
  </si>
  <si>
    <t>Bargor &amp; Bargor Enterprise shall submit to the Forestry Development Authority an annual operational plan describing the season's major activities, including logging, environmental protection measures, and other actions at least 60 days prior to the beginning of each annual operating season.</t>
  </si>
  <si>
    <t>Bargor &amp; Bargor Enterprise shall comply with all legal requirements concerning chain of custody for timber in Liberia. It shall neither transport nor process any log or timber product (__) outside the chain of custody system.</t>
  </si>
  <si>
    <t>Art. 6.7</t>
  </si>
  <si>
    <t>26 (middle)</t>
  </si>
  <si>
    <t>Arts. B5.3, B5.51 - B5.53, B8.8</t>
  </si>
  <si>
    <t>Bargor &amp; Bargor Enterprise consents to the Government or a designated representative conducting reasonable inspections of the contract area and premises. Operations under the contract are subject to regular and routine monitoring. Bargor &amp; Bargor Enterprise shall keep records to demonstrate compliance with the contract during the duration of the contract and for 5 years after the contract terminates. It shall provide a written report within 90 days after each annual operational plan, and keep the contracting officer (an officer of the Forestry Development Authority who has been delegated the power and duty to administer the contract) informed as to its operations and other contractual activities. The Government reserves the right to allow unscheduled third party and civil society monitoring of contract operations. Such monitoring organizations shall have access to all financial records, management plans and annual operational plans to facilitate monitoring activities, but the Government shall not extend access to such organizations until they agree in writing not to publish any proprietary information without Bargor &amp; Bargor Enterprise's written consent.</t>
  </si>
  <si>
    <t>20 (top), 33 (middle)</t>
  </si>
  <si>
    <t>If any statute or regulation referred to in the contract is amended, the contract shall be taken to refer to the newly amended statute or regulation. If the statute or regulation is repealed, the contract shall be taken to refer to the material that replaces the repealed act or regulation, as determined by the contracting officer (an officer of the Forestry Development Authority who has been delegated the power and duty to administer the contract).</t>
  </si>
  <si>
    <t>The rights of private land owners and the public are governed by Chapters 11 and 12 of the National Forestry Reform Law of 2006, and Bargor &amp; Bargor Enterprise agrees to respect those rights. In addition, the Government reserves the right to, among other things, access, or to allow others access, to the contract area for the purpose of exploring for or exploiting minerals or other substances or any reasonable investigation, provided Bargor &amp; Bargor Enterprise's operations and activities shall not be unduly interfered with or its rights prejudiced. If its property is damaged as a result of such exploration, investigation or exploitation, the Government agrees to provide fair compensation for such damage. The Government also reserves the right to, among other things, take from the contract area timber and forest products (flora, fauna, and micro-organisms with social or economic value) that are required for public purposes, or allow others to access the contract area for traditional and customary community uses of timber and forest products, provided Bargor &amp; Bargor Enterprise's operations and activities shall not be unduly interfered with or its rights prejudiced.</t>
  </si>
  <si>
    <t>Timber sale contract</t>
  </si>
  <si>
    <t>Timber (Wood)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</si>
</sst>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25" x14ac:knownFonts="1">
    <font>
      <sz val="12"/>
      <color theme="1"/>
      <name val="Calibri"/>
      <family val="2"/>
      <scheme val="minor"/>
    </font>
    <font>
      <sz val="12"/>
      <color theme="1"/>
      <name val="Calibri"/>
      <family val="2"/>
      <charset val="134"/>
      <scheme val="minor"/>
    </font>
    <font>
      <sz val="12"/>
      <color theme="1"/>
      <name val="Calibri"/>
      <family val="2"/>
      <scheme val="minor"/>
    </font>
    <font>
      <b/>
      <sz val="11"/>
      <color theme="1"/>
      <name val="Calibri"/>
      <family val="2"/>
      <scheme val="minor"/>
    </font>
    <font>
      <sz val="12"/>
      <color rgb="FF000000"/>
      <name val="Calibri"/>
      <family val="2"/>
      <scheme val="minor"/>
    </font>
    <font>
      <sz val="12"/>
      <color theme="0" tint="-0.34998626667073579"/>
      <name val="Calibri"/>
      <family val="2"/>
      <scheme val="minor"/>
    </font>
    <font>
      <sz val="12"/>
      <name val="Calibri"/>
      <family val="2"/>
    </font>
    <font>
      <sz val="12"/>
      <name val="Calibri"/>
      <family val="2"/>
      <scheme val="minor"/>
    </font>
    <font>
      <u/>
      <sz val="12"/>
      <color theme="10"/>
      <name val="Calibri"/>
      <family val="2"/>
      <scheme val="minor"/>
    </font>
    <font>
      <u/>
      <sz val="12"/>
      <color theme="11"/>
      <name val="Calibri"/>
      <family val="2"/>
      <scheme val="minor"/>
    </font>
    <font>
      <sz val="12"/>
      <color theme="0" tint="-0.249977111117893"/>
      <name val="Calibri"/>
      <family val="2"/>
      <scheme val="minor"/>
    </font>
    <font>
      <b/>
      <sz val="22"/>
      <color theme="1"/>
      <name val="Calibri"/>
      <family val="2"/>
      <scheme val="minor"/>
    </font>
    <font>
      <sz val="20"/>
      <color theme="1"/>
      <name val="Calibri"/>
      <family val="2"/>
      <scheme val="minor"/>
    </font>
    <font>
      <b/>
      <sz val="12"/>
      <color rgb="FFFF0000"/>
      <name val="Calibri"/>
      <family val="2"/>
      <scheme val="minor"/>
    </font>
    <font>
      <sz val="12"/>
      <color theme="0" tint="-0.34998626667073579"/>
      <name val="Calibri"/>
      <family val="2"/>
      <scheme val="minor"/>
    </font>
    <font>
      <sz val="8"/>
      <name val="Calibri"/>
      <family val="2"/>
      <scheme val="minor"/>
    </font>
    <font>
      <sz val="12"/>
      <color rgb="FFFF0000"/>
      <name val="Calibri"/>
      <family val="2"/>
      <charset val="134"/>
      <scheme val="minor"/>
    </font>
    <font>
      <sz val="12"/>
      <color rgb="FF0000FF"/>
      <name val="Calibri"/>
      <family val="2"/>
      <scheme val="minor"/>
    </font>
    <font>
      <sz val="12"/>
      <name val="Calibri (Body)"/>
    </font>
    <font>
      <b/>
      <sz val="11"/>
      <name val="Calibri (Body)"/>
    </font>
    <font>
      <b/>
      <sz val="12"/>
      <color theme="1"/>
      <name val="Calibri"/>
      <family val="2"/>
      <scheme val="minor"/>
    </font>
    <font>
      <sz val="12"/>
      <color theme="1"/>
      <name val="Symbol"/>
      <family val="1"/>
      <charset val="2"/>
    </font>
    <font>
      <sz val="12"/>
      <color rgb="FFFF0000"/>
      <name val="Calibri"/>
      <family val="2"/>
      <scheme val="minor"/>
    </font>
    <font>
      <sz val="12"/>
      <color rgb="FFFFC000"/>
      <name val="Calibri"/>
      <family val="2"/>
      <scheme val="minor"/>
    </font>
    <font>
      <b/>
      <sz val="14"/>
      <color theme="1"/>
      <name val="Calibri"/>
      <scheme val="minor"/>
    </font>
  </fonts>
  <fills count="14">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rgb="FFFFC200"/>
        <bgColor indexed="64"/>
      </patternFill>
    </fill>
    <fill>
      <patternFill patternType="solid">
        <fgColor rgb="FFFFC200"/>
        <bgColor rgb="FF000000"/>
      </patternFill>
    </fill>
    <fill>
      <patternFill patternType="solid">
        <fgColor rgb="FFFFC000"/>
        <bgColor indexed="64"/>
      </patternFill>
    </fill>
    <fill>
      <patternFill patternType="solid">
        <fgColor theme="6" tint="0.59999389629810485"/>
        <bgColor indexed="64"/>
      </patternFill>
    </fill>
    <fill>
      <patternFill patternType="solid">
        <fgColor rgb="FFEAB200"/>
        <bgColor indexed="64"/>
      </patternFill>
    </fill>
    <fill>
      <patternFill patternType="solid">
        <fgColor theme="0"/>
        <bgColor rgb="FF000000"/>
      </patternFill>
    </fill>
    <fill>
      <patternFill patternType="solid">
        <fgColor theme="7" tint="0.59999389629810485"/>
        <bgColor indexed="64"/>
      </patternFill>
    </fill>
    <fill>
      <patternFill patternType="solid">
        <fgColor rgb="FFFFB405"/>
        <bgColor rgb="FF000000"/>
      </patternFill>
    </fill>
    <fill>
      <patternFill patternType="solid">
        <fgColor rgb="FFFFB405"/>
        <bgColor indexed="64"/>
      </patternFill>
    </fill>
    <fill>
      <patternFill patternType="solid">
        <fgColor rgb="FFFEB434"/>
        <bgColor indexed="64"/>
      </patternFill>
    </fill>
  </fills>
  <borders count="13">
    <border>
      <left/>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thin">
        <color auto="1"/>
      </bottom>
      <diagonal/>
    </border>
    <border>
      <left style="thin">
        <color auto="1"/>
      </left>
      <right style="thin">
        <color theme="1"/>
      </right>
      <top style="thin">
        <color auto="1"/>
      </top>
      <bottom style="thin">
        <color auto="1"/>
      </bottom>
      <diagonal/>
    </border>
  </borders>
  <cellStyleXfs count="277">
    <xf numFmtId="0" fontId="0" fillId="0" borderId="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cellStyleXfs>
  <cellXfs count="231">
    <xf numFmtId="0" fontId="0" fillId="0" borderId="0" xfId="0"/>
    <xf numFmtId="0" fontId="0" fillId="0" borderId="0" xfId="0" applyAlignment="1">
      <alignment wrapText="1"/>
    </xf>
    <xf numFmtId="49" fontId="2" fillId="0" borderId="0" xfId="0" applyNumberFormat="1" applyFont="1"/>
    <xf numFmtId="49" fontId="2" fillId="0" borderId="0" xfId="0" applyNumberFormat="1" applyFont="1" applyAlignment="1">
      <alignment wrapText="1"/>
    </xf>
    <xf numFmtId="0" fontId="0" fillId="2" borderId="3" xfId="0" applyFill="1" applyBorder="1"/>
    <xf numFmtId="49" fontId="2" fillId="0" borderId="4" xfId="0" applyNumberFormat="1" applyFont="1" applyBorder="1" applyAlignment="1">
      <alignment wrapText="1"/>
    </xf>
    <xf numFmtId="0" fontId="4" fillId="3" borderId="5" xfId="0" applyFont="1" applyFill="1" applyBorder="1" applyAlignment="1">
      <alignment horizontal="left" wrapText="1"/>
    </xf>
    <xf numFmtId="0" fontId="4" fillId="3" borderId="6" xfId="0" applyFont="1" applyFill="1" applyBorder="1" applyAlignment="1">
      <alignment horizontal="left" wrapText="1"/>
    </xf>
    <xf numFmtId="0" fontId="4" fillId="3" borderId="7" xfId="0" applyFont="1" applyFill="1" applyBorder="1" applyAlignment="1">
      <alignment horizontal="left" wrapText="1"/>
    </xf>
    <xf numFmtId="0" fontId="0" fillId="2" borderId="8" xfId="0" applyFill="1" applyBorder="1" applyAlignment="1"/>
    <xf numFmtId="0" fontId="5" fillId="2" borderId="9" xfId="0" applyFont="1" applyFill="1" applyBorder="1" applyAlignment="1">
      <alignment wrapText="1"/>
    </xf>
    <xf numFmtId="0" fontId="5" fillId="2" borderId="5" xfId="0" applyFont="1" applyFill="1" applyBorder="1"/>
    <xf numFmtId="0" fontId="5" fillId="2" borderId="7" xfId="0" applyFont="1" applyFill="1" applyBorder="1"/>
    <xf numFmtId="0" fontId="5" fillId="2" borderId="8" xfId="0" applyFont="1" applyFill="1" applyBorder="1" applyAlignment="1">
      <alignment wrapText="1"/>
    </xf>
    <xf numFmtId="0" fontId="2" fillId="2" borderId="0" xfId="0" applyFont="1" applyFill="1" applyAlignment="1">
      <alignment wrapText="1"/>
    </xf>
    <xf numFmtId="0" fontId="2" fillId="2" borderId="0" xfId="0" applyFont="1" applyFill="1"/>
    <xf numFmtId="0" fontId="2" fillId="2" borderId="3" xfId="0" applyFont="1" applyFill="1" applyBorder="1"/>
    <xf numFmtId="0" fontId="2" fillId="2" borderId="4" xfId="0" applyFont="1" applyFill="1" applyBorder="1" applyAlignment="1">
      <alignment wrapText="1"/>
    </xf>
    <xf numFmtId="0" fontId="2" fillId="3" borderId="6" xfId="0" applyFont="1" applyFill="1" applyBorder="1" applyAlignment="1">
      <alignment horizontal="left" wrapText="1"/>
    </xf>
    <xf numFmtId="0" fontId="2" fillId="3" borderId="7" xfId="0" applyFont="1" applyFill="1" applyBorder="1" applyAlignment="1">
      <alignment horizontal="left" wrapText="1"/>
    </xf>
    <xf numFmtId="0" fontId="2" fillId="3" borderId="10" xfId="0" applyFont="1" applyFill="1" applyBorder="1" applyAlignment="1">
      <alignment horizontal="left" wrapText="1"/>
    </xf>
    <xf numFmtId="0" fontId="2" fillId="3" borderId="5" xfId="0" applyFont="1" applyFill="1" applyBorder="1" applyAlignment="1">
      <alignment horizontal="left" wrapText="1"/>
    </xf>
    <xf numFmtId="0" fontId="5" fillId="2" borderId="5" xfId="0" applyFont="1" applyFill="1" applyBorder="1" applyAlignment="1">
      <alignment wrapText="1"/>
    </xf>
    <xf numFmtId="0" fontId="5" fillId="2" borderId="7" xfId="0" applyFont="1" applyFill="1" applyBorder="1" applyAlignment="1">
      <alignment wrapText="1"/>
    </xf>
    <xf numFmtId="0" fontId="2" fillId="2" borderId="9" xfId="0" applyFont="1" applyFill="1" applyBorder="1" applyAlignment="1"/>
    <xf numFmtId="0" fontId="2" fillId="2" borderId="8" xfId="0" applyFont="1" applyFill="1" applyBorder="1" applyAlignment="1"/>
    <xf numFmtId="0" fontId="2" fillId="3" borderId="9" xfId="0" applyFont="1" applyFill="1" applyBorder="1" applyAlignment="1">
      <alignment horizontal="left" wrapText="1"/>
    </xf>
    <xf numFmtId="0" fontId="5" fillId="2" borderId="9" xfId="0" applyFont="1" applyFill="1" applyBorder="1" applyAlignment="1">
      <alignment horizontal="left" wrapText="1"/>
    </xf>
    <xf numFmtId="0" fontId="5" fillId="2" borderId="9" xfId="0" applyFont="1" applyFill="1" applyBorder="1" applyAlignment="1">
      <alignment horizontal="left"/>
    </xf>
    <xf numFmtId="0" fontId="5" fillId="2" borderId="5" xfId="0" applyFont="1" applyFill="1" applyBorder="1" applyAlignment="1">
      <alignment horizontal="left"/>
    </xf>
    <xf numFmtId="0" fontId="5" fillId="2" borderId="7" xfId="0" applyFont="1" applyFill="1" applyBorder="1" applyAlignment="1">
      <alignment horizontal="left"/>
    </xf>
    <xf numFmtId="0" fontId="5" fillId="2" borderId="8" xfId="0" applyFont="1" applyFill="1" applyBorder="1" applyAlignment="1">
      <alignment horizontal="left" wrapText="1"/>
    </xf>
    <xf numFmtId="0" fontId="5" fillId="2" borderId="8" xfId="0" applyFont="1" applyFill="1" applyBorder="1"/>
    <xf numFmtId="0" fontId="5" fillId="2" borderId="0" xfId="0" applyFont="1" applyFill="1" applyAlignment="1">
      <alignment wrapText="1"/>
    </xf>
    <xf numFmtId="0" fontId="4" fillId="2" borderId="9" xfId="0" applyFont="1" applyFill="1" applyBorder="1" applyAlignment="1">
      <alignment wrapText="1"/>
    </xf>
    <xf numFmtId="0" fontId="2" fillId="2" borderId="8" xfId="0" applyFont="1" applyFill="1" applyBorder="1"/>
    <xf numFmtId="0" fontId="5" fillId="2" borderId="9" xfId="0" applyFont="1" applyFill="1" applyBorder="1" applyAlignment="1"/>
    <xf numFmtId="0" fontId="2" fillId="2" borderId="5" xfId="0" applyFont="1" applyFill="1" applyBorder="1" applyAlignment="1">
      <alignment horizontal="left" wrapText="1"/>
    </xf>
    <xf numFmtId="0" fontId="2" fillId="2" borderId="9" xfId="0" applyFont="1" applyFill="1" applyBorder="1" applyAlignment="1">
      <alignment wrapText="1"/>
    </xf>
    <xf numFmtId="0" fontId="5" fillId="2" borderId="0" xfId="0" applyFont="1" applyFill="1" applyAlignment="1"/>
    <xf numFmtId="0" fontId="4" fillId="2" borderId="5" xfId="0" applyFont="1" applyFill="1" applyBorder="1" applyAlignment="1">
      <alignment horizontal="left" wrapText="1"/>
    </xf>
    <xf numFmtId="0" fontId="5" fillId="2" borderId="0" xfId="0" applyFont="1" applyFill="1"/>
    <xf numFmtId="0" fontId="5" fillId="2" borderId="3" xfId="0" applyFont="1" applyFill="1" applyBorder="1"/>
    <xf numFmtId="0" fontId="5" fillId="2" borderId="4" xfId="0" applyFont="1" applyFill="1" applyBorder="1" applyAlignment="1">
      <alignment wrapText="1"/>
    </xf>
    <xf numFmtId="0" fontId="7" fillId="2" borderId="0" xfId="0" applyFont="1" applyFill="1" applyAlignment="1"/>
    <xf numFmtId="0" fontId="2" fillId="3" borderId="11" xfId="0" applyFont="1" applyFill="1" applyBorder="1" applyAlignment="1">
      <alignment horizontal="left" wrapText="1"/>
    </xf>
    <xf numFmtId="0" fontId="2" fillId="3" borderId="8" xfId="0" applyFont="1" applyFill="1" applyBorder="1" applyAlignment="1">
      <alignment horizontal="left" wrapText="1"/>
    </xf>
    <xf numFmtId="0" fontId="0" fillId="0" borderId="3" xfId="0" applyBorder="1"/>
    <xf numFmtId="0" fontId="0" fillId="0" borderId="4" xfId="0" applyBorder="1"/>
    <xf numFmtId="0" fontId="3" fillId="0" borderId="0" xfId="0" applyFont="1"/>
    <xf numFmtId="0" fontId="0" fillId="0" borderId="0" xfId="0" applyFont="1"/>
    <xf numFmtId="0" fontId="5" fillId="2" borderId="4" xfId="0" applyNumberFormat="1" applyFont="1" applyFill="1" applyBorder="1" applyAlignment="1">
      <alignment wrapText="1"/>
    </xf>
    <xf numFmtId="0" fontId="5" fillId="2" borderId="3" xfId="0" applyFont="1" applyFill="1" applyBorder="1" applyAlignment="1">
      <alignment horizontal="left"/>
    </xf>
    <xf numFmtId="0" fontId="5" fillId="2" borderId="4" xfId="0" applyNumberFormat="1" applyFont="1" applyFill="1" applyBorder="1" applyAlignment="1">
      <alignment horizontal="left" wrapText="1"/>
    </xf>
    <xf numFmtId="0" fontId="5" fillId="2" borderId="0" xfId="0" applyFont="1" applyFill="1" applyBorder="1" applyAlignment="1">
      <alignment horizontal="left"/>
    </xf>
    <xf numFmtId="0" fontId="5" fillId="2" borderId="5" xfId="0" applyFont="1" applyFill="1" applyBorder="1" applyAlignment="1">
      <alignment horizontal="left" wrapText="1"/>
    </xf>
    <xf numFmtId="0" fontId="5" fillId="2" borderId="0" xfId="0" applyFont="1" applyFill="1" applyBorder="1" applyAlignment="1">
      <alignment wrapText="1"/>
    </xf>
    <xf numFmtId="0" fontId="10" fillId="0" borderId="9" xfId="0" applyFont="1" applyFill="1" applyBorder="1" applyAlignment="1">
      <alignment wrapText="1"/>
    </xf>
    <xf numFmtId="0" fontId="10" fillId="0" borderId="5" xfId="0" applyFont="1" applyFill="1" applyBorder="1" applyAlignment="1">
      <alignment wrapText="1"/>
    </xf>
    <xf numFmtId="0" fontId="10" fillId="0" borderId="3" xfId="0" applyFont="1" applyFill="1" applyBorder="1" applyAlignment="1">
      <alignment wrapText="1"/>
    </xf>
    <xf numFmtId="0" fontId="10" fillId="0" borderId="4" xfId="0" applyNumberFormat="1" applyFont="1" applyFill="1" applyBorder="1" applyAlignment="1">
      <alignment wrapText="1"/>
    </xf>
    <xf numFmtId="0" fontId="5" fillId="0" borderId="9" xfId="0" applyFont="1" applyFill="1" applyBorder="1" applyAlignment="1">
      <alignment wrapText="1"/>
    </xf>
    <xf numFmtId="0" fontId="0" fillId="3" borderId="5" xfId="0" applyFont="1" applyFill="1" applyBorder="1" applyAlignment="1">
      <alignment horizontal="left" wrapText="1"/>
    </xf>
    <xf numFmtId="0" fontId="0" fillId="3" borderId="6" xfId="0" applyFont="1" applyFill="1" applyBorder="1" applyAlignment="1">
      <alignment horizontal="left" wrapText="1"/>
    </xf>
    <xf numFmtId="0" fontId="5" fillId="2" borderId="6" xfId="0" applyFont="1" applyFill="1" applyBorder="1" applyAlignment="1">
      <alignment horizontal="left" wrapText="1"/>
    </xf>
    <xf numFmtId="0" fontId="5" fillId="2" borderId="6" xfId="0" applyFont="1" applyFill="1" applyBorder="1" applyAlignment="1">
      <alignment wrapText="1"/>
    </xf>
    <xf numFmtId="0" fontId="5" fillId="2" borderId="3" xfId="0" applyFont="1" applyFill="1" applyBorder="1" applyAlignment="1">
      <alignment horizontal="left" wrapText="1"/>
    </xf>
    <xf numFmtId="0" fontId="2" fillId="4" borderId="9" xfId="0" applyFont="1" applyFill="1" applyBorder="1" applyAlignment="1">
      <alignment wrapText="1"/>
    </xf>
    <xf numFmtId="0" fontId="2" fillId="4" borderId="5" xfId="0" applyFont="1" applyFill="1" applyBorder="1"/>
    <xf numFmtId="0" fontId="2" fillId="4" borderId="7" xfId="0" applyFont="1" applyFill="1" applyBorder="1"/>
    <xf numFmtId="0" fontId="2" fillId="4" borderId="8" xfId="0" applyFont="1" applyFill="1" applyBorder="1" applyAlignment="1">
      <alignment wrapText="1"/>
    </xf>
    <xf numFmtId="0" fontId="0" fillId="4" borderId="9" xfId="0" applyFont="1" applyFill="1" applyBorder="1" applyAlignment="1">
      <alignment wrapText="1"/>
    </xf>
    <xf numFmtId="0" fontId="6" fillId="4" borderId="9" xfId="0" applyFont="1" applyFill="1" applyBorder="1" applyAlignment="1">
      <alignment wrapText="1"/>
    </xf>
    <xf numFmtId="0" fontId="2" fillId="4" borderId="5" xfId="0" applyFont="1" applyFill="1" applyBorder="1" applyAlignment="1">
      <alignment wrapText="1"/>
    </xf>
    <xf numFmtId="0" fontId="2" fillId="4" borderId="7" xfId="0" applyFont="1" applyFill="1" applyBorder="1" applyAlignment="1">
      <alignment wrapText="1"/>
    </xf>
    <xf numFmtId="0" fontId="2" fillId="4" borderId="9" xfId="0" applyFont="1" applyFill="1" applyBorder="1" applyAlignment="1"/>
    <xf numFmtId="0" fontId="7" fillId="4" borderId="9" xfId="0" applyFont="1" applyFill="1" applyBorder="1" applyAlignment="1">
      <alignment wrapText="1"/>
    </xf>
    <xf numFmtId="0" fontId="7" fillId="4" borderId="5" xfId="0" applyFont="1" applyFill="1" applyBorder="1" applyAlignment="1">
      <alignment wrapText="1"/>
    </xf>
    <xf numFmtId="0" fontId="7" fillId="4" borderId="7" xfId="0" applyFont="1" applyFill="1" applyBorder="1" applyAlignment="1">
      <alignment wrapText="1"/>
    </xf>
    <xf numFmtId="0" fontId="7" fillId="4" borderId="8" xfId="0" applyFont="1" applyFill="1" applyBorder="1" applyAlignment="1">
      <alignment wrapText="1"/>
    </xf>
    <xf numFmtId="0" fontId="7" fillId="4" borderId="3" xfId="0" applyFont="1" applyFill="1" applyBorder="1" applyAlignment="1">
      <alignment wrapText="1"/>
    </xf>
    <xf numFmtId="0" fontId="7" fillId="4" borderId="4" xfId="0" applyNumberFormat="1" applyFont="1" applyFill="1" applyBorder="1" applyAlignment="1">
      <alignment wrapText="1"/>
    </xf>
    <xf numFmtId="0" fontId="7" fillId="4" borderId="0" xfId="0" applyFont="1" applyFill="1" applyBorder="1" applyAlignment="1">
      <alignment wrapText="1"/>
    </xf>
    <xf numFmtId="0" fontId="4" fillId="5" borderId="9" xfId="0" applyFont="1" applyFill="1" applyBorder="1" applyAlignment="1">
      <alignment horizontal="left" wrapText="1"/>
    </xf>
    <xf numFmtId="0" fontId="4" fillId="4" borderId="9" xfId="0" applyFont="1" applyFill="1" applyBorder="1" applyAlignment="1">
      <alignment horizontal="left"/>
    </xf>
    <xf numFmtId="0" fontId="4" fillId="4" borderId="9" xfId="0" applyFont="1" applyFill="1" applyBorder="1" applyAlignment="1">
      <alignment horizontal="left" wrapText="1"/>
    </xf>
    <xf numFmtId="0" fontId="2" fillId="4" borderId="5" xfId="0" applyFont="1" applyFill="1" applyBorder="1" applyAlignment="1">
      <alignment horizontal="left"/>
    </xf>
    <xf numFmtId="0" fontId="2" fillId="4" borderId="7" xfId="0" applyFont="1" applyFill="1" applyBorder="1" applyAlignment="1">
      <alignment horizontal="left"/>
    </xf>
    <xf numFmtId="0" fontId="2" fillId="4" borderId="8" xfId="0" applyFont="1" applyFill="1" applyBorder="1" applyAlignment="1">
      <alignment horizontal="left" wrapText="1"/>
    </xf>
    <xf numFmtId="0" fontId="7" fillId="4" borderId="9" xfId="0" applyFont="1" applyFill="1" applyBorder="1" applyAlignment="1">
      <alignment horizontal="left" wrapText="1"/>
    </xf>
    <xf numFmtId="0" fontId="7" fillId="4" borderId="5" xfId="0" applyFont="1" applyFill="1" applyBorder="1" applyAlignment="1">
      <alignment horizontal="left"/>
    </xf>
    <xf numFmtId="0" fontId="7" fillId="4" borderId="7" xfId="0" applyFont="1" applyFill="1" applyBorder="1" applyAlignment="1">
      <alignment horizontal="left"/>
    </xf>
    <xf numFmtId="0" fontId="7" fillId="4" borderId="8" xfId="0" applyFont="1" applyFill="1" applyBorder="1" applyAlignment="1">
      <alignment horizontal="left" wrapText="1"/>
    </xf>
    <xf numFmtId="0" fontId="4" fillId="4" borderId="9" xfId="0" applyFont="1" applyFill="1" applyBorder="1" applyAlignment="1">
      <alignment wrapText="1"/>
    </xf>
    <xf numFmtId="0" fontId="7" fillId="4" borderId="0" xfId="0" applyFont="1" applyFill="1" applyBorder="1" applyAlignment="1">
      <alignment horizontal="left" wrapText="1"/>
    </xf>
    <xf numFmtId="0" fontId="7" fillId="4" borderId="5" xfId="0" applyFont="1" applyFill="1" applyBorder="1" applyAlignment="1">
      <alignment horizontal="left" wrapText="1"/>
    </xf>
    <xf numFmtId="0" fontId="7" fillId="4" borderId="3" xfId="0" applyFont="1" applyFill="1" applyBorder="1" applyAlignment="1">
      <alignment horizontal="left"/>
    </xf>
    <xf numFmtId="0" fontId="7" fillId="4" borderId="4" xfId="0" applyNumberFormat="1" applyFont="1" applyFill="1" applyBorder="1" applyAlignment="1">
      <alignment horizontal="left" wrapText="1"/>
    </xf>
    <xf numFmtId="0" fontId="4" fillId="4" borderId="9" xfId="0" applyFont="1" applyFill="1" applyBorder="1" applyAlignment="1"/>
    <xf numFmtId="0" fontId="7" fillId="4" borderId="9" xfId="0" applyFont="1" applyFill="1" applyBorder="1" applyAlignment="1"/>
    <xf numFmtId="0" fontId="5" fillId="4" borderId="0" xfId="0" applyFont="1" applyFill="1"/>
    <xf numFmtId="0" fontId="5" fillId="4" borderId="3" xfId="0" applyFont="1" applyFill="1" applyBorder="1"/>
    <xf numFmtId="0" fontId="5" fillId="4" borderId="4" xfId="0" applyNumberFormat="1" applyFont="1" applyFill="1" applyBorder="1" applyAlignment="1">
      <alignment wrapText="1"/>
    </xf>
    <xf numFmtId="0" fontId="4" fillId="6" borderId="9" xfId="0" applyFont="1" applyFill="1" applyBorder="1" applyAlignment="1">
      <alignment horizontal="left" wrapText="1"/>
    </xf>
    <xf numFmtId="0" fontId="7" fillId="2" borderId="9" xfId="0" applyFont="1" applyFill="1" applyBorder="1" applyAlignment="1">
      <alignment wrapText="1"/>
    </xf>
    <xf numFmtId="0" fontId="7" fillId="7" borderId="9" xfId="0" applyFont="1" applyFill="1" applyBorder="1" applyAlignment="1">
      <alignment horizontal="left" wrapText="1"/>
    </xf>
    <xf numFmtId="0" fontId="7" fillId="7" borderId="5" xfId="0" applyFont="1" applyFill="1" applyBorder="1" applyAlignment="1">
      <alignment horizontal="left"/>
    </xf>
    <xf numFmtId="0" fontId="7" fillId="7" borderId="7" xfId="0" applyFont="1" applyFill="1" applyBorder="1" applyAlignment="1">
      <alignment horizontal="left"/>
    </xf>
    <xf numFmtId="0" fontId="7" fillId="7" borderId="8" xfId="0" applyFont="1" applyFill="1" applyBorder="1" applyAlignment="1">
      <alignment horizontal="left" wrapText="1"/>
    </xf>
    <xf numFmtId="0" fontId="5" fillId="2" borderId="3" xfId="0" applyFont="1" applyFill="1" applyBorder="1" applyAlignment="1">
      <alignment wrapText="1"/>
    </xf>
    <xf numFmtId="0" fontId="0" fillId="4" borderId="9" xfId="0" applyFill="1" applyBorder="1" applyAlignment="1">
      <alignment wrapText="1"/>
    </xf>
    <xf numFmtId="0" fontId="7" fillId="8" borderId="9" xfId="0" applyFont="1" applyFill="1" applyBorder="1" applyAlignment="1">
      <alignment wrapText="1"/>
    </xf>
    <xf numFmtId="0" fontId="7" fillId="8" borderId="0" xfId="0" applyFont="1" applyFill="1" applyAlignment="1"/>
    <xf numFmtId="0" fontId="7" fillId="8" borderId="0" xfId="0" applyFont="1" applyFill="1" applyAlignment="1">
      <alignment wrapText="1"/>
    </xf>
    <xf numFmtId="0" fontId="7" fillId="8" borderId="5" xfId="0" applyFont="1" applyFill="1" applyBorder="1"/>
    <xf numFmtId="0" fontId="7" fillId="8" borderId="7" xfId="0" applyFont="1" applyFill="1" applyBorder="1"/>
    <xf numFmtId="0" fontId="7" fillId="8" borderId="8" xfId="0" applyFont="1" applyFill="1" applyBorder="1" applyAlignment="1">
      <alignment wrapText="1"/>
    </xf>
    <xf numFmtId="0" fontId="14" fillId="2" borderId="0" xfId="0" applyFont="1" applyFill="1" applyBorder="1" applyAlignment="1">
      <alignment horizontal="left" wrapText="1"/>
    </xf>
    <xf numFmtId="0" fontId="14" fillId="2" borderId="0" xfId="0" applyFont="1" applyFill="1" applyBorder="1" applyAlignment="1">
      <alignment wrapText="1"/>
    </xf>
    <xf numFmtId="0" fontId="14" fillId="2" borderId="0" xfId="0" applyFont="1" applyFill="1" applyBorder="1" applyAlignment="1">
      <alignment horizontal="left"/>
    </xf>
    <xf numFmtId="0" fontId="14" fillId="2" borderId="3" xfId="0" applyFont="1" applyFill="1" applyBorder="1" applyAlignment="1">
      <alignment horizontal="left"/>
    </xf>
    <xf numFmtId="0" fontId="14" fillId="2" borderId="4" xfId="0" applyNumberFormat="1" applyFont="1" applyFill="1" applyBorder="1" applyAlignment="1">
      <alignment horizontal="left" wrapText="1"/>
    </xf>
    <xf numFmtId="0" fontId="14" fillId="9" borderId="9" xfId="0" applyFont="1" applyFill="1" applyBorder="1" applyAlignment="1">
      <alignment horizontal="left" wrapText="1"/>
    </xf>
    <xf numFmtId="0" fontId="14" fillId="2" borderId="9" xfId="0" applyFont="1" applyFill="1" applyBorder="1" applyAlignment="1">
      <alignment wrapText="1"/>
    </xf>
    <xf numFmtId="0" fontId="14" fillId="2" borderId="5" xfId="0" applyFont="1" applyFill="1" applyBorder="1" applyAlignment="1">
      <alignment wrapText="1"/>
    </xf>
    <xf numFmtId="0" fontId="14" fillId="2" borderId="3" xfId="0" applyFont="1" applyFill="1" applyBorder="1" applyAlignment="1">
      <alignment wrapText="1"/>
    </xf>
    <xf numFmtId="0" fontId="14" fillId="2" borderId="4" xfId="0" applyNumberFormat="1" applyFont="1" applyFill="1" applyBorder="1" applyAlignment="1">
      <alignment wrapText="1"/>
    </xf>
    <xf numFmtId="0" fontId="14" fillId="2" borderId="9" xfId="0" applyFont="1" applyFill="1" applyBorder="1" applyAlignment="1">
      <alignment horizontal="left" wrapText="1"/>
    </xf>
    <xf numFmtId="0" fontId="14" fillId="2" borderId="5" xfId="0" applyFont="1" applyFill="1" applyBorder="1" applyAlignment="1">
      <alignment horizontal="left"/>
    </xf>
    <xf numFmtId="0" fontId="14" fillId="2" borderId="7" xfId="0" applyFont="1" applyFill="1" applyBorder="1" applyAlignment="1">
      <alignment horizontal="left"/>
    </xf>
    <xf numFmtId="0" fontId="14" fillId="2" borderId="8" xfId="0" applyFont="1" applyFill="1" applyBorder="1" applyAlignment="1">
      <alignment horizontal="left" wrapText="1"/>
    </xf>
    <xf numFmtId="0" fontId="7" fillId="10" borderId="9" xfId="0" applyFont="1" applyFill="1" applyBorder="1" applyAlignment="1">
      <alignment wrapText="1"/>
    </xf>
    <xf numFmtId="0" fontId="7" fillId="10" borderId="5" xfId="0" applyFont="1" applyFill="1" applyBorder="1" applyAlignment="1">
      <alignment wrapText="1"/>
    </xf>
    <xf numFmtId="0" fontId="7" fillId="10" borderId="3" xfId="0" applyFont="1" applyFill="1" applyBorder="1" applyAlignment="1">
      <alignment wrapText="1"/>
    </xf>
    <xf numFmtId="0" fontId="7" fillId="10" borderId="4" xfId="0" applyNumberFormat="1" applyFont="1" applyFill="1" applyBorder="1" applyAlignment="1">
      <alignment wrapText="1"/>
    </xf>
    <xf numFmtId="0" fontId="7" fillId="10" borderId="0" xfId="0" applyFont="1" applyFill="1" applyBorder="1" applyAlignment="1">
      <alignment wrapText="1"/>
    </xf>
    <xf numFmtId="0" fontId="7" fillId="10" borderId="0" xfId="0" applyFont="1" applyFill="1" applyBorder="1" applyAlignment="1">
      <alignment horizontal="left" wrapText="1"/>
    </xf>
    <xf numFmtId="0" fontId="7" fillId="10" borderId="5" xfId="0" applyFont="1" applyFill="1" applyBorder="1" applyAlignment="1">
      <alignment horizontal="left" wrapText="1"/>
    </xf>
    <xf numFmtId="0" fontId="7" fillId="10" borderId="0" xfId="0" applyFont="1" applyFill="1" applyBorder="1" applyAlignment="1">
      <alignment horizontal="left"/>
    </xf>
    <xf numFmtId="0" fontId="7" fillId="10" borderId="3" xfId="0" applyFont="1" applyFill="1" applyBorder="1" applyAlignment="1">
      <alignment horizontal="left"/>
    </xf>
    <xf numFmtId="0" fontId="7" fillId="10" borderId="4" xfId="0" applyNumberFormat="1" applyFont="1" applyFill="1" applyBorder="1" applyAlignment="1">
      <alignment horizontal="left" wrapText="1"/>
    </xf>
    <xf numFmtId="0" fontId="14" fillId="2" borderId="5" xfId="0" applyFont="1" applyFill="1" applyBorder="1"/>
    <xf numFmtId="0" fontId="14" fillId="2" borderId="7" xfId="0" applyFont="1" applyFill="1" applyBorder="1"/>
    <xf numFmtId="0" fontId="14" fillId="2" borderId="8" xfId="0" applyFont="1" applyFill="1" applyBorder="1" applyAlignment="1">
      <alignment wrapText="1"/>
    </xf>
    <xf numFmtId="0" fontId="7" fillId="11" borderId="9" xfId="0" applyFont="1" applyFill="1" applyBorder="1" applyAlignment="1">
      <alignment horizontal="left" wrapText="1"/>
    </xf>
    <xf numFmtId="0" fontId="7" fillId="12" borderId="0" xfId="0" applyFont="1" applyFill="1" applyBorder="1" applyAlignment="1">
      <alignment wrapText="1"/>
    </xf>
    <xf numFmtId="0" fontId="7" fillId="12" borderId="9" xfId="0" applyFont="1" applyFill="1" applyBorder="1" applyAlignment="1">
      <alignment wrapText="1"/>
    </xf>
    <xf numFmtId="0" fontId="7" fillId="12" borderId="5" xfId="0" applyFont="1" applyFill="1" applyBorder="1" applyAlignment="1">
      <alignment wrapText="1"/>
    </xf>
    <xf numFmtId="0" fontId="7" fillId="12" borderId="3" xfId="0" applyFont="1" applyFill="1" applyBorder="1" applyAlignment="1">
      <alignment wrapText="1"/>
    </xf>
    <xf numFmtId="0" fontId="7" fillId="12" borderId="4" xfId="0" applyNumberFormat="1" applyFont="1" applyFill="1" applyBorder="1" applyAlignment="1">
      <alignment wrapText="1"/>
    </xf>
    <xf numFmtId="0" fontId="0" fillId="4" borderId="9" xfId="0" applyFont="1" applyFill="1" applyBorder="1" applyAlignment="1">
      <alignment horizontal="left" wrapText="1"/>
    </xf>
    <xf numFmtId="0" fontId="0" fillId="2" borderId="9" xfId="0" applyFont="1" applyFill="1" applyBorder="1" applyAlignment="1">
      <alignment wrapText="1"/>
    </xf>
    <xf numFmtId="0" fontId="0" fillId="2" borderId="9" xfId="0" applyFont="1" applyFill="1" applyBorder="1" applyAlignment="1">
      <alignment horizontal="left" wrapText="1"/>
    </xf>
    <xf numFmtId="0" fontId="13" fillId="3" borderId="6" xfId="0" applyFont="1" applyFill="1" applyBorder="1" applyAlignment="1">
      <alignment horizontal="left" wrapText="1"/>
    </xf>
    <xf numFmtId="0" fontId="1" fillId="4" borderId="9" xfId="0" applyFont="1" applyFill="1" applyBorder="1" applyAlignment="1">
      <alignment wrapText="1"/>
    </xf>
    <xf numFmtId="0" fontId="1" fillId="2" borderId="0" xfId="0" applyFont="1" applyFill="1" applyAlignment="1">
      <alignment wrapText="1"/>
    </xf>
    <xf numFmtId="0" fontId="1" fillId="3" borderId="6" xfId="0" applyFont="1" applyFill="1" applyBorder="1" applyAlignment="1">
      <alignment horizontal="left" wrapText="1"/>
    </xf>
    <xf numFmtId="0" fontId="16" fillId="4" borderId="9" xfId="0" applyFont="1" applyFill="1" applyBorder="1" applyAlignment="1">
      <alignment wrapText="1"/>
    </xf>
    <xf numFmtId="0" fontId="13" fillId="12" borderId="9" xfId="0" applyFont="1" applyFill="1" applyBorder="1" applyAlignment="1">
      <alignment wrapText="1"/>
    </xf>
    <xf numFmtId="0" fontId="1" fillId="4" borderId="9" xfId="0" applyFont="1" applyFill="1" applyBorder="1" applyAlignment="1">
      <alignment horizontal="left" wrapText="1"/>
    </xf>
    <xf numFmtId="0" fontId="7" fillId="4" borderId="0" xfId="0" applyFont="1" applyFill="1" applyAlignment="1">
      <alignment wrapText="1"/>
    </xf>
    <xf numFmtId="0" fontId="1" fillId="3" borderId="5" xfId="0" applyFont="1" applyFill="1" applyBorder="1" applyAlignment="1">
      <alignment horizontal="left" wrapText="1"/>
    </xf>
    <xf numFmtId="0" fontId="4" fillId="3" borderId="6" xfId="0" applyFont="1" applyFill="1" applyBorder="1" applyAlignment="1">
      <alignment horizontal="left" vertical="top" wrapText="1"/>
    </xf>
    <xf numFmtId="0" fontId="0" fillId="4" borderId="9" xfId="0" applyFont="1" applyFill="1" applyBorder="1" applyAlignment="1">
      <alignment vertical="top" wrapText="1"/>
    </xf>
    <xf numFmtId="0" fontId="5" fillId="2" borderId="9" xfId="0" applyFont="1" applyFill="1" applyBorder="1" applyAlignment="1">
      <alignment vertical="top" wrapText="1"/>
    </xf>
    <xf numFmtId="0" fontId="2" fillId="4" borderId="9" xfId="0" applyFont="1" applyFill="1" applyBorder="1" applyAlignment="1">
      <alignment vertical="top" wrapText="1"/>
    </xf>
    <xf numFmtId="0" fontId="2" fillId="2" borderId="0" xfId="0" applyFont="1" applyFill="1" applyAlignment="1">
      <alignment vertical="top" wrapText="1"/>
    </xf>
    <xf numFmtId="0" fontId="2" fillId="3" borderId="6" xfId="0" applyFont="1" applyFill="1" applyBorder="1" applyAlignment="1">
      <alignment horizontal="left" vertical="top" wrapText="1"/>
    </xf>
    <xf numFmtId="0" fontId="10" fillId="0" borderId="9" xfId="0" applyFont="1" applyFill="1" applyBorder="1" applyAlignment="1">
      <alignment vertical="top" wrapText="1"/>
    </xf>
    <xf numFmtId="0" fontId="14" fillId="2" borderId="0" xfId="0" applyFont="1" applyFill="1" applyBorder="1" applyAlignment="1">
      <alignment vertical="top" wrapText="1"/>
    </xf>
    <xf numFmtId="0" fontId="7" fillId="4" borderId="9" xfId="0" applyFont="1" applyFill="1" applyBorder="1" applyAlignment="1">
      <alignment vertical="top" wrapText="1"/>
    </xf>
    <xf numFmtId="0" fontId="7" fillId="10" borderId="9" xfId="0" applyFont="1" applyFill="1" applyBorder="1" applyAlignment="1">
      <alignment vertical="top" wrapText="1"/>
    </xf>
    <xf numFmtId="0" fontId="7" fillId="2" borderId="9" xfId="0" applyFont="1" applyFill="1" applyBorder="1" applyAlignment="1">
      <alignment vertical="top" wrapText="1"/>
    </xf>
    <xf numFmtId="0" fontId="7" fillId="4" borderId="0" xfId="0" applyFont="1" applyFill="1" applyBorder="1" applyAlignment="1">
      <alignment vertical="top" wrapText="1"/>
    </xf>
    <xf numFmtId="0" fontId="7" fillId="12" borderId="0" xfId="0" applyFont="1" applyFill="1" applyBorder="1" applyAlignment="1">
      <alignment vertical="top" wrapText="1"/>
    </xf>
    <xf numFmtId="0" fontId="0" fillId="4" borderId="9" xfId="0" applyFont="1" applyFill="1" applyBorder="1" applyAlignment="1">
      <alignment horizontal="left" vertical="top" wrapText="1"/>
    </xf>
    <xf numFmtId="0" fontId="2" fillId="4" borderId="9" xfId="0" applyFont="1" applyFill="1" applyBorder="1" applyAlignment="1">
      <alignment horizontal="left" vertical="top" wrapText="1"/>
    </xf>
    <xf numFmtId="0" fontId="7" fillId="7" borderId="9" xfId="0" applyFont="1" applyFill="1" applyBorder="1" applyAlignment="1">
      <alignment horizontal="left" vertical="top" wrapText="1"/>
    </xf>
    <xf numFmtId="0" fontId="5" fillId="2" borderId="9" xfId="0" applyFont="1" applyFill="1" applyBorder="1" applyAlignment="1">
      <alignment horizontal="left" vertical="top" wrapText="1"/>
    </xf>
    <xf numFmtId="0" fontId="7" fillId="2" borderId="9" xfId="0" applyFont="1" applyFill="1" applyBorder="1" applyAlignment="1">
      <alignment horizontal="left" vertical="top" wrapText="1"/>
    </xf>
    <xf numFmtId="0" fontId="5" fillId="2" borderId="0" xfId="0" applyFont="1" applyFill="1" applyBorder="1" applyAlignment="1">
      <alignment vertical="top" wrapText="1"/>
    </xf>
    <xf numFmtId="0" fontId="2" fillId="2" borderId="9" xfId="0" applyFont="1" applyFill="1" applyBorder="1" applyAlignment="1">
      <alignment vertical="top" wrapText="1"/>
    </xf>
    <xf numFmtId="0" fontId="2" fillId="2" borderId="6" xfId="0" applyFont="1" applyFill="1" applyBorder="1" applyAlignment="1">
      <alignment vertical="top" wrapText="1"/>
    </xf>
    <xf numFmtId="0" fontId="5" fillId="2" borderId="6" xfId="0" applyFont="1" applyFill="1" applyBorder="1" applyAlignment="1">
      <alignment vertical="top" wrapText="1"/>
    </xf>
    <xf numFmtId="0" fontId="13" fillId="2" borderId="9" xfId="0" applyFont="1" applyFill="1" applyBorder="1" applyAlignment="1">
      <alignment vertical="top" wrapText="1"/>
    </xf>
    <xf numFmtId="0" fontId="7" fillId="8" borderId="9" xfId="0" applyFont="1" applyFill="1" applyBorder="1" applyAlignment="1">
      <alignment vertical="top" wrapText="1"/>
    </xf>
    <xf numFmtId="0" fontId="7" fillId="10" borderId="0" xfId="0" applyFont="1" applyFill="1" applyBorder="1" applyAlignment="1">
      <alignment vertical="top" wrapText="1"/>
    </xf>
    <xf numFmtId="0" fontId="5" fillId="4" borderId="0" xfId="0" applyFont="1" applyFill="1" applyAlignment="1">
      <alignment vertical="top" wrapText="1"/>
    </xf>
    <xf numFmtId="0" fontId="2" fillId="3" borderId="5" xfId="0" applyFont="1" applyFill="1" applyBorder="1" applyAlignment="1">
      <alignment horizontal="left" vertical="top" wrapText="1"/>
    </xf>
    <xf numFmtId="0" fontId="5" fillId="2" borderId="0" xfId="0" applyFont="1" applyFill="1" applyAlignment="1">
      <alignment vertical="top" wrapText="1"/>
    </xf>
    <xf numFmtId="9" fontId="5" fillId="2" borderId="9" xfId="0" applyNumberFormat="1" applyFont="1" applyFill="1" applyBorder="1" applyAlignment="1">
      <alignment horizontal="left" vertical="top" wrapText="1"/>
    </xf>
    <xf numFmtId="0" fontId="5" fillId="2" borderId="0" xfId="0" applyFont="1" applyFill="1" applyAlignment="1">
      <alignment horizontal="left" vertical="top" wrapText="1"/>
    </xf>
    <xf numFmtId="0" fontId="2" fillId="2" borderId="0" xfId="0" applyFont="1" applyFill="1" applyAlignment="1">
      <alignment horizontal="left" vertical="top" wrapText="1"/>
    </xf>
    <xf numFmtId="0" fontId="1" fillId="2" borderId="9" xfId="0" applyFont="1" applyFill="1" applyBorder="1" applyAlignment="1">
      <alignment wrapText="1"/>
    </xf>
    <xf numFmtId="0" fontId="5" fillId="2" borderId="0" xfId="0" applyFont="1" applyFill="1" applyBorder="1" applyAlignment="1">
      <alignment horizontal="left" wrapText="1"/>
    </xf>
    <xf numFmtId="0" fontId="0" fillId="2" borderId="9" xfId="0" applyFont="1" applyFill="1" applyBorder="1" applyAlignment="1">
      <alignment vertical="top" wrapText="1"/>
    </xf>
    <xf numFmtId="0" fontId="1" fillId="4" borderId="9" xfId="0" applyFont="1" applyFill="1" applyBorder="1" applyAlignment="1">
      <alignment horizontal="left" vertical="top" wrapText="1"/>
    </xf>
    <xf numFmtId="0" fontId="13" fillId="13" borderId="0" xfId="0" applyFont="1" applyFill="1" applyAlignment="1">
      <alignment wrapText="1"/>
    </xf>
    <xf numFmtId="0" fontId="17" fillId="2" borderId="9" xfId="0" applyFont="1" applyFill="1" applyBorder="1" applyAlignment="1">
      <alignment wrapText="1"/>
    </xf>
    <xf numFmtId="0" fontId="0" fillId="2" borderId="0" xfId="0" applyFont="1" applyFill="1" applyAlignment="1">
      <alignment wrapText="1"/>
    </xf>
    <xf numFmtId="0" fontId="7" fillId="2" borderId="0" xfId="0" applyFont="1" applyFill="1" applyAlignment="1">
      <alignment vertical="top" wrapText="1"/>
    </xf>
    <xf numFmtId="0" fontId="7" fillId="2" borderId="0" xfId="0" applyFont="1" applyFill="1" applyAlignment="1">
      <alignment wrapText="1"/>
    </xf>
    <xf numFmtId="0" fontId="7" fillId="4" borderId="9" xfId="0" applyFont="1" applyFill="1" applyBorder="1" applyAlignment="1">
      <alignment horizontal="left" vertical="top" wrapText="1"/>
    </xf>
    <xf numFmtId="0" fontId="0" fillId="4" borderId="5" xfId="0" applyFont="1" applyFill="1" applyBorder="1"/>
    <xf numFmtId="0" fontId="2" fillId="4" borderId="4" xfId="0" applyNumberFormat="1" applyFont="1" applyFill="1" applyBorder="1" applyAlignment="1">
      <alignment wrapText="1"/>
    </xf>
    <xf numFmtId="0" fontId="0" fillId="3" borderId="0" xfId="0" applyFont="1" applyFill="1" applyAlignment="1">
      <alignment wrapText="1"/>
    </xf>
    <xf numFmtId="49" fontId="0" fillId="0" borderId="0" xfId="0" applyNumberFormat="1" applyFont="1"/>
    <xf numFmtId="0" fontId="4" fillId="0" borderId="0" xfId="0" applyFont="1" applyAlignment="1">
      <alignment wrapText="1"/>
    </xf>
    <xf numFmtId="0" fontId="6" fillId="0" borderId="0" xfId="0" applyFont="1" applyFill="1" applyBorder="1" applyAlignment="1">
      <alignment wrapText="1"/>
    </xf>
    <xf numFmtId="0" fontId="18" fillId="0" borderId="0" xfId="0" applyFont="1" applyFill="1" applyBorder="1" applyAlignment="1"/>
    <xf numFmtId="0" fontId="18" fillId="0" borderId="0" xfId="0" applyFont="1" applyFill="1" applyBorder="1" applyAlignment="1">
      <alignment wrapText="1"/>
    </xf>
    <xf numFmtId="0" fontId="19" fillId="0" borderId="0" xfId="0" applyFont="1"/>
    <xf numFmtId="0" fontId="18" fillId="0" borderId="0" xfId="0" applyFont="1"/>
    <xf numFmtId="0" fontId="18" fillId="0" borderId="0" xfId="0" applyFont="1" applyAlignment="1">
      <alignment wrapText="1"/>
    </xf>
    <xf numFmtId="0" fontId="4" fillId="0" borderId="0" xfId="0" applyFont="1"/>
    <xf numFmtId="0" fontId="0" fillId="0" borderId="0" xfId="0" applyFill="1" applyAlignment="1">
      <alignment wrapText="1"/>
    </xf>
    <xf numFmtId="0" fontId="11" fillId="0" borderId="0" xfId="0" applyFont="1" applyAlignment="1"/>
    <xf numFmtId="0" fontId="20" fillId="0" borderId="0" xfId="0" applyFont="1"/>
    <xf numFmtId="0" fontId="7" fillId="6" borderId="9" xfId="0" applyFont="1" applyFill="1" applyBorder="1" applyAlignment="1">
      <alignment wrapText="1"/>
    </xf>
    <xf numFmtId="0" fontId="23" fillId="6" borderId="5" xfId="0" applyFont="1" applyFill="1" applyBorder="1"/>
    <xf numFmtId="0" fontId="22" fillId="6" borderId="0" xfId="0" applyFont="1" applyFill="1" applyBorder="1" applyAlignment="1">
      <alignment horizontal="left"/>
    </xf>
    <xf numFmtId="0" fontId="0" fillId="6" borderId="9" xfId="0" applyFont="1" applyFill="1" applyBorder="1" applyAlignment="1">
      <alignment vertical="top" wrapText="1"/>
    </xf>
    <xf numFmtId="164" fontId="0" fillId="4" borderId="9" xfId="0" applyNumberFormat="1" applyFont="1" applyFill="1" applyBorder="1" applyAlignment="1">
      <alignment vertical="top" wrapText="1"/>
    </xf>
    <xf numFmtId="0" fontId="24" fillId="0" borderId="0" xfId="0" applyFont="1" applyAlignment="1">
      <alignment horizontal="center" wrapText="1"/>
    </xf>
    <xf numFmtId="0" fontId="3" fillId="2" borderId="1" xfId="0" applyFont="1" applyFill="1" applyBorder="1" applyAlignment="1">
      <alignment horizontal="center"/>
    </xf>
    <xf numFmtId="0" fontId="3" fillId="2" borderId="2" xfId="0" applyFont="1" applyFill="1" applyBorder="1" applyAlignment="1">
      <alignment horizontal="center"/>
    </xf>
    <xf numFmtId="17" fontId="12" fillId="0" borderId="0" xfId="0" applyNumberFormat="1" applyFont="1" applyAlignment="1">
      <alignment horizontal="right" wrapText="1"/>
    </xf>
    <xf numFmtId="0" fontId="12" fillId="0" borderId="0" xfId="0" applyFont="1" applyAlignment="1">
      <alignment horizontal="right" wrapText="1"/>
    </xf>
    <xf numFmtId="0" fontId="0" fillId="0" borderId="0" xfId="0" applyAlignment="1">
      <alignment horizontal="center"/>
    </xf>
    <xf numFmtId="0" fontId="0" fillId="4" borderId="12" xfId="0" applyFont="1" applyFill="1" applyBorder="1"/>
    <xf numFmtId="0" fontId="0" fillId="4" borderId="5" xfId="0" applyFont="1" applyFill="1" applyBorder="1" applyAlignment="1">
      <alignment wrapText="1"/>
    </xf>
  </cellXfs>
  <cellStyles count="277">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Normal" xfId="0" builtinId="0"/>
  </cellStyles>
  <dxfs count="12">
    <dxf>
      <numFmt numFmtId="0" formatCode="General"/>
      <border diagonalUp="0" diagonalDown="0">
        <left/>
        <right style="medium">
          <color indexed="64"/>
        </right>
        <top/>
        <bottom/>
        <vertical/>
        <horizontal/>
      </border>
    </dxf>
    <dxf>
      <fill>
        <patternFill patternType="solid">
          <fgColor indexed="64"/>
          <bgColor theme="0"/>
        </patternFill>
      </fill>
      <border diagonalUp="0" diagonalDown="0">
        <left style="medium">
          <color indexed="64"/>
        </left>
        <right/>
        <top/>
        <bottom/>
        <vertical/>
        <horizontal/>
      </border>
    </dxf>
    <dxf>
      <font>
        <strike val="0"/>
        <outline val="0"/>
        <shadow val="0"/>
        <u val="none"/>
        <vertAlign val="baseline"/>
        <sz val="12"/>
        <name val="Calibri"/>
        <scheme val="minor"/>
      </font>
    </dxf>
    <dxf>
      <font>
        <strike val="0"/>
        <outline val="0"/>
        <shadow val="0"/>
        <u val="none"/>
        <vertAlign val="baseline"/>
        <sz val="12"/>
        <name val="Calibri"/>
        <scheme val="minor"/>
      </font>
      <alignment vertical="bottom" textRotation="0" wrapText="1" justifyLastLine="0" shrinkToFit="0"/>
    </dxf>
    <dxf>
      <font>
        <strike val="0"/>
        <outline val="0"/>
        <shadow val="0"/>
        <u val="none"/>
        <vertAlign val="baseline"/>
        <sz val="12"/>
        <name val="Calibri"/>
        <scheme val="minor"/>
      </font>
      <alignment horizontal="general" vertical="bottom" textRotation="0" wrapText="1" indent="0" justifyLastLine="0" shrinkToFit="0" readingOrder="0"/>
    </dxf>
    <dxf>
      <font>
        <strike val="0"/>
        <outline val="0"/>
        <shadow val="0"/>
        <u val="none"/>
        <vertAlign val="baseline"/>
        <sz val="12"/>
        <name val="Calibri"/>
        <scheme val="minor"/>
      </font>
      <numFmt numFmtId="0" formatCode="General"/>
      <alignment horizontal="general" vertical="top" textRotation="0" wrapText="1" indent="0" justifyLastLine="0" shrinkToFit="0" readingOrder="0"/>
    </dxf>
    <dxf>
      <font>
        <strike val="0"/>
        <outline val="0"/>
        <shadow val="0"/>
        <u val="none"/>
        <vertAlign val="baseline"/>
        <sz val="12"/>
        <name val="Calibri"/>
        <scheme val="minor"/>
      </font>
    </dxf>
    <dxf>
      <font>
        <strike val="0"/>
        <outline val="0"/>
        <shadow val="0"/>
        <u val="none"/>
        <vertAlign val="baseline"/>
        <sz val="12"/>
        <name val="Calibri"/>
        <scheme val="minor"/>
      </font>
    </dxf>
    <dxf>
      <border outline="0">
        <top style="thin">
          <color auto="1"/>
        </top>
      </border>
    </dxf>
    <dxf>
      <font>
        <strike val="0"/>
        <outline val="0"/>
        <shadow val="0"/>
        <u val="none"/>
        <vertAlign val="baseline"/>
        <sz val="12"/>
        <name val="Calibri"/>
        <scheme val="minor"/>
      </font>
      <numFmt numFmtId="30" formatCode="@"/>
    </dxf>
    <dxf>
      <border outline="0">
        <bottom style="thin">
          <color auto="1"/>
        </bottom>
      </border>
    </dxf>
    <dxf>
      <font>
        <strike val="0"/>
        <outline val="0"/>
        <shadow val="0"/>
        <u val="none"/>
        <vertAlign val="baseline"/>
        <sz val="12"/>
        <name val="Calibri"/>
        <scheme val="minor"/>
      </font>
      <numFmt numFmtId="30" formatCode="@"/>
    </dxf>
  </dxfs>
  <tableStyles count="0" defaultTableStyle="TableStyleMedium9" defaultPivotStyle="PivotStyleMedium4"/>
  <colors>
    <mruColors>
      <color rgb="FFEAB2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openxmlformats.org/officeDocument/2006/relationships/calcChain" Target="calcChain.xml"/><Relationship Id="rId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 Id="rId2" Type="http://schemas.openxmlformats.org/officeDocument/2006/relationships/image" Target="../media/image2.jpg"/><Relationship Id="rId3"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64577</xdr:colOff>
      <xdr:row>1</xdr:row>
      <xdr:rowOff>96864</xdr:rowOff>
    </xdr:from>
    <xdr:to>
      <xdr:col>1</xdr:col>
      <xdr:colOff>301323</xdr:colOff>
      <xdr:row>6</xdr:row>
      <xdr:rowOff>59959</xdr:rowOff>
    </xdr:to>
    <xdr:pic>
      <xdr:nvPicPr>
        <xdr:cNvPr id="5" name="Picture 4" descr="VCC_logo_tree_icon.jpg"/>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577" y="290593"/>
          <a:ext cx="4240475" cy="1114705"/>
        </a:xfrm>
        <a:prstGeom prst="rect">
          <a:avLst/>
        </a:prstGeom>
      </xdr:spPr>
    </xdr:pic>
    <xdr:clientData/>
  </xdr:twoCellAnchor>
  <xdr:twoCellAnchor editAs="oneCell">
    <xdr:from>
      <xdr:col>1</xdr:col>
      <xdr:colOff>312119</xdr:colOff>
      <xdr:row>1</xdr:row>
      <xdr:rowOff>226017</xdr:rowOff>
    </xdr:from>
    <xdr:to>
      <xdr:col>1</xdr:col>
      <xdr:colOff>3469974</xdr:colOff>
      <xdr:row>5</xdr:row>
      <xdr:rowOff>164455</xdr:rowOff>
    </xdr:to>
    <xdr:pic>
      <xdr:nvPicPr>
        <xdr:cNvPr id="6" name="Picture 5"/>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315848" y="419746"/>
          <a:ext cx="3157855" cy="896319"/>
        </a:xfrm>
        <a:prstGeom prst="rect">
          <a:avLst/>
        </a:prstGeom>
      </xdr:spPr>
    </xdr:pic>
    <xdr:clientData/>
  </xdr:twoCellAnchor>
  <xdr:twoCellAnchor editAs="oneCell">
    <xdr:from>
      <xdr:col>2</xdr:col>
      <xdr:colOff>193729</xdr:colOff>
      <xdr:row>1</xdr:row>
      <xdr:rowOff>215254</xdr:rowOff>
    </xdr:from>
    <xdr:to>
      <xdr:col>2</xdr:col>
      <xdr:colOff>3308015</xdr:colOff>
      <xdr:row>5</xdr:row>
      <xdr:rowOff>66116</xdr:rowOff>
    </xdr:to>
    <xdr:pic>
      <xdr:nvPicPr>
        <xdr:cNvPr id="7" name="Picture 6"/>
        <xdr:cNvPicPr>
          <a:picLocks noChangeAspect="1"/>
        </xdr:cNvPicPr>
      </xdr:nvPicPr>
      <xdr:blipFill>
        <a:blip xmlns:r="http://schemas.openxmlformats.org/officeDocument/2006/relationships" r:embed="rId3"/>
        <a:stretch>
          <a:fillRect/>
        </a:stretch>
      </xdr:blipFill>
      <xdr:spPr>
        <a:xfrm>
          <a:off x="8201187" y="408983"/>
          <a:ext cx="3114286" cy="808743"/>
        </a:xfrm>
        <a:prstGeom prst="rect">
          <a:avLst/>
        </a:prstGeom>
      </xdr:spPr>
    </xdr:pic>
    <xdr:clientData/>
  </xdr:twoCellAnchor>
</xdr:wsDr>
</file>

<file path=xl/tables/table1.xml><?xml version="1.0" encoding="utf-8"?>
<table xmlns="http://schemas.openxmlformats.org/spreadsheetml/2006/main" id="1" name="Table1" displayName="Table1" ref="A17:H141" totalsRowShown="0" headerRowDxfId="11" dataDxfId="9" headerRowBorderDxfId="10" tableBorderDxfId="8">
  <tableColumns count="8">
    <tableColumn id="1" name="Français" dataDxfId="7"/>
    <tableColumn id="2" name="English" dataDxfId="6"/>
    <tableColumn id="3" name="Details - value" dataDxfId="5"/>
    <tableColumn id="4" name="Article/_x000a_Reference " dataDxfId="4"/>
    <tableColumn id="5" name="Page (permalink) page = page top, middle, bottom" dataDxfId="3"/>
    <tableColumn id="6" name="Notes" dataDxfId="2"/>
    <tableColumn id="8" name="Details with Reference" dataDxfId="1">
      <calculatedColumnFormula>IF(OR(Table1[[#This Row],[English]]&lt;&gt;"",Table1[[#This Row],[Français]]&lt;&gt;""),Table1[[#This Row],[Français]]&amp;"//"&amp;Table1[[#This Row],[English]],"")</calculatedColumnFormula>
    </tableColumn>
    <tableColumn id="7" name="Details-Reference (AUTOMATIC)" dataDxfId="0">
      <calculatedColumnFormula>IF(C18&lt;&gt;"",IF(D18&lt;&gt;"",C18&amp;"--"&amp;D18,C18),"")</calculatedColumnFormula>
    </tableColumn>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pageSetUpPr fitToPage="1"/>
  </sheetPr>
  <dimension ref="A2:H148"/>
  <sheetViews>
    <sheetView showGridLines="0" topLeftCell="B23" zoomScale="125" zoomScaleNormal="125" zoomScalePageLayoutView="125" workbookViewId="0">
      <selection activeCell="C27" sqref="C27"/>
    </sheetView>
  </sheetViews>
  <sheetFormatPr baseColWidth="10" defaultColWidth="8.6640625" defaultRowHeight="15" x14ac:dyDescent="0"/>
  <cols>
    <col min="1" max="2" width="52.5" style="1" customWidth="1"/>
    <col min="3" max="3" width="67.33203125" style="1" customWidth="1"/>
    <col min="4" max="4" width="13.5" style="1" customWidth="1"/>
    <col min="6" max="6" width="19.83203125" customWidth="1"/>
    <col min="7" max="7" width="31.1640625" style="47" customWidth="1"/>
    <col min="8" max="8" width="17.33203125" style="48" customWidth="1"/>
  </cols>
  <sheetData>
    <row r="2" spans="1:8" ht="30" customHeight="1"/>
    <row r="10" spans="1:8" ht="28" customHeight="1">
      <c r="A10" s="216" t="s">
        <v>855</v>
      </c>
      <c r="B10" s="216"/>
      <c r="C10" s="215"/>
    </row>
    <row r="12" spans="1:8" ht="25">
      <c r="C12" s="226">
        <v>42125</v>
      </c>
      <c r="D12" s="227"/>
    </row>
    <row r="16" spans="1:8" ht="30" customHeight="1">
      <c r="B16" s="223" t="s">
        <v>913</v>
      </c>
      <c r="C16" s="223"/>
      <c r="G16" s="224" t="s">
        <v>0</v>
      </c>
      <c r="H16" s="225"/>
    </row>
    <row r="17" spans="1:8" ht="30">
      <c r="A17" s="2" t="s">
        <v>1</v>
      </c>
      <c r="B17" s="2" t="s">
        <v>2</v>
      </c>
      <c r="C17" s="206" t="s">
        <v>856</v>
      </c>
      <c r="D17" s="3" t="s">
        <v>3</v>
      </c>
      <c r="E17" s="206" t="s">
        <v>234</v>
      </c>
      <c r="F17" s="2" t="s">
        <v>4</v>
      </c>
      <c r="G17" s="4" t="s">
        <v>5</v>
      </c>
      <c r="H17" s="5" t="s">
        <v>6</v>
      </c>
    </row>
    <row r="18" spans="1:8" ht="30">
      <c r="A18" s="6" t="s">
        <v>7</v>
      </c>
      <c r="B18" s="7" t="s">
        <v>8</v>
      </c>
      <c r="C18" s="162"/>
      <c r="D18" s="153"/>
      <c r="E18" s="7"/>
      <c r="F18" s="7"/>
      <c r="G18" s="8" t="str">
        <f>IF(OR(Table1[[#This Row],[English]]&lt;&gt;"",Table1[[#This Row],[Français]]&lt;&gt;""),Table1[[#This Row],[Français]]&amp;"//"&amp;Table1[[#This Row],[English]],"")</f>
        <v>I. Information générale sur le projet //General information</v>
      </c>
      <c r="H18" s="9" t="str">
        <f t="shared" ref="H18:H94" si="0">IF(C18&lt;&gt;"",IF(D18&lt;&gt;"",C18&amp;"--"&amp;D18,C18),"")</f>
        <v/>
      </c>
    </row>
    <row r="19" spans="1:8" ht="31" customHeight="1">
      <c r="A19" s="67" t="s">
        <v>9</v>
      </c>
      <c r="B19" s="67" t="s">
        <v>10</v>
      </c>
      <c r="C19" s="163" t="s">
        <v>478</v>
      </c>
      <c r="D19" s="71" t="s">
        <v>830</v>
      </c>
      <c r="E19" s="71" t="s">
        <v>831</v>
      </c>
      <c r="F19" s="68"/>
      <c r="G19" s="69" t="str">
        <f>IF(OR(Table1[[#This Row],[English]]&lt;&gt;"",Table1[[#This Row],[Français]]&lt;&gt;""),Table1[[#This Row],[Français]]&amp;"//"&amp;Table1[[#This Row],[English]],"")</f>
        <v>Pays//Country</v>
      </c>
      <c r="H19" s="70" t="str">
        <f t="shared" si="0"/>
        <v>Liberia--Cover page</v>
      </c>
    </row>
    <row r="20" spans="1:8" ht="45">
      <c r="A20" s="67" t="s">
        <v>11</v>
      </c>
      <c r="B20" s="71" t="s">
        <v>12</v>
      </c>
      <c r="C20" s="163" t="s">
        <v>883</v>
      </c>
      <c r="D20" s="71" t="s">
        <v>830</v>
      </c>
      <c r="E20" s="71" t="s">
        <v>832</v>
      </c>
      <c r="F20" s="68"/>
      <c r="G20" s="69" t="str">
        <f>IF(OR(Table1[[#This Row],[English]]&lt;&gt;"",Table1[[#This Row],[Français]]&lt;&gt;""),Table1[[#This Row],[Français]]&amp;"//"&amp;Table1[[#This Row],[English]],"")</f>
        <v>Nom de la société locale//Local company name</v>
      </c>
      <c r="H20" s="70" t="str">
        <f t="shared" si="0"/>
        <v>Bargor &amp; Bargor Enterprise, Inc.--Cover page</v>
      </c>
    </row>
    <row r="21" spans="1:8">
      <c r="A21" s="71" t="s">
        <v>232</v>
      </c>
      <c r="B21" s="71" t="s">
        <v>233</v>
      </c>
      <c r="C21" s="163"/>
      <c r="D21" s="71"/>
      <c r="E21" s="71"/>
      <c r="F21" s="203"/>
      <c r="G21" s="16" t="str">
        <f>IF(OR(Table1[[#This Row],[English]]&lt;&gt;"",Table1[[#This Row],[Français]]&lt;&gt;""),Table1[[#This Row],[Français]]&amp;"//"&amp;Table1[[#This Row],[English]],"")</f>
        <v>Numéro d'entreprise légal//Legal Enterprise Identifier</v>
      </c>
      <c r="H21" s="204" t="str">
        <f>IF(C21&lt;&gt;"",IF(D21&lt;&gt;"",C21&amp;"--"&amp;D21,C21),"")</f>
        <v/>
      </c>
    </row>
    <row r="22" spans="1:8" ht="51" customHeight="1">
      <c r="A22" s="10" t="s">
        <v>13</v>
      </c>
      <c r="B22" s="10" t="s">
        <v>14</v>
      </c>
      <c r="C22" s="164" t="s">
        <v>876</v>
      </c>
      <c r="D22" s="10" t="s">
        <v>873</v>
      </c>
      <c r="E22" s="10" t="s">
        <v>874</v>
      </c>
      <c r="F22" s="11"/>
      <c r="G22" s="12" t="str">
        <f>IF(OR(Table1[[#This Row],[English]]&lt;&gt;"",Table1[[#This Row],[Français]]&lt;&gt;""),Table1[[#This Row],[Français]]&amp;"//"&amp;Table1[[#This Row],[English]],"")</f>
        <v xml:space="preserve">Siège social //Corporate headquarters </v>
      </c>
      <c r="H22" s="13" t="str">
        <f t="shared" si="0"/>
        <v>Benson &amp; Randall Streets, Monrovia, Liberia--Cover page, cover page 2</v>
      </c>
    </row>
    <row r="23" spans="1:8">
      <c r="A23" s="10" t="s">
        <v>15</v>
      </c>
      <c r="B23" s="10" t="s">
        <v>16</v>
      </c>
      <c r="C23" s="164"/>
      <c r="D23" s="10"/>
      <c r="E23" s="10"/>
      <c r="F23" s="11"/>
      <c r="G23" s="12" t="str">
        <f>IF(OR(Table1[[#This Row],[English]]&lt;&gt;"",Table1[[#This Row],[Français]]&lt;&gt;""),Table1[[#This Row],[Français]]&amp;"//"&amp;Table1[[#This Row],[English]],"")</f>
        <v>Structure du Capital//Company structure</v>
      </c>
      <c r="H23" s="13" t="str">
        <f t="shared" si="0"/>
        <v/>
      </c>
    </row>
    <row r="24" spans="1:8" ht="59.25" customHeight="1">
      <c r="A24" s="67" t="s">
        <v>17</v>
      </c>
      <c r="B24" s="71" t="s">
        <v>189</v>
      </c>
      <c r="C24" s="163"/>
      <c r="D24" s="71"/>
      <c r="E24" s="71"/>
      <c r="F24" s="68"/>
      <c r="G24" s="69" t="str">
        <f>IF(OR(Table1[[#This Row],[English]]&lt;&gt;"",Table1[[#This Row],[Français]]&lt;&gt;""),Table1[[#This Row],[Français]]&amp;"//"&amp;Table1[[#This Row],[English]],"")</f>
        <v>Société(s) mère(s) ou affiliée(s) hors du pays, si diffèrent de celle(s) notée(s) ci-dessus; et leurs sièges sociales //Parent companies or affilates outside of the country, if different from the above mentioned; and their corporate headquarters</v>
      </c>
      <c r="H24" s="70" t="str">
        <f t="shared" si="0"/>
        <v/>
      </c>
    </row>
    <row r="25" spans="1:8">
      <c r="A25" s="71" t="s">
        <v>232</v>
      </c>
      <c r="B25" s="71" t="s">
        <v>233</v>
      </c>
      <c r="C25" s="163"/>
      <c r="D25" s="71"/>
      <c r="E25" s="71"/>
      <c r="F25" s="203"/>
      <c r="G25" s="16" t="str">
        <f>IF(OR(Table1[[#This Row],[English]]&lt;&gt;"",Table1[[#This Row],[Français]]&lt;&gt;""),Table1[[#This Row],[Français]]&amp;"//"&amp;Table1[[#This Row],[English]],"")</f>
        <v>Numéro d'entreprise légal//Legal Enterprise Identifier</v>
      </c>
      <c r="H25" s="204" t="str">
        <f>IF(C25&lt;&gt;"",IF(D25&lt;&gt;"",C25&amp;"--"&amp;D25,C25),"")</f>
        <v/>
      </c>
    </row>
    <row r="26" spans="1:8">
      <c r="A26" s="67" t="s">
        <v>18</v>
      </c>
      <c r="B26" s="67" t="s">
        <v>19</v>
      </c>
      <c r="C26" s="165"/>
      <c r="D26" s="154"/>
      <c r="E26" s="154"/>
      <c r="F26" s="68"/>
      <c r="G26" s="69" t="str">
        <f>IF(OR(Table1[[#This Row],[English]]&lt;&gt;"",Table1[[#This Row],[Français]]&lt;&gt;""),Table1[[#This Row],[Français]]&amp;"//"&amp;Table1[[#This Row],[English]],"")</f>
        <v>Site web de l’entreprise//Company website</v>
      </c>
      <c r="H26" s="70" t="str">
        <f t="shared" si="0"/>
        <v/>
      </c>
    </row>
    <row r="27" spans="1:8" ht="45">
      <c r="A27" s="71" t="s">
        <v>200</v>
      </c>
      <c r="B27" s="72" t="s">
        <v>20</v>
      </c>
      <c r="C27" s="203" t="s">
        <v>939</v>
      </c>
      <c r="D27" s="71" t="s">
        <v>875</v>
      </c>
      <c r="E27" s="71" t="s">
        <v>877</v>
      </c>
      <c r="F27" s="203"/>
      <c r="G27" s="69" t="str">
        <f>IF(OR(Table1[[#This Row],[English]]&lt;&gt;"",Table1[[#This Row],[Français]]&lt;&gt;""),Table1[[#This Row],[Français]]&amp;"//"&amp;Table1[[#This Row],[English]],"")</f>
        <v>Type du titre associé au contrat (concession, bail, contrat de partage, contrat de service…)//Type of document / right (Concession, Lease, Production Sharing Agreement, Service Agreement, etc.)</v>
      </c>
      <c r="H27" s="70" t="str">
        <f t="shared" si="0"/>
        <v>Timber sale contract--Cover page, Art. B2.1</v>
      </c>
    </row>
    <row r="28" spans="1:8">
      <c r="A28" s="67" t="s">
        <v>21</v>
      </c>
      <c r="B28" s="67" t="s">
        <v>22</v>
      </c>
      <c r="C28" s="165"/>
      <c r="D28" s="154"/>
      <c r="E28" s="154"/>
      <c r="F28" s="68"/>
      <c r="G28" s="69" t="str">
        <f>IF(OR(Table1[[#This Row],[English]]&lt;&gt;"",Table1[[#This Row],[Français]]&lt;&gt;""),Table1[[#This Row],[Français]]&amp;"//"&amp;Table1[[#This Row],[English]],"")</f>
        <v>Nom du projet//Project title</v>
      </c>
      <c r="H28" s="70" t="str">
        <f t="shared" si="0"/>
        <v/>
      </c>
    </row>
    <row r="29" spans="1:8" ht="60">
      <c r="A29" s="71" t="s">
        <v>197</v>
      </c>
      <c r="B29" s="72" t="s">
        <v>23</v>
      </c>
      <c r="C29" s="163" t="s">
        <v>878</v>
      </c>
      <c r="D29" s="71" t="s">
        <v>836</v>
      </c>
      <c r="E29" s="71" t="s">
        <v>867</v>
      </c>
      <c r="F29" s="68"/>
      <c r="G29" s="69" t="str">
        <f>IF(OR(Table1[[#This Row],[English]]&lt;&gt;"",Table1[[#This Row],[Français]]&lt;&gt;""),Table1[[#This Row],[Français]]&amp;"//"&amp;Table1[[#This Row],[English]],"")</f>
        <v>Nom du gisement/ champ de pétrole/ gas//Name and/or number of field, block or deposit</v>
      </c>
      <c r="H29" s="70" t="str">
        <f t="shared" si="0"/>
        <v>Region/Sector: # 2, County: Gbarpolu , Forest Name: TSC A-7--Cover page 2</v>
      </c>
    </row>
    <row r="30" spans="1:8" ht="69.75" customHeight="1">
      <c r="A30" s="76" t="s">
        <v>201</v>
      </c>
      <c r="B30" s="110" t="s">
        <v>857</v>
      </c>
      <c r="C30" s="163" t="s">
        <v>880</v>
      </c>
      <c r="D30" s="76" t="s">
        <v>833</v>
      </c>
      <c r="E30" s="71" t="s">
        <v>879</v>
      </c>
      <c r="F30" s="68"/>
      <c r="G30" s="69" t="str">
        <f>IF(OR(Table1[[#This Row],[English]]&lt;&gt;"",Table1[[#This Row],[Français]]&lt;&gt;""),Table1[[#This Row],[Français]]&amp;"//"&amp;Table1[[#This Row],[English]],"")</f>
        <v xml:space="preserve">Emplacement, longitude et latitude / terrestre vs marin (peu profond vs. profond) //Location, longitude and latitude / Onshore vs Offshore (shallow vs. deep) </v>
      </c>
      <c r="H30" s="70" t="str">
        <f t="shared" si="0"/>
        <v>Gbarpolu County: Concession area lies within Latitudes 7°8'24'' - 7°12'36'' North of the equator and Longitudes 10°11'24'' - 10°18'36'' West of the Greenwich meridian--Art. A1</v>
      </c>
    </row>
    <row r="31" spans="1:8">
      <c r="A31" s="67" t="s">
        <v>24</v>
      </c>
      <c r="B31" s="67" t="s">
        <v>25</v>
      </c>
      <c r="C31" s="165"/>
      <c r="D31" s="154"/>
      <c r="E31" s="154"/>
      <c r="F31" s="68"/>
      <c r="G31" s="69" t="str">
        <f>IF(OR(Table1[[#This Row],[English]]&lt;&gt;"",Table1[[#This Row],[Français]]&lt;&gt;""),Table1[[#This Row],[Français]]&amp;"//"&amp;Table1[[#This Row],[English]],"")</f>
        <v>Lieu-dit habité le plus proche//Closest community</v>
      </c>
      <c r="H31" s="70" t="str">
        <f t="shared" si="0"/>
        <v/>
      </c>
    </row>
    <row r="32" spans="1:8" ht="54" customHeight="1">
      <c r="A32" s="67" t="s">
        <v>26</v>
      </c>
      <c r="B32" s="67" t="s">
        <v>27</v>
      </c>
      <c r="C32" s="163"/>
      <c r="D32" s="71"/>
      <c r="E32" s="71"/>
      <c r="F32" s="68"/>
      <c r="G32" s="69" t="str">
        <f>IF(OR(Table1[[#This Row],[English]]&lt;&gt;"",Table1[[#This Row],[Français]]&lt;&gt;""),Table1[[#This Row],[Français]]&amp;"//"&amp;Table1[[#This Row],[English]],"")</f>
        <v>Date d'octroi du permis d'exploitation ou concession//Date of issue of title/permit</v>
      </c>
      <c r="H32" s="70" t="str">
        <f t="shared" si="0"/>
        <v/>
      </c>
    </row>
    <row r="33" spans="1:8" ht="45" customHeight="1">
      <c r="A33" s="67" t="s">
        <v>28</v>
      </c>
      <c r="B33" s="67" t="s">
        <v>29</v>
      </c>
      <c r="C33" s="165" t="str">
        <f>IF(C32&lt;&gt;"",YEAR(C32),"")</f>
        <v/>
      </c>
      <c r="D33" s="71"/>
      <c r="E33" s="71"/>
      <c r="F33" s="68"/>
      <c r="G33" s="69" t="str">
        <f>IF(OR(Table1[[#This Row],[English]]&lt;&gt;"",Table1[[#This Row],[Français]]&lt;&gt;""),Table1[[#This Row],[Français]]&amp;"//"&amp;Table1[[#This Row],[English]],"")</f>
        <v>Année d'octroi du permis d'exploitation ou concession//Year of issue of title/permit</v>
      </c>
      <c r="H33" s="70" t="str">
        <f t="shared" si="0"/>
        <v/>
      </c>
    </row>
    <row r="34" spans="1:8">
      <c r="A34" s="10" t="s">
        <v>30</v>
      </c>
      <c r="B34" s="10" t="s">
        <v>31</v>
      </c>
      <c r="C34" s="164"/>
      <c r="D34" s="10"/>
      <c r="E34" s="10"/>
      <c r="F34" s="11"/>
      <c r="G34" s="12" t="str">
        <f>IF(OR(Table1[[#This Row],[English]]&lt;&gt;"",Table1[[#This Row],[Français]]&lt;&gt;""),Table1[[#This Row],[Français]]&amp;"//"&amp;Table1[[#This Row],[English]],"")</f>
        <v>Date de ratification//Date of ratification</v>
      </c>
      <c r="H34" s="13" t="str">
        <f t="shared" si="0"/>
        <v/>
      </c>
    </row>
    <row r="35" spans="1:8">
      <c r="A35" s="10" t="s">
        <v>32</v>
      </c>
      <c r="B35" s="10" t="s">
        <v>33</v>
      </c>
      <c r="C35" s="164"/>
      <c r="D35" s="10"/>
      <c r="E35" s="10"/>
      <c r="F35" s="11"/>
      <c r="G35" s="12" t="str">
        <f>IF(OR(Table1[[#This Row],[English]]&lt;&gt;"",Table1[[#This Row],[Français]]&lt;&gt;""),Table1[[#This Row],[Français]]&amp;"//"&amp;Table1[[#This Row],[English]],"")</f>
        <v>Investissement estimé//Estimated investment</v>
      </c>
      <c r="H35" s="13" t="str">
        <f t="shared" si="0"/>
        <v/>
      </c>
    </row>
    <row r="36" spans="1:8">
      <c r="A36" s="10" t="s">
        <v>34</v>
      </c>
      <c r="B36" s="10" t="s">
        <v>35</v>
      </c>
      <c r="C36" s="164"/>
      <c r="D36" s="10"/>
      <c r="E36" s="10"/>
      <c r="F36" s="11"/>
      <c r="G36" s="12" t="str">
        <f>IF(OR(Table1[[#This Row],[English]]&lt;&gt;"",Table1[[#This Row],[Français]]&lt;&gt;""),Table1[[#This Row],[Français]]&amp;"//"&amp;Table1[[#This Row],[English]],"")</f>
        <v>Production attendue//Expected production</v>
      </c>
      <c r="H36" s="13" t="str">
        <f t="shared" si="0"/>
        <v/>
      </c>
    </row>
    <row r="37" spans="1:8">
      <c r="A37" s="14"/>
      <c r="B37" s="14"/>
      <c r="C37" s="166"/>
      <c r="D37" s="155"/>
      <c r="E37" s="155"/>
      <c r="F37" s="15"/>
      <c r="G37" s="16" t="str">
        <f>IF(OR(Table1[[#This Row],[English]]&lt;&gt;"",Table1[[#This Row],[Français]]&lt;&gt;""),Table1[[#This Row],[Français]]&amp;"//"&amp;Table1[[#This Row],[English]],"")</f>
        <v/>
      </c>
      <c r="H37" s="17" t="str">
        <f t="shared" si="0"/>
        <v/>
      </c>
    </row>
    <row r="38" spans="1:8" ht="30">
      <c r="A38" s="205" t="s">
        <v>36</v>
      </c>
      <c r="B38" s="205" t="s">
        <v>37</v>
      </c>
      <c r="C38" s="167"/>
      <c r="D38" s="156"/>
      <c r="E38" s="156"/>
      <c r="F38" s="18"/>
      <c r="G38" s="19" t="str">
        <f>IF(OR(Table1[[#This Row],[English]]&lt;&gt;"",Table1[[#This Row],[Français]]&lt;&gt;""),Table1[[#This Row],[Français]]&amp;"//"&amp;Table1[[#This Row],[English]],"")</f>
        <v>II. Résumé des dispositions du contrat//II. Summary of terms</v>
      </c>
      <c r="H38" s="20" t="str">
        <f t="shared" si="0"/>
        <v/>
      </c>
    </row>
    <row r="39" spans="1:8" ht="30">
      <c r="A39" s="21" t="s">
        <v>38</v>
      </c>
      <c r="B39" s="18" t="s">
        <v>39</v>
      </c>
      <c r="C39" s="167"/>
      <c r="D39" s="156"/>
      <c r="E39" s="156"/>
      <c r="F39" s="18"/>
      <c r="G39" s="19" t="str">
        <f>IF(OR(Table1[[#This Row],[English]]&lt;&gt;"",Table1[[#This Row],[Français]]&lt;&gt;""),Table1[[#This Row],[Français]]&amp;"//"&amp;Table1[[#This Row],[English]],"")</f>
        <v>1. Dispositions du base//1. Fundamental provisions</v>
      </c>
      <c r="H39" s="20" t="str">
        <f t="shared" si="0"/>
        <v/>
      </c>
    </row>
    <row r="40" spans="1:8" ht="35.25" customHeight="1">
      <c r="A40" s="67" t="s">
        <v>40</v>
      </c>
      <c r="B40" s="67" t="s">
        <v>41</v>
      </c>
      <c r="C40" s="163" t="s">
        <v>883</v>
      </c>
      <c r="D40" s="71" t="s">
        <v>830</v>
      </c>
      <c r="E40" s="71" t="s">
        <v>832</v>
      </c>
      <c r="F40" s="73"/>
      <c r="G40" s="74" t="str">
        <f>IF(OR(Table1[[#This Row],[English]]&lt;&gt;"",Table1[[#This Row],[Français]]&lt;&gt;""),Table1[[#This Row],[Français]]&amp;"//"&amp;Table1[[#This Row],[English]],"")</f>
        <v>Nom de la société signataire du contrat et composition des actionnaires mentionnés dans le document//Name of company executing the document and composition of the shareholders</v>
      </c>
      <c r="H40" s="70" t="str">
        <f t="shared" si="0"/>
        <v>Bargor &amp; Bargor Enterprise, Inc.--Cover page</v>
      </c>
    </row>
    <row r="41" spans="1:8">
      <c r="A41" s="71" t="s">
        <v>232</v>
      </c>
      <c r="B41" s="71" t="s">
        <v>233</v>
      </c>
      <c r="C41" s="163"/>
      <c r="D41" s="71"/>
      <c r="E41" s="71"/>
      <c r="F41" s="203"/>
      <c r="G41" s="16" t="str">
        <f>IF(OR(Table1[[#This Row],[English]]&lt;&gt;"",Table1[[#This Row],[Français]]&lt;&gt;""),Table1[[#This Row],[Français]]&amp;"//"&amp;Table1[[#This Row],[English]],"")</f>
        <v>Numéro d'entreprise légal//Legal Enterprise Identifier</v>
      </c>
      <c r="H41" s="204" t="str">
        <f>IF(C41&lt;&gt;"",IF(D41&lt;&gt;"",C41&amp;"--"&amp;D41,C41),"")</f>
        <v/>
      </c>
    </row>
    <row r="42" spans="1:8" ht="30.75" customHeight="1">
      <c r="A42" s="10" t="s">
        <v>42</v>
      </c>
      <c r="B42" s="10" t="s">
        <v>43</v>
      </c>
      <c r="C42" s="164" t="s">
        <v>882</v>
      </c>
      <c r="D42" s="104" t="s">
        <v>834</v>
      </c>
      <c r="E42" s="104" t="s">
        <v>881</v>
      </c>
      <c r="F42" s="22"/>
      <c r="G42" s="23" t="str">
        <f>IF(OR(Table1[[#This Row],[English]]&lt;&gt;"",Table1[[#This Row],[Français]]&lt;&gt;""),Table1[[#This Row],[Français]]&amp;"//"&amp;Table1[[#This Row],[English]],"")</f>
        <v>Signataire(s), société //Signatories, company</v>
      </c>
      <c r="H42" s="13" t="str">
        <f t="shared" si="0"/>
        <v>Alfred D. Bargor, Bargor &amp; Bargor Enterprise, Inc.--Signature page</v>
      </c>
    </row>
    <row r="43" spans="1:8" ht="42" customHeight="1">
      <c r="A43" s="67" t="s">
        <v>44</v>
      </c>
      <c r="B43" s="67" t="s">
        <v>45</v>
      </c>
      <c r="C43" s="163" t="s">
        <v>835</v>
      </c>
      <c r="D43" s="76" t="s">
        <v>830</v>
      </c>
      <c r="E43" s="76" t="s">
        <v>831</v>
      </c>
      <c r="F43" s="73"/>
      <c r="G43" s="74" t="str">
        <f>IF(OR(Table1[[#This Row],[English]]&lt;&gt;"",Table1[[#This Row],[Français]]&lt;&gt;""),Table1[[#This Row],[Français]]&amp;"//"&amp;Table1[[#This Row],[English]],"")</f>
        <v>Agence de l'Etat, société nationale, ministère signataire du contrat//State agency, national company, ministry executing the document</v>
      </c>
      <c r="H43" s="70" t="str">
        <f t="shared" si="0"/>
        <v>Forestry Development Authority --Cover page</v>
      </c>
    </row>
    <row r="44" spans="1:8" ht="48" customHeight="1">
      <c r="A44" s="10" t="s">
        <v>46</v>
      </c>
      <c r="B44" s="10" t="s">
        <v>47</v>
      </c>
      <c r="C44" s="164" t="s">
        <v>850</v>
      </c>
      <c r="D44" s="10" t="s">
        <v>834</v>
      </c>
      <c r="E44" s="10" t="s">
        <v>881</v>
      </c>
      <c r="F44" s="22"/>
      <c r="G44" s="23" t="str">
        <f>IF(OR(Table1[[#This Row],[English]]&lt;&gt;"",Table1[[#This Row],[Français]]&lt;&gt;""),Table1[[#This Row],[Français]]&amp;"//"&amp;Table1[[#This Row],[English]],"")</f>
        <v>Signataire(s), Etat//Signatories, State</v>
      </c>
      <c r="H44" s="13" t="str">
        <f t="shared" si="0"/>
        <v>John T. Woods, Forestry Development Authority , Tom Downing, Gemap Comptroller/FDA--Signature page</v>
      </c>
    </row>
    <row r="45" spans="1:8" ht="47" customHeight="1">
      <c r="A45" s="67" t="s">
        <v>48</v>
      </c>
      <c r="B45" s="67" t="s">
        <v>49</v>
      </c>
      <c r="C45" s="165"/>
      <c r="D45" s="157"/>
      <c r="E45" s="157"/>
      <c r="F45" s="73"/>
      <c r="G45" s="74" t="str">
        <f>IF(OR(Table1[[#This Row],[English]]&lt;&gt;"",Table1[[#This Row],[Français]]&lt;&gt;""),Table1[[#This Row],[Français]]&amp;"//"&amp;Table1[[#This Row],[English]],"")</f>
        <v>Nom et/ou composition de la société du projet crée ou envisagée//Name and/or composition of the company created or anticipated</v>
      </c>
      <c r="H45" s="70" t="str">
        <f t="shared" si="0"/>
        <v/>
      </c>
    </row>
    <row r="46" spans="1:8" ht="45">
      <c r="A46" s="10" t="s">
        <v>174</v>
      </c>
      <c r="B46" s="61" t="s">
        <v>166</v>
      </c>
      <c r="C46" s="168"/>
      <c r="D46" s="57"/>
      <c r="E46" s="57"/>
      <c r="F46" s="58"/>
      <c r="G46" s="59" t="str">
        <f>IF(OR(Table1[[#This Row],[English]]&lt;&gt;"",Table1[[#This Row],[Français]]&lt;&gt;""),Table1[[#This Row],[Français]]&amp;"//"&amp;Table1[[#This Row],[English]],"")</f>
        <v>Nom de la partie tiers (si applicable)//Name of third party to contract (where applicable)</v>
      </c>
      <c r="H46" s="60" t="str">
        <f>IF(C46&lt;&gt;"",IF(D46&lt;&gt;"",C46&amp;"--"&amp;D46,C46),"")</f>
        <v/>
      </c>
    </row>
    <row r="47" spans="1:8" ht="30">
      <c r="A47" s="67" t="s">
        <v>50</v>
      </c>
      <c r="B47" s="67" t="s">
        <v>51</v>
      </c>
      <c r="C47" s="222">
        <v>39626</v>
      </c>
      <c r="D47" s="218" t="s">
        <v>836</v>
      </c>
      <c r="E47" s="218" t="s">
        <v>867</v>
      </c>
      <c r="F47" s="73"/>
      <c r="G47" s="74" t="str">
        <f>IF(OR(Table1[[#This Row],[English]]&lt;&gt;"",Table1[[#This Row],[Français]]&lt;&gt;""),Table1[[#This Row],[Français]]&amp;"//"&amp;Table1[[#This Row],[English]],"")</f>
        <v>Date de signature du contrat//Date of contract signature</v>
      </c>
      <c r="H47" s="70" t="str">
        <f t="shared" si="0"/>
        <v>39626--Cover page 2</v>
      </c>
    </row>
    <row r="48" spans="1:8" ht="30">
      <c r="A48" s="71" t="s">
        <v>52</v>
      </c>
      <c r="B48" s="67" t="s">
        <v>53</v>
      </c>
      <c r="C48" s="165">
        <f>IF(C47&lt;&gt;"",YEAR(C47),"")</f>
        <v>2008</v>
      </c>
      <c r="D48" s="218" t="s">
        <v>836</v>
      </c>
      <c r="E48" s="218" t="s">
        <v>867</v>
      </c>
      <c r="F48" s="73"/>
      <c r="G48" s="74" t="str">
        <f>IF(OR(Table1[[#This Row],[English]]&lt;&gt;"",Table1[[#This Row],[Français]]&lt;&gt;""),Table1[[#This Row],[Français]]&amp;"//"&amp;Table1[[#This Row],[English]],"")</f>
        <v>Année de signature du contrat//Year of contract signature</v>
      </c>
      <c r="H48" s="70" t="str">
        <f t="shared" si="0"/>
        <v>2008--Cover page 2</v>
      </c>
    </row>
    <row r="49" spans="1:8" ht="27" customHeight="1">
      <c r="A49" s="67" t="s">
        <v>54</v>
      </c>
      <c r="B49" s="67" t="s">
        <v>55</v>
      </c>
      <c r="C49" s="163" t="s">
        <v>837</v>
      </c>
      <c r="D49" s="76" t="s">
        <v>836</v>
      </c>
      <c r="E49" s="71" t="s">
        <v>867</v>
      </c>
      <c r="F49" s="73"/>
      <c r="G49" s="74" t="str">
        <f>IF(OR(Table1[[#This Row],[English]]&lt;&gt;"",Table1[[#This Row],[Français]]&lt;&gt;""),Table1[[#This Row],[Français]]&amp;"//"&amp;Table1[[#This Row],[English]],"")</f>
        <v>Durée//Term</v>
      </c>
      <c r="H49" s="70" t="str">
        <f t="shared" si="0"/>
        <v>3 years--Cover page 2</v>
      </c>
    </row>
    <row r="50" spans="1:8" ht="45">
      <c r="A50" s="10" t="s">
        <v>56</v>
      </c>
      <c r="B50" s="10" t="s">
        <v>57</v>
      </c>
      <c r="C50" s="164" t="s">
        <v>838</v>
      </c>
      <c r="D50" s="10" t="s">
        <v>839</v>
      </c>
      <c r="E50" s="10" t="s">
        <v>884</v>
      </c>
      <c r="F50" s="22"/>
      <c r="G50" s="23" t="str">
        <f>IF(OR(Table1[[#This Row],[English]]&lt;&gt;"",Table1[[#This Row],[Français]]&lt;&gt;""),Table1[[#This Row],[Français]]&amp;"//"&amp;Table1[[#This Row],[English]],"")</f>
        <v xml:space="preserve">Conditions de renouvellement//Conditions for renewal </v>
      </c>
      <c r="H50" s="13" t="str">
        <f t="shared" si="0"/>
        <v>The contract is not renewable--Art. B2.2</v>
      </c>
    </row>
    <row r="51" spans="1:8" ht="42" customHeight="1">
      <c r="A51" s="71" t="s">
        <v>224</v>
      </c>
      <c r="B51" s="72" t="s">
        <v>858</v>
      </c>
      <c r="C51" s="230" t="s">
        <v>940</v>
      </c>
      <c r="D51" s="71" t="s">
        <v>840</v>
      </c>
      <c r="E51" s="71" t="s">
        <v>885</v>
      </c>
      <c r="F51" s="230" t="s">
        <v>940</v>
      </c>
      <c r="G51" s="74" t="str">
        <f>IF(OR(Table1[[#This Row],[English]]&lt;&gt;"",Table1[[#This Row],[Français]]&lt;&gt;""),Table1[[#This Row],[Français]]&amp;"//"&amp;Table1[[#This Row],[English]],"")</f>
        <v>Ressource(s) concernées (type de minéral, pétrole, gas, bois) ou les récoltes/denrées//Type of resources (mineral type, crude oil, gas, timber, etc.) OR specific crops planned (ex: food crops, oil palm, etc.)</v>
      </c>
      <c r="H51" s="70" t="str">
        <f t="shared" si="0"/>
        <v>Timber (Wood)--Art. B2.1</v>
      </c>
    </row>
    <row r="52" spans="1:8" ht="42" customHeight="1">
      <c r="A52" s="118" t="s">
        <v>213</v>
      </c>
      <c r="B52" s="118" t="s">
        <v>212</v>
      </c>
      <c r="C52" s="180" t="s">
        <v>841</v>
      </c>
      <c r="D52" s="56" t="s">
        <v>833</v>
      </c>
      <c r="E52" s="56" t="s">
        <v>879</v>
      </c>
      <c r="F52" s="118"/>
      <c r="G52" s="125" t="str">
        <f>IF(OR(Table1[[#This Row],[English]]&lt;&gt;"",Table1[[#This Row],[Français]]&lt;&gt;""),Table1[[#This Row],[Français]]&amp;"//"&amp;Table1[[#This Row],[English]],"")</f>
        <v>Superficie de la concession//Size of the concession area</v>
      </c>
      <c r="H52" s="126" t="str">
        <f>IF(C52&lt;&gt;"",IF(D52&lt;&gt;"",C52&amp;"--"&amp;D52,C52),"")</f>
        <v>5,000 ha--Art. A1</v>
      </c>
    </row>
    <row r="53" spans="1:8">
      <c r="A53" s="14"/>
      <c r="B53" s="14"/>
      <c r="C53" s="166"/>
      <c r="D53" s="155"/>
      <c r="E53" s="155"/>
      <c r="F53" s="15"/>
      <c r="G53" s="16" t="str">
        <f>IF(OR(Table1[[#This Row],[English]]&lt;&gt;"",Table1[[#This Row],[Français]]&lt;&gt;""),Table1[[#This Row],[Français]]&amp;"//"&amp;Table1[[#This Row],[English]],"")</f>
        <v/>
      </c>
      <c r="H53" s="17" t="str">
        <f t="shared" si="0"/>
        <v/>
      </c>
    </row>
    <row r="54" spans="1:8" ht="49.5" customHeight="1">
      <c r="A54" s="62" t="s">
        <v>58</v>
      </c>
      <c r="B54" s="63" t="s">
        <v>188</v>
      </c>
      <c r="C54" s="167"/>
      <c r="D54" s="156"/>
      <c r="E54" s="156"/>
      <c r="F54" s="18"/>
      <c r="G54" s="19" t="str">
        <f>IF(OR(Table1[[#This Row],[English]]&lt;&gt;"",Table1[[#This Row],[Français]]&lt;&gt;""),Table1[[#This Row],[Français]]&amp;"//"&amp;Table1[[#This Row],[English]],"")</f>
        <v>2. Obligations à l'égard des communautés, la protection sociale et l’économie locale/régionale//2. Community and social obligations</v>
      </c>
      <c r="H54" s="20" t="str">
        <f t="shared" si="0"/>
        <v/>
      </c>
    </row>
    <row r="55" spans="1:8" ht="105" customHeight="1">
      <c r="A55" s="75" t="s">
        <v>59</v>
      </c>
      <c r="B55" s="67" t="s">
        <v>60</v>
      </c>
      <c r="C55" s="163" t="s">
        <v>919</v>
      </c>
      <c r="D55" s="154" t="s">
        <v>866</v>
      </c>
      <c r="E55" s="154" t="s">
        <v>869</v>
      </c>
      <c r="F55" s="68"/>
      <c r="G55" s="69" t="str">
        <f>IF(OR(Table1[[#This Row],[English]]&lt;&gt;"",Table1[[#This Row],[Français]]&lt;&gt;""),Table1[[#This Row],[Français]]&amp;"//"&amp;Table1[[#This Row],[English]],"")</f>
        <v>Convention de développement local//Local development agreement</v>
      </c>
      <c r="H55" s="70" t="str">
        <f t="shared" si="0"/>
        <v>Bargor &amp; Bargor Enterprise shall complete the Social Agreements required under Regulation 105-07. The Social Agreements, once attested to by the Forestry Development Authority, then become part of the contract and, if breached, are treated like a breach of the contract.--Art. B3.1</v>
      </c>
    </row>
    <row r="56" spans="1:8" ht="87.75" customHeight="1">
      <c r="A56" s="10" t="s">
        <v>225</v>
      </c>
      <c r="B56" s="10" t="s">
        <v>61</v>
      </c>
      <c r="C56" s="164" t="s">
        <v>915</v>
      </c>
      <c r="D56" s="10" t="s">
        <v>842</v>
      </c>
      <c r="E56" s="10" t="s">
        <v>887</v>
      </c>
      <c r="F56" s="11"/>
      <c r="G56" s="12" t="str">
        <f>IF(OR(Table1[[#This Row],[English]]&lt;&gt;"",Table1[[#This Row],[Français]]&lt;&gt;""),Table1[[#This Row],[Français]]&amp;"//"&amp;Table1[[#This Row],[English]],"")</f>
        <v>Protection des lieux sacrés, des ressources et du milieu de vie//Protection of sacred locations, resources and environment</v>
      </c>
      <c r="H56" s="13" t="str">
        <f t="shared" si="0"/>
        <v>Bargor &amp; Bargor Enterprise shall identify areas requiring special measures for the protection of cultural resources in the annual operational plan. It shall describe these special measures and protect these areas from damage or removal during its operations.--Art. B6.34</v>
      </c>
    </row>
    <row r="57" spans="1:8" ht="45">
      <c r="A57" s="71" t="s">
        <v>228</v>
      </c>
      <c r="B57" s="67" t="s">
        <v>62</v>
      </c>
      <c r="C57" s="165"/>
      <c r="D57" s="154"/>
      <c r="E57" s="154"/>
      <c r="F57" s="73"/>
      <c r="G57" s="74" t="str">
        <f>IF(OR(Table1[[#This Row],[English]]&lt;&gt;"",Table1[[#This Row],[Français]]&lt;&gt;""),Table1[[#This Row],[Français]]&amp;"//"&amp;Table1[[#This Row],[English]],"")</f>
        <v xml:space="preserve">Consultations communautaires requises//Requirements for community consultation </v>
      </c>
      <c r="H57" s="70" t="str">
        <f t="shared" si="0"/>
        <v/>
      </c>
    </row>
    <row r="58" spans="1:8" ht="39.75" customHeight="1">
      <c r="A58" s="10" t="s">
        <v>229</v>
      </c>
      <c r="B58" s="10" t="s">
        <v>63</v>
      </c>
      <c r="C58" s="164"/>
      <c r="D58" s="10"/>
      <c r="E58" s="10"/>
      <c r="F58" s="22"/>
      <c r="G58" s="23" t="str">
        <f>IF(OR(Table1[[#This Row],[English]]&lt;&gt;"",Table1[[#This Row],[Français]]&lt;&gt;""),Table1[[#This Row],[Français]]&amp;"//"&amp;Table1[[#This Row],[English]],"")</f>
        <v>Obligations liées a la formation des cadres locaux//Management training requirement for nationals</v>
      </c>
      <c r="H58" s="13" t="str">
        <f t="shared" si="0"/>
        <v/>
      </c>
    </row>
    <row r="59" spans="1:8" ht="101.25" customHeight="1">
      <c r="A59" s="71" t="s">
        <v>226</v>
      </c>
      <c r="B59" s="67" t="s">
        <v>64</v>
      </c>
      <c r="C59" s="170" t="s">
        <v>916</v>
      </c>
      <c r="D59" s="71" t="s">
        <v>843</v>
      </c>
      <c r="E59" s="71" t="s">
        <v>888</v>
      </c>
      <c r="F59" s="73"/>
      <c r="G59" s="74" t="str">
        <f>IF(OR(Table1[[#This Row],[English]]&lt;&gt;"",Table1[[#This Row],[Français]]&lt;&gt;""),Table1[[#This Row],[Français]]&amp;"//"&amp;Table1[[#This Row],[English]],"")</f>
        <v>Obligations liées à l'emploi du personnel local//Local employment requirements</v>
      </c>
      <c r="H59" s="70" t="str">
        <f t="shared" si="0"/>
        <v>Bargor &amp; Bargor Enterprise shall give preference to competent and qualified ECOWAS (Economic Community of West African States) citizens in the selection of employees to conduct its contractual operations, and is not to import unskilled labor from outside the ECOWAS nations --Art. B3.33</v>
      </c>
    </row>
    <row r="60" spans="1:8" ht="45.75" customHeight="1">
      <c r="A60" s="71" t="s">
        <v>227</v>
      </c>
      <c r="B60" s="67" t="s">
        <v>65</v>
      </c>
      <c r="C60" s="165"/>
      <c r="D60" s="71"/>
      <c r="E60" s="71"/>
      <c r="F60" s="73"/>
      <c r="G60" s="74" t="str">
        <f>IF(OR(Table1[[#This Row],[English]]&lt;&gt;"",Table1[[#This Row],[Français]]&lt;&gt;""),Table1[[#This Row],[Français]]&amp;"//"&amp;Table1[[#This Row],[English]],"")</f>
        <v>Obligations liées a l'approvisionnement en biens et services locaux//Local procurement requirements</v>
      </c>
      <c r="H60" s="70" t="str">
        <f t="shared" si="0"/>
        <v/>
      </c>
    </row>
    <row r="61" spans="1:8">
      <c r="A61" s="10" t="s">
        <v>66</v>
      </c>
      <c r="B61" s="10" t="s">
        <v>67</v>
      </c>
      <c r="C61" s="164"/>
      <c r="D61" s="10"/>
      <c r="E61" s="10"/>
      <c r="F61" s="22"/>
      <c r="G61" s="23" t="str">
        <f>IF(OR(Table1[[#This Row],[English]]&lt;&gt;"",Table1[[#This Row],[Français]]&lt;&gt;""),Table1[[#This Row],[Français]]&amp;"//"&amp;Table1[[#This Row],[English]],"")</f>
        <v>Assurance//Insurance</v>
      </c>
      <c r="H61" s="13" t="str">
        <f t="shared" si="0"/>
        <v/>
      </c>
    </row>
    <row r="62" spans="1:8" ht="20.25" customHeight="1">
      <c r="A62" s="76" t="s">
        <v>202</v>
      </c>
      <c r="B62" s="76" t="s">
        <v>203</v>
      </c>
      <c r="C62" s="170"/>
      <c r="D62" s="76"/>
      <c r="E62" s="76"/>
      <c r="F62" s="77"/>
      <c r="G62" s="78" t="str">
        <f>IF(OR(Table1[[#This Row],[English]]&lt;&gt;"",Table1[[#This Row],[Français]]&lt;&gt;""),Table1[[#This Row],[Français]]&amp;"//"&amp;Table1[[#This Row],[English]],"")</f>
        <v>Réinstallation des habitants//Resettlement</v>
      </c>
      <c r="H62" s="79" t="str">
        <f t="shared" si="0"/>
        <v/>
      </c>
    </row>
    <row r="63" spans="1:8" ht="34.5" customHeight="1">
      <c r="A63" s="131" t="s">
        <v>859</v>
      </c>
      <c r="B63" s="131" t="s">
        <v>218</v>
      </c>
      <c r="C63" s="171"/>
      <c r="D63" s="131"/>
      <c r="E63" s="131"/>
      <c r="F63" s="132"/>
      <c r="G63" s="133" t="str">
        <f>IF(OR(Table1[[#This Row],[English]]&lt;&gt;"",Table1[[#This Row],[Français]]&lt;&gt;""),Table1[[#This Row],[Français]]&amp;"//"&amp;Table1[[#This Row],[English]],"")</f>
        <v>Programme de sous-traitance avec les petits planteurs (détails, des terres supplémentaires fournis, etc)//Outgrowers Program (details, additional land provided, etc)</v>
      </c>
      <c r="H63" s="134" t="str">
        <f t="shared" ref="H63:H66" si="1">IF(C63&lt;&gt;"",IF(D63&lt;&gt;"",C63&amp;"--"&amp;D63,C63),"")</f>
        <v/>
      </c>
    </row>
    <row r="64" spans="1:8" ht="180.75" customHeight="1">
      <c r="A64" s="123" t="s">
        <v>181</v>
      </c>
      <c r="B64" s="10" t="s">
        <v>180</v>
      </c>
      <c r="C64" s="164" t="s">
        <v>886</v>
      </c>
      <c r="D64" s="10" t="s">
        <v>854</v>
      </c>
      <c r="E64" s="10" t="s">
        <v>868</v>
      </c>
      <c r="F64" s="22"/>
      <c r="G64" s="109" t="str">
        <f>IF(OR(Table1[[#This Row],[English]]&lt;&gt;"",Table1[[#This Row],[Français]]&lt;&gt;""),Table1[[#This Row],[Français]]&amp;"//"&amp;Table1[[#This Row],[English]],"")</f>
        <v>Obligations concernant les travailleurs ou les habitants dans ou près des concessions en ce qui concerne la santé et la sécurité au travail, l'accès à l'eau potable, le logement, les soins médicaux ou l'éducation//Requirements regarding workers or farm/concession dwellers within concession areas or in nearby communities in respect of occupational health and safety, access to clean water, housing, medical care, or education</v>
      </c>
      <c r="H64" s="51" t="str">
        <f t="shared" si="1"/>
        <v>Bargor &amp; Bargor Enterprise shall follow internationally recognized, modern safety precautions in all activities and shall comply with written safety instructions supplied by the Government. Bargor &amp; Bargor Enterprise shall follow internationally recognized, modern measures for the protection of general health and safety of its employees and shall comply with written public health instructions given in writing by the Government.--Arts. B3.31-B3.32</v>
      </c>
    </row>
    <row r="65" spans="1:8" ht="83.25" customHeight="1">
      <c r="A65" s="83" t="s">
        <v>183</v>
      </c>
      <c r="B65" s="82" t="s">
        <v>182</v>
      </c>
      <c r="C65" s="173" t="s">
        <v>917</v>
      </c>
      <c r="D65" s="76" t="s">
        <v>844</v>
      </c>
      <c r="E65" s="76" t="s">
        <v>889</v>
      </c>
      <c r="F65" s="77"/>
      <c r="G65" s="80" t="str">
        <f>IF(OR(Table1[[#This Row],[English]]&lt;&gt;"",Table1[[#This Row],[Français]]&lt;&gt;""),Table1[[#This Row],[Français]]&amp;"//"&amp;Table1[[#This Row],[English]],"")</f>
        <v>La sécurité physique, la protection de la propriété, et / ou l'utilisation des gardes//Physical security, protection of property, and/or use of guards</v>
      </c>
      <c r="H65" s="81" t="str">
        <f t="shared" si="1"/>
        <v>Bargor &amp; Bargor Enterprise shall use all reasonable means to prevent encroachment by unauthorized persons in to the contract area, but it shall not employ or in any way use armed security guards for any purpose--Art. B6.31</v>
      </c>
    </row>
    <row r="66" spans="1:8" ht="34" customHeight="1">
      <c r="A66" s="144" t="s">
        <v>185</v>
      </c>
      <c r="B66" s="145" t="s">
        <v>186</v>
      </c>
      <c r="C66" s="174"/>
      <c r="D66" s="158"/>
      <c r="E66" s="146"/>
      <c r="F66" s="147"/>
      <c r="G66" s="148" t="str">
        <f>IF(OR(Table1[[#This Row],[English]]&lt;&gt;"",Table1[[#This Row],[Français]]&lt;&gt;""),Table1[[#This Row],[Français]]&amp;"//"&amp;Table1[[#This Row],[English]],"")</f>
        <v>Mécanismes de réclamation pour les parties non contractantes//Grievance mechanisms for non-contractual harms to non-contracting parties</v>
      </c>
      <c r="H66" s="149" t="str">
        <f t="shared" si="1"/>
        <v/>
      </c>
    </row>
    <row r="67" spans="1:8" ht="408.75" customHeight="1">
      <c r="A67" s="122" t="s">
        <v>211</v>
      </c>
      <c r="B67" s="118" t="s">
        <v>210</v>
      </c>
      <c r="C67" s="180" t="s">
        <v>938</v>
      </c>
      <c r="D67" s="10" t="s">
        <v>845</v>
      </c>
      <c r="E67" s="10" t="s">
        <v>890</v>
      </c>
      <c r="F67" s="124"/>
      <c r="G67" s="125" t="str">
        <f>IF(OR(Table1[[#This Row],[English]]&lt;&gt;"",Table1[[#This Row],[Français]]&lt;&gt;""),Table1[[#This Row],[Français]]&amp;"//"&amp;Table1[[#This Row],[English]],"")</f>
        <v xml:space="preserve">Droits d'accès/utilisation à la zone de concession pour les parties non contractantes qui utilisaient la terre au préalable (y compris l'agriculture indépendante autorisée dans la zone de concession)//Rights of non-contracting parties to access/use concession area (including permitted independent farming in concession area) </v>
      </c>
      <c r="H67" s="126" t="str">
        <f>IF(C67&lt;&gt;"",IF(D67&lt;&gt;"",C67&amp;"--"&amp;D67,C67),"")</f>
        <v>The rights of private land owners and the public are governed by Chapters 11 and 12 of the National Forestry Reform Law of 2006, and Bargor &amp; Bargor Enterprise agrees to respect those rights. In addition, the Government reserves the right to, among other things, access, or to allow others access, to the contract area for the purpose of exploring for or exploiting minerals or other substances or any reasonable investigation, provided Bargor &amp; Bargor Enterprise's operations and activities shall not be unduly interfered with or its rights prejudiced. If its property is damaged as a result of such exploration, investigation or exploitation, the Government agrees to provide fair compensation for such damage. The Government also reserves the right to, among other things, take from the contract area timber and forest products (flora, fauna, and micro-organisms with social or economic value) that are required for public purposes, or allow others to access the contract area for traditional and customary community uses of timber and forest products, provided Bargor &amp; Bargor Enterprise's operations and activities shall not be unduly interfered with or its rights prejudiced.--Art. B2.11</v>
      </c>
    </row>
    <row r="68" spans="1:8">
      <c r="A68" s="24"/>
      <c r="B68" s="24"/>
      <c r="C68" s="181"/>
      <c r="D68" s="193"/>
      <c r="E68" s="193"/>
      <c r="F68" s="15"/>
      <c r="G68" s="16" t="str">
        <f>IF(OR(Table1[[#This Row],[English]]&lt;&gt;"",Table1[[#This Row],[Français]]&lt;&gt;""),Table1[[#This Row],[Français]]&amp;"//"&amp;Table1[[#This Row],[English]],"")</f>
        <v/>
      </c>
      <c r="H68" s="25" t="str">
        <f t="shared" si="0"/>
        <v/>
      </c>
    </row>
    <row r="69" spans="1:8" ht="29" customHeight="1">
      <c r="A69" s="62" t="s">
        <v>68</v>
      </c>
      <c r="B69" s="26" t="s">
        <v>69</v>
      </c>
      <c r="C69" s="167"/>
      <c r="D69" s="156"/>
      <c r="E69" s="156"/>
      <c r="F69" s="18"/>
      <c r="G69" s="19" t="str">
        <f>IF(OR(Table1[[#This Row],[English]]&lt;&gt;"",Table1[[#This Row],[Français]]&lt;&gt;""),Table1[[#This Row],[Français]]&amp;"//"&amp;Table1[[#This Row],[English]],"")</f>
        <v>3. Obligations financières du détenteur du titre//3. Developer's financial obligations</v>
      </c>
      <c r="H69" s="20" t="str">
        <f t="shared" si="0"/>
        <v/>
      </c>
    </row>
    <row r="70" spans="1:8" ht="70" customHeight="1">
      <c r="A70" s="84" t="s">
        <v>70</v>
      </c>
      <c r="B70" s="85" t="s">
        <v>71</v>
      </c>
      <c r="C70" s="85"/>
      <c r="D70" s="150"/>
      <c r="E70" s="150"/>
      <c r="F70" s="86"/>
      <c r="G70" s="87" t="str">
        <f>IF(OR(Table1[[#This Row],[English]]&lt;&gt;"",Table1[[#This Row],[Français]]&lt;&gt;""),Table1[[#This Row],[Français]]&amp;"//"&amp;Table1[[#This Row],[English]],"")</f>
        <v>Taxe minière / redevance//Mining tax / royalty tax</v>
      </c>
      <c r="H70" s="88" t="str">
        <f t="shared" si="0"/>
        <v/>
      </c>
    </row>
    <row r="71" spans="1:8" ht="36" customHeight="1">
      <c r="A71" s="84" t="s">
        <v>72</v>
      </c>
      <c r="B71" s="85" t="s">
        <v>73</v>
      </c>
      <c r="C71" s="175"/>
      <c r="D71" s="150"/>
      <c r="E71" s="150"/>
      <c r="F71" s="86"/>
      <c r="G71" s="87" t="str">
        <f>IF(OR(Table1[[#This Row],[English]]&lt;&gt;"",Table1[[#This Row],[Français]]&lt;&gt;""),Table1[[#This Row],[Français]]&amp;"//"&amp;Table1[[#This Row],[English]],"")</f>
        <v>Impôt sur les bénéfices: taux//Income tax: rate</v>
      </c>
      <c r="H71" s="88" t="str">
        <f t="shared" si="0"/>
        <v/>
      </c>
    </row>
    <row r="72" spans="1:8">
      <c r="A72" s="85" t="s">
        <v>219</v>
      </c>
      <c r="B72" s="85" t="s">
        <v>74</v>
      </c>
      <c r="C72" s="176"/>
      <c r="D72" s="159"/>
      <c r="E72" s="159"/>
      <c r="F72" s="86"/>
      <c r="G72" s="87" t="str">
        <f>IF(OR(Table1[[#This Row],[English]]&lt;&gt;"",Table1[[#This Row],[Français]]&lt;&gt;""),Table1[[#This Row],[Français]]&amp;"//"&amp;Table1[[#This Row],[English]],"")</f>
        <v>Impôt sur les bénéfices: exonération//Income tax: exemptions</v>
      </c>
      <c r="H72" s="88" t="str">
        <f t="shared" si="0"/>
        <v/>
      </c>
    </row>
    <row r="73" spans="1:8" ht="45">
      <c r="A73" s="85" t="s">
        <v>220</v>
      </c>
      <c r="B73" s="85" t="s">
        <v>75</v>
      </c>
      <c r="C73" s="176"/>
      <c r="D73" s="159"/>
      <c r="E73" s="159"/>
      <c r="F73" s="86"/>
      <c r="G73" s="87" t="str">
        <f>IF(OR(Table1[[#This Row],[English]]&lt;&gt;"",Table1[[#This Row],[Français]]&lt;&gt;""),Table1[[#This Row],[Français]]&amp;"//"&amp;Table1[[#This Row],[English]],"")</f>
        <v>Autre aspects de l'impôt sur les bénéfices: (l’amortissement, déductibilité des frais financiers, report des pertes, cloisonnement)//Other income tax features (amortization, deductibility of expenses, loss carry forward, ring-fencing)</v>
      </c>
      <c r="H73" s="88" t="str">
        <f t="shared" si="0"/>
        <v/>
      </c>
    </row>
    <row r="74" spans="1:8" ht="45.75" customHeight="1">
      <c r="A74" s="105" t="s">
        <v>195</v>
      </c>
      <c r="B74" s="105" t="s">
        <v>860</v>
      </c>
      <c r="C74" s="177"/>
      <c r="D74" s="105"/>
      <c r="E74" s="105"/>
      <c r="F74" s="106"/>
      <c r="G74" s="107" t="str">
        <f>IF(OR(Table1[[#This Row],[English]]&lt;&gt;"",Table1[[#This Row],[Français]]&lt;&gt;""),Table1[[#This Row],[Français]]&amp;"//"&amp;Table1[[#This Row],[English]],"")</f>
        <v>Partage de production - Eléments de "Cost Oil" (base de calcul, limites sur le recouvrement des coûts, e.g. comme % des revenues ou de la production, crédit d'investissement, etc.)//Production Share - "Cost Oil" features (basis of calculation, limits on cost recovery - e.g. as % of revenue or production, capex uplift, etc.)</v>
      </c>
      <c r="H74" s="108" t="str">
        <f>IF(C74&lt;&gt;"",IF(D74&lt;&gt;"",C74&amp;"--"&amp;D74,C74),"")</f>
        <v/>
      </c>
    </row>
    <row r="75" spans="1:8" ht="34.5" customHeight="1">
      <c r="A75" s="105" t="s">
        <v>196</v>
      </c>
      <c r="B75" s="105" t="s">
        <v>861</v>
      </c>
      <c r="C75" s="177"/>
      <c r="D75" s="105"/>
      <c r="E75" s="105"/>
      <c r="F75" s="106"/>
      <c r="G75" s="107" t="str">
        <f>IF(OR(Table1[[#This Row],[English]]&lt;&gt;"",Table1[[#This Row],[Français]]&lt;&gt;""),Table1[[#This Row],[Français]]&amp;"//"&amp;Table1[[#This Row],[English]],"")</f>
        <v>Partage de production - Eléments de "Profit Oil" (critères pour la modification du partage, - TRI, facteur "r", niveau de production, etc.)//Production Share - "Profit Oil" features (triggers for variations in split - IRR, "r" factor, production, etc.)</v>
      </c>
      <c r="H75" s="108" t="str">
        <f>IF(C75&lt;&gt;"",IF(D75&lt;&gt;"",C75&amp;"--"&amp;D75,C75),"")</f>
        <v/>
      </c>
    </row>
    <row r="76" spans="1:8" ht="30">
      <c r="A76" s="105" t="s">
        <v>862</v>
      </c>
      <c r="B76" s="105" t="s">
        <v>76</v>
      </c>
      <c r="C76" s="177"/>
      <c r="D76" s="105"/>
      <c r="E76" s="105"/>
      <c r="F76" s="106"/>
      <c r="G76" s="107" t="str">
        <f>IF(OR(Table1[[#This Row],[English]]&lt;&gt;"",Table1[[#This Row],[Français]]&lt;&gt;""),Table1[[#This Row],[Français]]&amp;"//"&amp;Table1[[#This Row],[English]],"")</f>
        <v>Contrat de Service - Frais du détenteur du titre défrayés (base de calcul)//Service Agreement - Fee to developer / contractor (basis for calculation)</v>
      </c>
      <c r="H76" s="108" t="str">
        <f>IF(C76&lt;&gt;"",IF(D76&lt;&gt;"",C76&amp;"--"&amp;D76,C76),"")</f>
        <v/>
      </c>
    </row>
    <row r="77" spans="1:8" ht="26" customHeight="1">
      <c r="A77" s="89" t="s">
        <v>230</v>
      </c>
      <c r="B77" s="89" t="s">
        <v>77</v>
      </c>
      <c r="C77" s="173"/>
      <c r="D77" s="89"/>
      <c r="E77" s="89"/>
      <c r="F77" s="90"/>
      <c r="G77" s="91" t="str">
        <f>IF(OR(Table1[[#This Row],[English]]&lt;&gt;"",Table1[[#This Row],[Français]]&lt;&gt;""),Table1[[#This Row],[Français]]&amp;"//"&amp;Table1[[#This Row],[English]],"")</f>
        <v>Impôt sur les Revenus des Valeurs Mobilières (IRVM)//Capital gains tax</v>
      </c>
      <c r="H77" s="92" t="str">
        <f t="shared" si="0"/>
        <v/>
      </c>
    </row>
    <row r="78" spans="1:8" ht="26" customHeight="1">
      <c r="A78" s="127" t="s">
        <v>198</v>
      </c>
      <c r="B78" s="127" t="s">
        <v>204</v>
      </c>
      <c r="C78" s="169"/>
      <c r="D78" s="27"/>
      <c r="E78" s="27"/>
      <c r="F78" s="128"/>
      <c r="G78" s="129" t="str">
        <f>IF(OR(Table1[[#This Row],[English]]&lt;&gt;"",Table1[[#This Row],[Français]]&lt;&gt;""),Table1[[#This Row],[Français]]&amp;"//"&amp;Table1[[#This Row],[English]],"")</f>
        <v>Retenue à la source sur les intérêts et/ou dividendes//Withholding tax on payment of interest and/or dividends</v>
      </c>
      <c r="H78" s="130" t="str">
        <f>IF(C78&lt;&gt;"",IF(D78&lt;&gt;"",C78&amp;"--"&amp;D78,C78),"")</f>
        <v/>
      </c>
    </row>
    <row r="79" spans="1:8">
      <c r="A79" s="27" t="s">
        <v>78</v>
      </c>
      <c r="B79" s="27" t="s">
        <v>79</v>
      </c>
      <c r="C79" s="172"/>
      <c r="D79" s="10"/>
      <c r="E79" s="10"/>
      <c r="F79" s="29"/>
      <c r="G79" s="30" t="str">
        <f>IF(OR(Table1[[#This Row],[English]]&lt;&gt;"",Table1[[#This Row],[Français]]&lt;&gt;""),Table1[[#This Row],[Français]]&amp;"//"&amp;Table1[[#This Row],[English]],"")</f>
        <v>Retenue à la source sur les salaires des nationaux//Witholding tax on national salaries</v>
      </c>
      <c r="H79" s="32" t="str">
        <f t="shared" si="0"/>
        <v/>
      </c>
    </row>
    <row r="80" spans="1:8">
      <c r="A80" s="27" t="s">
        <v>80</v>
      </c>
      <c r="B80" s="27" t="s">
        <v>81</v>
      </c>
      <c r="C80" s="190"/>
      <c r="D80" s="10"/>
      <c r="E80" s="10"/>
      <c r="F80" s="29"/>
      <c r="G80" s="30" t="str">
        <f>IF(OR(Table1[[#This Row],[English]]&lt;&gt;"",Table1[[#This Row],[Français]]&lt;&gt;""),Table1[[#This Row],[Français]]&amp;"//"&amp;Table1[[#This Row],[English]],"")</f>
        <v>Retenue à la source sur les salaires des expatriés//Witholding tax on expatriate salaries</v>
      </c>
      <c r="H80" s="32" t="str">
        <f t="shared" si="0"/>
        <v/>
      </c>
    </row>
    <row r="81" spans="1:8" ht="30">
      <c r="A81" s="27" t="s">
        <v>82</v>
      </c>
      <c r="B81" s="27" t="s">
        <v>83</v>
      </c>
      <c r="C81" s="190"/>
      <c r="D81" s="27"/>
      <c r="E81" s="27"/>
      <c r="F81" s="29"/>
      <c r="G81" s="30" t="str">
        <f>IF(OR(Table1[[#This Row],[English]]&lt;&gt;"",Table1[[#This Row],[Français]]&lt;&gt;""),Table1[[#This Row],[Français]]&amp;"//"&amp;Table1[[#This Row],[English]],"")</f>
        <v>Retenue à la source sur les prestations de service par des entreprises non résidentes//Witholding tax on services of non-resident companies</v>
      </c>
      <c r="H81" s="31" t="str">
        <f t="shared" si="0"/>
        <v/>
      </c>
    </row>
    <row r="82" spans="1:8">
      <c r="A82" s="127" t="s">
        <v>84</v>
      </c>
      <c r="B82" s="27" t="s">
        <v>85</v>
      </c>
      <c r="C82" s="190"/>
      <c r="D82" s="27"/>
      <c r="E82" s="27"/>
      <c r="F82" s="29"/>
      <c r="G82" s="30" t="str">
        <f>IF(OR(Table1[[#This Row],[English]]&lt;&gt;"",Table1[[#This Row],[Français]]&lt;&gt;""),Table1[[#This Row],[Français]]&amp;"//"&amp;Table1[[#This Row],[English]],"")</f>
        <v>Retenue à la source sur les loyers des immeubles//Witholding tax on rent</v>
      </c>
      <c r="H82" s="31" t="str">
        <f t="shared" si="0"/>
        <v/>
      </c>
    </row>
    <row r="83" spans="1:8">
      <c r="A83" s="27" t="s">
        <v>86</v>
      </c>
      <c r="B83" s="27" t="s">
        <v>87</v>
      </c>
      <c r="C83" s="178"/>
      <c r="D83" s="27"/>
      <c r="E83" s="27"/>
      <c r="F83" s="29"/>
      <c r="G83" s="30" t="str">
        <f>IF(OR(Table1[[#This Row],[English]]&lt;&gt;"",Table1[[#This Row],[Français]]&lt;&gt;""),Table1[[#This Row],[Français]]&amp;"//"&amp;Table1[[#This Row],[English]],"")</f>
        <v>Déductibilité des frais financiers//Deductibility of expenses</v>
      </c>
      <c r="H83" s="31" t="str">
        <f t="shared" si="0"/>
        <v/>
      </c>
    </row>
    <row r="84" spans="1:8">
      <c r="A84" s="33" t="s">
        <v>88</v>
      </c>
      <c r="B84" s="27" t="s">
        <v>89</v>
      </c>
      <c r="C84" s="178"/>
      <c r="D84" s="27"/>
      <c r="E84" s="27"/>
      <c r="F84" s="29"/>
      <c r="G84" s="30" t="str">
        <f>IF(OR(Table1[[#This Row],[English]]&lt;&gt;"",Table1[[#This Row],[Français]]&lt;&gt;""),Table1[[#This Row],[Français]]&amp;"//"&amp;Table1[[#This Row],[English]],"")</f>
        <v>Méthode d’évaluation de prix //Method for evaluating price</v>
      </c>
      <c r="H84" s="31" t="str">
        <f t="shared" si="0"/>
        <v/>
      </c>
    </row>
    <row r="85" spans="1:8">
      <c r="A85" s="27" t="s">
        <v>90</v>
      </c>
      <c r="B85" s="27" t="s">
        <v>91</v>
      </c>
      <c r="C85" s="178"/>
      <c r="D85" s="27"/>
      <c r="E85" s="27"/>
      <c r="F85" s="29"/>
      <c r="G85" s="30" t="str">
        <f>IF(OR(Table1[[#This Row],[English]]&lt;&gt;"",Table1[[#This Row],[Français]]&lt;&gt;""),Table1[[#This Row],[Français]]&amp;"//"&amp;Table1[[#This Row],[English]],"")</f>
        <v>Provision pour la reconstitution des gisements//Provisions for renewing reserves</v>
      </c>
      <c r="H85" s="31" t="str">
        <f t="shared" si="0"/>
        <v/>
      </c>
    </row>
    <row r="86" spans="1:8">
      <c r="A86" s="27" t="s">
        <v>92</v>
      </c>
      <c r="B86" s="27" t="s">
        <v>93</v>
      </c>
      <c r="C86" s="178"/>
      <c r="D86" s="27"/>
      <c r="E86" s="27"/>
      <c r="F86" s="29"/>
      <c r="G86" s="30" t="str">
        <f>IF(OR(Table1[[#This Row],[English]]&lt;&gt;"",Table1[[#This Row],[Français]]&lt;&gt;""),Table1[[#This Row],[Français]]&amp;"//"&amp;Table1[[#This Row],[English]],"")</f>
        <v>Crédit d'investissement//Investment credit</v>
      </c>
      <c r="H86" s="31" t="str">
        <f t="shared" si="0"/>
        <v/>
      </c>
    </row>
    <row r="87" spans="1:8" ht="17.25" customHeight="1">
      <c r="A87" s="27" t="s">
        <v>94</v>
      </c>
      <c r="B87" s="27" t="s">
        <v>95</v>
      </c>
      <c r="C87" s="179"/>
      <c r="D87" s="27"/>
      <c r="E87" s="27"/>
      <c r="F87" s="29"/>
      <c r="G87" s="30" t="str">
        <f>IF(OR(Table1[[#This Row],[English]]&lt;&gt;"",Table1[[#This Row],[Français]]&lt;&gt;""),Table1[[#This Row],[Français]]&amp;"//"&amp;Table1[[#This Row],[English]],"")</f>
        <v>Droits de douane en phase de recherche//Custom duties during exploration phase</v>
      </c>
      <c r="H87" s="31" t="str">
        <f t="shared" si="0"/>
        <v/>
      </c>
    </row>
    <row r="88" spans="1:8">
      <c r="A88" s="27" t="s">
        <v>96</v>
      </c>
      <c r="B88" s="27" t="s">
        <v>97</v>
      </c>
      <c r="C88" s="178"/>
      <c r="D88" s="27"/>
      <c r="E88" s="27"/>
      <c r="F88" s="29"/>
      <c r="G88" s="30" t="str">
        <f>IF(OR(Table1[[#This Row],[English]]&lt;&gt;"",Table1[[#This Row],[Français]]&lt;&gt;""),Table1[[#This Row],[Français]]&amp;"//"&amp;Table1[[#This Row],[English]],"")</f>
        <v>Droits de douane en phase de construction//Custom duties during construction phase</v>
      </c>
      <c r="H88" s="31" t="str">
        <f t="shared" si="0"/>
        <v/>
      </c>
    </row>
    <row r="89" spans="1:8">
      <c r="A89" s="27" t="s">
        <v>98</v>
      </c>
      <c r="B89" s="27" t="s">
        <v>214</v>
      </c>
      <c r="C89" s="178"/>
      <c r="D89" s="27"/>
      <c r="E89" s="27"/>
      <c r="F89" s="29"/>
      <c r="G89" s="30" t="str">
        <f>IF(OR(Table1[[#This Row],[English]]&lt;&gt;"",Table1[[#This Row],[Français]]&lt;&gt;""),Table1[[#This Row],[Français]]&amp;"//"&amp;Table1[[#This Row],[English]],"")</f>
        <v>Droits de douane en phase d'exploitation//Custum duties during operation phase</v>
      </c>
      <c r="H89" s="31" t="str">
        <f t="shared" si="0"/>
        <v/>
      </c>
    </row>
    <row r="90" spans="1:8">
      <c r="A90" s="27" t="s">
        <v>99</v>
      </c>
      <c r="B90" s="27" t="s">
        <v>100</v>
      </c>
      <c r="C90" s="178"/>
      <c r="D90" s="27"/>
      <c r="E90" s="27"/>
      <c r="F90" s="29"/>
      <c r="G90" s="30" t="str">
        <f>IF(OR(Table1[[#This Row],[English]]&lt;&gt;"",Table1[[#This Row],[Français]]&lt;&gt;""),Table1[[#This Row],[Français]]&amp;"//"&amp;Table1[[#This Row],[English]],"")</f>
        <v>Droits de douane pour le matériel de traitement//Custom duties on processing equipment</v>
      </c>
      <c r="H90" s="31" t="str">
        <f t="shared" si="0"/>
        <v/>
      </c>
    </row>
    <row r="91" spans="1:8">
      <c r="A91" s="27" t="s">
        <v>101</v>
      </c>
      <c r="B91" s="27" t="s">
        <v>102</v>
      </c>
      <c r="C91" s="178"/>
      <c r="D91" s="27"/>
      <c r="E91" s="27"/>
      <c r="F91" s="29"/>
      <c r="G91" s="30" t="str">
        <f>IF(OR(Table1[[#This Row],[English]]&lt;&gt;"",Table1[[#This Row],[Français]]&lt;&gt;""),Table1[[#This Row],[Français]]&amp;"//"&amp;Table1[[#This Row],[English]],"")</f>
        <v>Droits de douane pour le matériel de transformation//Custom duties on transformation equipment</v>
      </c>
      <c r="H91" s="31" t="str">
        <f t="shared" si="0"/>
        <v/>
      </c>
    </row>
    <row r="92" spans="1:8">
      <c r="A92" s="27" t="s">
        <v>103</v>
      </c>
      <c r="B92" s="27" t="s">
        <v>104</v>
      </c>
      <c r="C92" s="178"/>
      <c r="D92" s="27"/>
      <c r="E92" s="27"/>
      <c r="F92" s="29"/>
      <c r="G92" s="30" t="str">
        <f>IF(OR(Table1[[#This Row],[English]]&lt;&gt;"",Table1[[#This Row],[Français]]&lt;&gt;""),Table1[[#This Row],[Français]]&amp;"//"&amp;Table1[[#This Row],[English]],"")</f>
        <v>Droits de douane pour le matériel de transport//Custom duties on transportation equipment</v>
      </c>
      <c r="H92" s="31" t="str">
        <f t="shared" si="0"/>
        <v/>
      </c>
    </row>
    <row r="93" spans="1:8">
      <c r="A93" s="27" t="s">
        <v>105</v>
      </c>
      <c r="B93" s="27" t="s">
        <v>106</v>
      </c>
      <c r="C93" s="178"/>
      <c r="D93" s="27"/>
      <c r="E93" s="27"/>
      <c r="F93" s="29"/>
      <c r="G93" s="30" t="str">
        <f>IF(OR(Table1[[#This Row],[English]]&lt;&gt;"",Table1[[#This Row],[Français]]&lt;&gt;""),Table1[[#This Row],[Français]]&amp;"//"&amp;Table1[[#This Row],[English]],"")</f>
        <v>TVA//VAT</v>
      </c>
      <c r="H93" s="31" t="str">
        <f t="shared" si="0"/>
        <v/>
      </c>
    </row>
    <row r="94" spans="1:8" ht="50" customHeight="1">
      <c r="A94" s="27" t="s">
        <v>107</v>
      </c>
      <c r="B94" s="27" t="s">
        <v>863</v>
      </c>
      <c r="C94" s="178"/>
      <c r="D94" s="27"/>
      <c r="E94" s="27"/>
      <c r="F94" s="29"/>
      <c r="G94" s="30" t="str">
        <f>IF(OR(Table1[[#This Row],[English]]&lt;&gt;"",Table1[[#This Row],[Français]]&lt;&gt;""),Table1[[#This Row],[Français]]&amp;"//"&amp;Table1[[#This Row],[English]],"")</f>
        <v xml:space="preserve">Droits fixes d'octroi et de renouvellement des permis//Fixed fee for grant and renewal of license </v>
      </c>
      <c r="H94" s="31" t="str">
        <f t="shared" si="0"/>
        <v/>
      </c>
    </row>
    <row r="95" spans="1:8">
      <c r="A95" s="27" t="s">
        <v>108</v>
      </c>
      <c r="B95" s="27" t="s">
        <v>109</v>
      </c>
      <c r="C95" s="178"/>
      <c r="D95" s="27"/>
      <c r="E95" s="27"/>
      <c r="F95" s="29"/>
      <c r="G95" s="30" t="str">
        <f>IF(OR(Table1[[#This Row],[English]]&lt;&gt;"",Table1[[#This Row],[Français]]&lt;&gt;""),Table1[[#This Row],[Français]]&amp;"//"&amp;Table1[[#This Row],[English]],"")</f>
        <v>Part patronale des cotisations de sécurité sociale//Social security contributions by employer</v>
      </c>
      <c r="H95" s="31" t="str">
        <f t="shared" ref="H95:H141" si="2">IF(C95&lt;&gt;"",IF(D95&lt;&gt;"",C95&amp;"--"&amp;D95,C95),"")</f>
        <v/>
      </c>
    </row>
    <row r="96" spans="1:8" ht="170.25" customHeight="1">
      <c r="A96" s="127" t="s">
        <v>110</v>
      </c>
      <c r="B96" s="127" t="s">
        <v>111</v>
      </c>
      <c r="C96" s="180" t="s">
        <v>918</v>
      </c>
      <c r="D96" s="27" t="s">
        <v>846</v>
      </c>
      <c r="E96" s="27" t="s">
        <v>891</v>
      </c>
      <c r="F96" s="29"/>
      <c r="G96" s="129" t="str">
        <f>IF(OR(Table1[[#This Row],[English]]&lt;&gt;"",Table1[[#This Row],[Français]]&lt;&gt;""),Table1[[#This Row],[Français]]&amp;"//"&amp;Table1[[#This Row],[English]],"")</f>
        <v>Redevances superficiaires//Surface fees</v>
      </c>
      <c r="H96" s="130" t="str">
        <f t="shared" si="2"/>
        <v>The land rental bid is US$ 1.91 per hectare per year. The land rental bid payment is calculated by applying the land rental bid to all (and only) land that is used, either inside or outside of the concession area. Bargor &amp; Bargor Enterprise shall first pay it prior to felling any trees and, after that, every year on the anniversary of the contract signing date. Bargor &amp; Bargor Enterprise shall pay log stumpage, annual contract administration, area, coupe inspection, and forest product fees to the Government under Regulation 107-07, on Certain Forest Fees.--Arts. A4, B7.11-B7.14</v>
      </c>
    </row>
    <row r="97" spans="1:8">
      <c r="A97" s="27" t="s">
        <v>112</v>
      </c>
      <c r="B97" s="27" t="s">
        <v>113</v>
      </c>
      <c r="C97" s="178"/>
      <c r="D97" s="27"/>
      <c r="E97" s="27"/>
      <c r="F97" s="29"/>
      <c r="G97" s="30" t="str">
        <f>IF(OR(Table1[[#This Row],[English]]&lt;&gt;"",Table1[[#This Row],[Français]]&lt;&gt;""),Table1[[#This Row],[Français]]&amp;"//"&amp;Table1[[#This Row],[English]],"")</f>
        <v>Obligations communautaires ou sous-nationales//Community and regional obligations</v>
      </c>
      <c r="H97" s="31" t="str">
        <f t="shared" si="2"/>
        <v/>
      </c>
    </row>
    <row r="98" spans="1:8" ht="29" customHeight="1">
      <c r="A98" s="27" t="s">
        <v>194</v>
      </c>
      <c r="B98" s="27" t="s">
        <v>167</v>
      </c>
      <c r="C98" s="180"/>
      <c r="D98" s="10"/>
      <c r="E98" s="27"/>
      <c r="F98" s="29"/>
      <c r="G98" s="52" t="str">
        <f>IF(OR(Table1[[#This Row],[English]]&lt;&gt;"",Table1[[#This Row],[Français]]&lt;&gt;""),Table1[[#This Row],[Français]]&amp;"//"&amp;Table1[[#This Row],[English]],"")</f>
        <v>Crédits de carbone//Carbon credits</v>
      </c>
      <c r="H98" s="53" t="str">
        <f>IF(C98&lt;&gt;"",IF(D98&lt;&gt;"",C98&amp;"--"&amp;D98,C98),"")</f>
        <v/>
      </c>
    </row>
    <row r="99" spans="1:8">
      <c r="A99" s="85" t="s">
        <v>114</v>
      </c>
      <c r="B99" s="89" t="s">
        <v>115</v>
      </c>
      <c r="C99" s="176"/>
      <c r="D99" s="159"/>
      <c r="E99" s="159"/>
      <c r="F99" s="86"/>
      <c r="G99" s="87" t="str">
        <f>IF(OR(Table1[[#This Row],[English]]&lt;&gt;"",Table1[[#This Row],[Français]]&lt;&gt;""),Table1[[#This Row],[Français]]&amp;"//"&amp;Table1[[#This Row],[English]],"")</f>
        <v>Primes//Bonuses</v>
      </c>
      <c r="H99" s="88" t="str">
        <f t="shared" si="2"/>
        <v/>
      </c>
    </row>
    <row r="100" spans="1:8" ht="31.5" customHeight="1">
      <c r="A100" s="85" t="s">
        <v>116</v>
      </c>
      <c r="B100" s="89" t="s">
        <v>117</v>
      </c>
      <c r="C100" s="175"/>
      <c r="D100" s="150"/>
      <c r="E100" s="150"/>
      <c r="F100" s="86"/>
      <c r="G100" s="87" t="str">
        <f>IF(OR(Table1[[#This Row],[English]]&lt;&gt;"",Table1[[#This Row],[Français]]&lt;&gt;""),Table1[[#This Row],[Français]]&amp;"//"&amp;Table1[[#This Row],[English]],"")</f>
        <v>Participation de l'Etat//State participation</v>
      </c>
      <c r="H100" s="88" t="str">
        <f t="shared" si="2"/>
        <v/>
      </c>
    </row>
    <row r="101" spans="1:8">
      <c r="A101" s="85" t="s">
        <v>118</v>
      </c>
      <c r="B101" s="85" t="s">
        <v>119</v>
      </c>
      <c r="C101" s="176"/>
      <c r="D101" s="159"/>
      <c r="E101" s="159"/>
      <c r="F101" s="86"/>
      <c r="G101" s="87" t="str">
        <f>IF(OR(Table1[[#This Row],[English]]&lt;&gt;"",Table1[[#This Row],[Français]]&lt;&gt;""),Table1[[#This Row],[Français]]&amp;"//"&amp;Table1[[#This Row],[English]],"")</f>
        <v>Exonérations non-précisées ailleurs//Other exemptions</v>
      </c>
      <c r="H101" s="88" t="str">
        <f t="shared" si="2"/>
        <v/>
      </c>
    </row>
    <row r="102" spans="1:8" ht="39.75" customHeight="1">
      <c r="A102" s="103" t="s">
        <v>192</v>
      </c>
      <c r="B102" s="103" t="s">
        <v>191</v>
      </c>
      <c r="C102" s="175"/>
      <c r="D102" s="89"/>
      <c r="E102" s="89"/>
      <c r="F102" s="86"/>
      <c r="G102" s="87" t="str">
        <f>IF(OR(Table1[[#This Row],[English]]&lt;&gt;"",Table1[[#This Row],[Français]]&lt;&gt;""),Table1[[#This Row],[Français]]&amp;"//"&amp;Table1[[#This Row],[English]],"")</f>
        <v>Modes d'audit à l'égard des obligations financières du détenteur du titre//Audit mechanisms - financial obligations</v>
      </c>
      <c r="H102" s="88" t="str">
        <f t="shared" si="2"/>
        <v/>
      </c>
    </row>
    <row r="103" spans="1:8" ht="21.75" customHeight="1">
      <c r="A103" s="85" t="s">
        <v>120</v>
      </c>
      <c r="B103" s="85" t="s">
        <v>121</v>
      </c>
      <c r="C103" s="202"/>
      <c r="D103" s="150"/>
      <c r="E103" s="150"/>
      <c r="F103" s="86"/>
      <c r="G103" s="87" t="str">
        <f>IF(OR(Table1[[#This Row],[English]]&lt;&gt;"",Table1[[#This Row],[Français]]&lt;&gt;""),Table1[[#This Row],[Français]]&amp;"//"&amp;Table1[[#This Row],[English]],"")</f>
        <v>Restrictions sur les transactions avec les parties liées//Restrictions on transactions with affiliated parties</v>
      </c>
      <c r="H103" s="88" t="str">
        <f>IF(C103&lt;&gt;"",IF(D103&lt;&gt;"",C103&amp;"--"&amp;D103,C103),"")</f>
        <v/>
      </c>
    </row>
    <row r="104" spans="1:8" ht="27.75" customHeight="1">
      <c r="A104" s="83" t="s">
        <v>173</v>
      </c>
      <c r="B104" s="82" t="s">
        <v>171</v>
      </c>
      <c r="C104" s="175"/>
      <c r="D104" s="89"/>
      <c r="E104" s="150"/>
      <c r="F104" s="86"/>
      <c r="G104" s="87" t="str">
        <f>IF(OR(Table1[[#This Row],[English]]&lt;&gt;"",Table1[[#This Row],[Français]]&lt;&gt;""),Table1[[#This Row],[Français]]&amp;"//"&amp;Table1[[#This Row],[English]],"")</f>
        <v>Autre - [le nom de catégorie]//Other - [Name of Category]</v>
      </c>
      <c r="H104" s="88" t="str">
        <f t="shared" si="2"/>
        <v/>
      </c>
    </row>
    <row r="105" spans="1:8">
      <c r="A105" s="152"/>
      <c r="B105" s="34"/>
      <c r="C105" s="195"/>
      <c r="D105" s="151"/>
      <c r="E105" s="151"/>
      <c r="F105" s="15"/>
      <c r="G105" s="16" t="str">
        <f>IF(OR(Table1[[#This Row],[English]]&lt;&gt;"",Table1[[#This Row],[Français]]&lt;&gt;""),Table1[[#This Row],[Français]]&amp;"//"&amp;Table1[[#This Row],[English]],"")</f>
        <v/>
      </c>
      <c r="H105" s="35" t="str">
        <f t="shared" si="2"/>
        <v/>
      </c>
    </row>
    <row r="106" spans="1:8" ht="30">
      <c r="A106" s="62" t="s">
        <v>187</v>
      </c>
      <c r="B106" s="63" t="s">
        <v>122</v>
      </c>
      <c r="C106" s="167"/>
      <c r="D106" s="156"/>
      <c r="E106" s="156"/>
      <c r="F106" s="18"/>
      <c r="G106" s="19" t="str">
        <f>IF(OR(Table1[[#This Row],[English]]&lt;&gt;"",Table1[[#This Row],[Français]]&lt;&gt;""),Table1[[#This Row],[Français]]&amp;"//"&amp;Table1[[#This Row],[English]],"")</f>
        <v>4. Dispositions environnementales //4. Environmental provisions</v>
      </c>
      <c r="H106" s="20" t="str">
        <f t="shared" si="2"/>
        <v/>
      </c>
    </row>
    <row r="107" spans="1:8" ht="52.5" customHeight="1">
      <c r="A107" s="93" t="s">
        <v>207</v>
      </c>
      <c r="B107" s="93" t="s">
        <v>215</v>
      </c>
      <c r="C107" s="163" t="s">
        <v>920</v>
      </c>
      <c r="D107" s="71" t="s">
        <v>865</v>
      </c>
      <c r="E107" s="71" t="s">
        <v>893</v>
      </c>
      <c r="F107" s="219"/>
      <c r="G107" s="69" t="str">
        <f>IF(OR(Table1[[#This Row],[English]]&lt;&gt;"",Table1[[#This Row],[Français]]&lt;&gt;""),Table1[[#This Row],[Français]]&amp;"//"&amp;Table1[[#This Row],[English]],"")</f>
        <v>Etude d'impact social, environnemental ou des droits humains, et les plans de gestion des risques//Social, environmental and/or human rights impact assessments, as well as related management plans</v>
      </c>
      <c r="H107" s="70" t="str">
        <f t="shared" si="2"/>
        <v>The contract may be interrupted by the Forestry Development Authority to ensure consistency with the Environmental Impact Assessment and related documents --Art. B8.6(a)(ii)</v>
      </c>
    </row>
    <row r="108" spans="1:8" ht="77" customHeight="1">
      <c r="A108" s="123" t="s">
        <v>209</v>
      </c>
      <c r="B108" s="123" t="s">
        <v>208</v>
      </c>
      <c r="C108" s="164" t="s">
        <v>931</v>
      </c>
      <c r="D108" s="10" t="s">
        <v>932</v>
      </c>
      <c r="E108" s="10" t="s">
        <v>933</v>
      </c>
      <c r="F108" s="141"/>
      <c r="G108" s="142" t="str">
        <f>IF(OR(Table1[[#This Row],[English]]&lt;&gt;"",Table1[[#This Row],[Français]]&lt;&gt;""),Table1[[#This Row],[Français]]&amp;"//"&amp;Table1[[#This Row],[English]],"")</f>
        <v>Mode et fréquence de suivi des risques sociaux (y compris enfreinte aux droits de l'homme) ou environnementaux//Social, environmental and/or human rights monitoring requirements</v>
      </c>
      <c r="H108" s="143" t="str">
        <f t="shared" si="2"/>
        <v>Bargor &amp; Bargor Enterprise shall comply with all legal requirements concerning chain of custody for timber in Liberia. It shall neither transport nor process any log or timber product (__) outside the chain of custody system.--Art. 6.7</v>
      </c>
    </row>
    <row r="109" spans="1:8" ht="228.75" customHeight="1">
      <c r="A109" s="94" t="s">
        <v>221</v>
      </c>
      <c r="B109" s="95" t="s">
        <v>176</v>
      </c>
      <c r="C109" s="173" t="s">
        <v>921</v>
      </c>
      <c r="D109" s="82" t="s">
        <v>892</v>
      </c>
      <c r="E109" s="94" t="s">
        <v>894</v>
      </c>
      <c r="F109" s="220"/>
      <c r="G109" s="96" t="str">
        <f>IF(OR(Table1[[#This Row],[English]]&lt;&gt;"",Table1[[#This Row],[Français]]&lt;&gt;""),Table1[[#This Row],[Français]]&amp;"//"&amp;Table1[[#This Row],[English]],"")</f>
        <v>Droit de prendre ou d'utiliser l'eau dans la zone de concession (ou à coté) (y compris les tarifs, licences, et permis)//Right to take and/or use water within/near contract concession area (including fees, licenses, and permits required)</v>
      </c>
      <c r="H109" s="97" t="str">
        <f>IF(C109&lt;&gt;"",IF(D109&lt;&gt;"",C109&amp;"--"&amp;D109,C109),"")</f>
        <v>Subject to the written approval of the Government, the Social Agreement (as called for under Regulation 105-07) and such conditions as the Government or Social Agreement may impose, Bargor &amp; Bargor Enterprise may use free of charge any water found within the contract area and in the public domain within 5 kilometers of the contract area. However, Bargor &amp; Bargor Enterprise may only use such water provided that it shall not deprive any lands, tribes, villages, towns, houses, or watering places for animals of a reasonable supply of water, and does not interfere with the rights of water enjoyed by persons under the Land and Native Right Ordinance. Bargor &amp; Bargor Enterprise's use of water must in no way result in environmental damage or creates other hazards.--Art. B4.3</v>
      </c>
    </row>
    <row r="110" spans="1:8" ht="304" customHeight="1">
      <c r="A110" s="117" t="s">
        <v>206</v>
      </c>
      <c r="B110" s="117" t="s">
        <v>205</v>
      </c>
      <c r="C110" s="180" t="s">
        <v>914</v>
      </c>
      <c r="D110" s="56" t="s">
        <v>903</v>
      </c>
      <c r="E110" s="194" t="s">
        <v>922</v>
      </c>
      <c r="F110" s="119"/>
      <c r="G110" s="120" t="str">
        <f>IF(OR(Table1[[#This Row],[English]]&lt;&gt;"",Table1[[#This Row],[Français]]&lt;&gt;""),Table1[[#This Row],[Français]]&amp;"//"&amp;Table1[[#This Row],[English]],"")</f>
        <v>Les autres obligations pour la protection de l'environnement (y compris la prévention de la pollution et la protection des cours d'eau)//Other requirements regarding protection of the environment (including prevention of pollution and watercourse protection)</v>
      </c>
      <c r="H110" s="121" t="str">
        <f>IF(C110&lt;&gt;"",IF(D110&lt;&gt;"",C110&amp;"--"&amp;D110,C110),"")</f>
        <v>Bargor &amp; Bargor Enterprise shall conduct its operations in a manner that promotes sustainable development of forest resources and environmental protection. It shall conduct all operations and activities using only environmentally sound forest harvesting practices that conform to the Forest Management Guidelines, the Liberia Code of Forest Harvesting Practices, and internationally accepted, scientific principles and practices applicable to forest operations and timber processing. Bargor &amp; Bargor Enterprise shall conduct all operations and activities so as to avoid waste and loss of natural resources and to protect natural resources from damage. It shall conduct all operations and activities so as to prevent pollution and contamination of the environment. Bargor &amp; Bargor Enterprise shall harvest trees in a manner that avoids unnecessary damage and waste, and unnecessary damage to young growth and other trees. It shall identify in the annual operational plan areas requiring special measures for the protection of plants and animals, and protect these areas from damage or removal during operations. Bargor &amp; Bargor Enterprise shall comply with all requirements for watercourse protection in the Liberia Code of Forest Harvesting Practices, and conduct all operations so as to reasonably minimize soil erosion, and prevent pollution of air, soil, and water.--Arts. B3.4, B6.3, B6.32, B6.34, B6.35, B6.36, B6.37, B6.38</v>
      </c>
    </row>
    <row r="111" spans="1:8">
      <c r="A111" s="37"/>
      <c r="B111" s="38"/>
      <c r="C111" s="182"/>
      <c r="D111" s="198"/>
      <c r="E111" s="198"/>
      <c r="F111" s="15"/>
      <c r="G111" s="16" t="str">
        <f>IF(OR(Table1[[#This Row],[English]]&lt;&gt;"",Table1[[#This Row],[Français]]&lt;&gt;""),Table1[[#This Row],[Français]]&amp;"//"&amp;Table1[[#This Row],[English]],"")</f>
        <v/>
      </c>
      <c r="H111" s="17" t="str">
        <f t="shared" si="2"/>
        <v/>
      </c>
    </row>
    <row r="112" spans="1:8" ht="45">
      <c r="A112" s="62" t="s">
        <v>179</v>
      </c>
      <c r="B112" s="18" t="s">
        <v>123</v>
      </c>
      <c r="C112" s="167"/>
      <c r="D112" s="156"/>
      <c r="E112" s="156"/>
      <c r="F112" s="18"/>
      <c r="G112" s="19" t="str">
        <f>IF(OR(Table1[[#This Row],[English]]&lt;&gt;"",Table1[[#This Row],[Français]]&lt;&gt;""),Table1[[#This Row],[Français]]&amp;"//"&amp;Table1[[#This Row],[English]],"")</f>
        <v>5. Dispositions relatives aux opérations et à l’infrastructure//5. Operational provisions</v>
      </c>
      <c r="H112" s="20" t="str">
        <f t="shared" si="2"/>
        <v/>
      </c>
    </row>
    <row r="113" spans="1:8" ht="45">
      <c r="A113" s="55" t="s">
        <v>177</v>
      </c>
      <c r="B113" s="64" t="s">
        <v>178</v>
      </c>
      <c r="C113" s="183"/>
      <c r="D113" s="65"/>
      <c r="E113" s="64"/>
      <c r="F113" s="64"/>
      <c r="G113" s="66" t="str">
        <f>IF(OR(Table1[[#This Row],[English]]&lt;&gt;"",Table1[[#This Row],[Français]]&lt;&gt;""),Table1[[#This Row],[Français]]&amp;"//"&amp;Table1[[#This Row],[English]],"")</f>
        <v>L'étude de faisabilité et le plan d'affaires//Feasibility studies and requirement of business plan</v>
      </c>
      <c r="H113" s="53" t="str">
        <f>IF(C113&lt;&gt;"",IF(D113&lt;&gt;"",C113&amp;"--"&amp;D113,C113),"")</f>
        <v/>
      </c>
    </row>
    <row r="114" spans="1:8" ht="65" customHeight="1">
      <c r="A114" s="93" t="s">
        <v>124</v>
      </c>
      <c r="B114" s="98" t="s">
        <v>125</v>
      </c>
      <c r="C114" s="163" t="s">
        <v>930</v>
      </c>
      <c r="D114" s="76"/>
      <c r="E114" s="76"/>
      <c r="F114" s="68"/>
      <c r="G114" s="69" t="str">
        <f>IF(OR(Table1[[#This Row],[English]]&lt;&gt;"",Table1[[#This Row],[Français]]&lt;&gt;""),Table1[[#This Row],[Français]]&amp;"//"&amp;Table1[[#This Row],[English]],"")</f>
        <v>Obligations de travaux, d'investissements//Work and investment commitments</v>
      </c>
      <c r="H114" s="70" t="str">
        <f t="shared" si="2"/>
        <v>Bargor &amp; Bargor Enterprise shall submit to the Forestry Development Authority an annual operational plan describing the season's major activities, including logging, environmental protection measures, and other actions at least 60 days prior to the beginning of each annual operating season.</v>
      </c>
    </row>
    <row r="115" spans="1:8">
      <c r="A115" s="36" t="s">
        <v>126</v>
      </c>
      <c r="B115" s="36" t="s">
        <v>127</v>
      </c>
      <c r="C115" s="184"/>
      <c r="D115" s="10"/>
      <c r="E115" s="10"/>
      <c r="F115" s="11"/>
      <c r="G115" s="12" t="str">
        <f>IF(OR(Table1[[#This Row],[English]]&lt;&gt;"",Table1[[#This Row],[Français]]&lt;&gt;""),Table1[[#This Row],[Français]]&amp;"//"&amp;Table1[[#This Row],[English]],"")</f>
        <v>Rétrocession//Transfer of risk</v>
      </c>
      <c r="H115" s="13" t="str">
        <f t="shared" si="2"/>
        <v/>
      </c>
    </row>
    <row r="116" spans="1:8" ht="178.5" customHeight="1">
      <c r="A116" s="67" t="s">
        <v>128</v>
      </c>
      <c r="B116" s="67" t="s">
        <v>129</v>
      </c>
      <c r="C116" s="163" t="s">
        <v>923</v>
      </c>
      <c r="D116" s="154" t="s">
        <v>904</v>
      </c>
      <c r="E116" s="154" t="s">
        <v>895</v>
      </c>
      <c r="F116" s="68"/>
      <c r="G116" s="69" t="str">
        <f>IF(OR(Table1[[#This Row],[English]]&lt;&gt;"",Table1[[#This Row],[Français]]&lt;&gt;""),Table1[[#This Row],[Français]]&amp;"//"&amp;Table1[[#This Row],[English]],"")</f>
        <v>Construction et entretien d'infrastructure//Construction and maintenance of infrastructure</v>
      </c>
      <c r="H116" s="70" t="str">
        <f t="shared" si="2"/>
        <v>Bargor &amp; Bargor Enterprise is granted rights concerning construction of infrastructure by Section 18.8 of the National Forestry Reform Law of 2006, and shall comply with all laws governing construction, maintenance, and the use of improvements. Certain improvements require authorization from the Government. Bargor &amp; Bargor Enterprise shall ensure that all infrastructure and works installed in relation to the contract comply with the Liberia Code of Forest Harvesting Practices.--Arts. B4.21, B4.22(a), (b) and (c), B6.18, B6.5</v>
      </c>
    </row>
    <row r="117" spans="1:8" ht="15" customHeight="1">
      <c r="A117" s="10" t="s">
        <v>199</v>
      </c>
      <c r="B117" s="10" t="s">
        <v>130</v>
      </c>
      <c r="C117" s="172"/>
      <c r="D117" s="10"/>
      <c r="E117" s="10"/>
      <c r="F117" s="11"/>
      <c r="G117" s="12" t="str">
        <f>IF(OR(Table1[[#This Row],[English]]&lt;&gt;"",Table1[[#This Row],[Français]]&lt;&gt;""),Table1[[#This Row],[Français]]&amp;"//"&amp;Table1[[#This Row],[English]],"")</f>
        <v>Commercialisation et accès gouvernemental à la production //Marketing of output and state access to output</v>
      </c>
      <c r="H117" s="13" t="str">
        <f t="shared" si="2"/>
        <v/>
      </c>
    </row>
    <row r="118" spans="1:8" ht="63" customHeight="1">
      <c r="A118" s="112" t="s">
        <v>131</v>
      </c>
      <c r="B118" s="113" t="s">
        <v>132</v>
      </c>
      <c r="C118" s="185" t="s">
        <v>929</v>
      </c>
      <c r="D118" s="111" t="s">
        <v>905</v>
      </c>
      <c r="E118" s="111" t="s">
        <v>896</v>
      </c>
      <c r="F118" s="114"/>
      <c r="G118" s="115" t="str">
        <f>IF(OR(Table1[[#This Row],[English]]&lt;&gt;"",Table1[[#This Row],[Français]]&lt;&gt;""),Table1[[#This Row],[Français]]&amp;"//"&amp;Table1[[#This Row],[English]],"")</f>
        <v>Utilisation d’infrastructure par les tiers//Third party use of infrastructure</v>
      </c>
      <c r="H118" s="116" t="str">
        <f t="shared" si="2"/>
        <v xml:space="preserve">Bargor &amp; Bargor Enterprise shall allow the Government and public to use, free of charge, any roads constructed, provided the use does not interfere with operations. Bargor &amp; Bargor Enterprise shall allow the Government and public to use communication lines that it develops, subject to fair compensation and provided the use does not interfere with operations.--Art. B4.23(a) and (c) </v>
      </c>
    </row>
    <row r="119" spans="1:8">
      <c r="A119" s="39" t="s">
        <v>133</v>
      </c>
      <c r="B119" s="33" t="s">
        <v>134</v>
      </c>
      <c r="C119" s="164"/>
      <c r="D119" s="10"/>
      <c r="E119" s="10"/>
      <c r="F119" s="11"/>
      <c r="G119" s="12" t="str">
        <f>IF(OR(Table1[[#This Row],[English]]&lt;&gt;"",Table1[[#This Row],[Français]]&lt;&gt;""),Table1[[#This Row],[Français]]&amp;"//"&amp;Table1[[#This Row],[English]],"")</f>
        <v>Financement d’infrastructure//Financing of infrastructure</v>
      </c>
      <c r="H119" s="13" t="str">
        <f t="shared" si="2"/>
        <v/>
      </c>
    </row>
    <row r="120" spans="1:8" ht="59.25" customHeight="1">
      <c r="A120" s="39" t="s">
        <v>135</v>
      </c>
      <c r="B120" s="33" t="s">
        <v>136</v>
      </c>
      <c r="C120" s="164" t="s">
        <v>871</v>
      </c>
      <c r="D120" s="10" t="s">
        <v>853</v>
      </c>
      <c r="E120" s="10" t="s">
        <v>897</v>
      </c>
      <c r="F120" s="11"/>
      <c r="G120" s="12" t="str">
        <f>IF(OR(Table1[[#This Row],[English]]&lt;&gt;"",Table1[[#This Row],[Français]]&lt;&gt;""),Table1[[#This Row],[Français]]&amp;"//"&amp;Table1[[#This Row],[English]],"")</f>
        <v>Propriété d’infrastructure//Ownership of infrastructure</v>
      </c>
      <c r="H120" s="13" t="str">
        <f t="shared" si="2"/>
        <v>All infrastructure shall revert to the Government upon termination of the contract and shall be left in safe running order--Art. B4.24</v>
      </c>
    </row>
    <row r="121" spans="1:8">
      <c r="A121" s="28" t="s">
        <v>193</v>
      </c>
      <c r="B121" s="27" t="s">
        <v>190</v>
      </c>
      <c r="C121" s="178"/>
      <c r="D121" s="27"/>
      <c r="E121" s="27"/>
      <c r="F121" s="29"/>
      <c r="G121" s="30" t="str">
        <f>IF(OR(Table1[[#This Row],[English]]&lt;&gt;"",Table1[[#This Row],[Français]]&lt;&gt;""),Table1[[#This Row],[Français]]&amp;"//"&amp;Table1[[#This Row],[English]],"")</f>
        <v>Modes d'audit à l'égard des dispositions opérationnelles//Audit mechanisms - operational obligations</v>
      </c>
      <c r="H121" s="31" t="str">
        <f t="shared" si="2"/>
        <v/>
      </c>
    </row>
    <row r="122" spans="1:8">
      <c r="A122" s="54" t="s">
        <v>175</v>
      </c>
      <c r="B122" s="55" t="s">
        <v>168</v>
      </c>
      <c r="C122" s="180"/>
      <c r="D122" s="56"/>
      <c r="E122" s="194"/>
      <c r="F122" s="54"/>
      <c r="G122" s="52" t="str">
        <f>IF(OR(Table1[[#This Row],[English]]&lt;&gt;"",Table1[[#This Row],[Français]]&lt;&gt;""),Table1[[#This Row],[Français]]&amp;"//"&amp;Table1[[#This Row],[English]],"")</f>
        <v>Activité de beneficiation/ valeur ajoutée//Value addition/downstream activities</v>
      </c>
      <c r="H122" s="53" t="str">
        <f>IF(C122&lt;&gt;"",IF(D122&lt;&gt;"",C122&amp;"--"&amp;D122,C122),"")</f>
        <v/>
      </c>
    </row>
    <row r="123" spans="1:8" ht="261" customHeight="1">
      <c r="A123" s="136" t="s">
        <v>222</v>
      </c>
      <c r="B123" s="137" t="s">
        <v>169</v>
      </c>
      <c r="C123" s="186" t="s">
        <v>907</v>
      </c>
      <c r="D123" s="135" t="s">
        <v>906</v>
      </c>
      <c r="E123" s="136" t="s">
        <v>870</v>
      </c>
      <c r="F123" s="138"/>
      <c r="G123" s="139" t="str">
        <f>IF(OR(Table1[[#This Row],[English]]&lt;&gt;"",Table1[[#This Row],[Français]]&lt;&gt;""),Table1[[#This Row],[Français]]&amp;"//"&amp;Table1[[#This Row],[English]],"")</f>
        <v>Autorisation pour utiliser les terres publique ou privées à l'extérieur de la zone de concession//Contracting party's permitted use of public or private land outside concession area</v>
      </c>
      <c r="H123" s="140" t="str">
        <f>IF(C123&lt;&gt;"",IF(D123&lt;&gt;"",C123&amp;"--"&amp;D123,C123),"")</f>
        <v>Bargor &amp; Bargor Enterprise shall use public land outside the contract area only with written approval from the Forestry Development Authority. The Forestry Development Authority shall not unreasonably deny the right to use such land. Bargor &amp; Bargor Enterprise may use private lands with the permission of the land owner. If Bargor &amp; Bargor Enterprise does not obtain the permission of the land owner, use and compensation of private lands is governed by Chapter 11 of the Forestry Reform Law of 2006 and the Forestry Development Authority Regulation 110-07. With or without permission of the land owner, Bargor &amp; Bargor Enterprise shall not seek a use, lease, right-of-way, or easement that substantially interferes with the operations of another previously issued forest management contract or timber sale contract. Bargor &amp; Bargor Enterprise also shall not interfere with any good faith exercise of third-party rights to timber or forest products, including customary rights, without permission of the third party. If Bargor &amp; Bargor Enterprise uses private lands without permission of the land owner, the use must be necessary for Bargor &amp; Bargor Enterprise’s activities and operations under the contract.--Arts. B4.12, B4.14</v>
      </c>
    </row>
    <row r="124" spans="1:8" ht="27" customHeight="1">
      <c r="A124" s="199"/>
      <c r="B124" s="40"/>
      <c r="C124" s="200"/>
      <c r="D124" s="201"/>
      <c r="E124" s="201"/>
      <c r="F124" s="15"/>
      <c r="G124" s="16" t="str">
        <f>IF(OR(Table1[[#This Row],[English]]&lt;&gt;"",Table1[[#This Row],[Français]]&lt;&gt;""),Table1[[#This Row],[Français]]&amp;"//"&amp;Table1[[#This Row],[English]],"")</f>
        <v/>
      </c>
      <c r="H124" s="17" t="str">
        <f t="shared" si="2"/>
        <v/>
      </c>
    </row>
    <row r="125" spans="1:8" ht="30">
      <c r="A125" s="21" t="s">
        <v>137</v>
      </c>
      <c r="B125" s="21" t="s">
        <v>138</v>
      </c>
      <c r="C125" s="167"/>
      <c r="D125" s="156"/>
      <c r="E125" s="156"/>
      <c r="F125" s="18"/>
      <c r="G125" s="19" t="str">
        <f>IF(OR(Table1[[#This Row],[English]]&lt;&gt;"",Table1[[#This Row],[Français]]&lt;&gt;""),Table1[[#This Row],[Français]]&amp;"//"&amp;Table1[[#This Row],[English]],"")</f>
        <v>6. Dispositions diverses//6. Miscellaneous provisions</v>
      </c>
      <c r="H125" s="20" t="str">
        <f t="shared" si="2"/>
        <v/>
      </c>
    </row>
    <row r="126" spans="1:8" ht="37" customHeight="1">
      <c r="A126" s="98" t="s">
        <v>139</v>
      </c>
      <c r="B126" s="93" t="s">
        <v>140</v>
      </c>
      <c r="C126" s="163" t="s">
        <v>847</v>
      </c>
      <c r="D126" s="71" t="s">
        <v>848</v>
      </c>
      <c r="E126" s="71" t="s">
        <v>924</v>
      </c>
      <c r="F126" s="68"/>
      <c r="G126" s="69" t="str">
        <f>IF(OR(Table1[[#This Row],[English]]&lt;&gt;"",Table1[[#This Row],[Français]]&lt;&gt;""),Table1[[#This Row],[Français]]&amp;"//"&amp;Table1[[#This Row],[English]],"")</f>
        <v>Loi applicable en cas des différends//Governing law in case of dispute</v>
      </c>
      <c r="H126" s="70" t="str">
        <f t="shared" si="2"/>
        <v>The contract is governed by the laws of the Republic of Liberia--Art. B3.51</v>
      </c>
    </row>
    <row r="127" spans="1:8" ht="151" customHeight="1">
      <c r="A127" s="98" t="s">
        <v>141</v>
      </c>
      <c r="B127" s="85" t="s">
        <v>142</v>
      </c>
      <c r="C127" s="221" t="s">
        <v>925</v>
      </c>
      <c r="D127" s="76" t="s">
        <v>908</v>
      </c>
      <c r="E127" s="76" t="s">
        <v>909</v>
      </c>
      <c r="F127" s="203" t="s">
        <v>898</v>
      </c>
      <c r="G127" s="69" t="str">
        <f>IF(OR(Table1[[#This Row],[English]]&lt;&gt;"",Table1[[#This Row],[Français]]&lt;&gt;""),Table1[[#This Row],[Français]]&amp;"//"&amp;Table1[[#This Row],[English]],"")</f>
        <v>Arbitrage et règlement des différends//Arbitration and dispute resolution</v>
      </c>
      <c r="H127" s="70" t="str">
        <f t="shared" si="2"/>
        <v>Failure by Bargor &amp; Bargor Enterprise to submit a claim (a written demand seeking the payment of money, adjustment or interpretation of contract terms, or other relief, under or relating to this contract) for resolution within 60 days of a disputed action by the Forestry Development Authority shall relinquish the Forestry Development Authority of any and all obligations related to the dispute. Claims arising under the contract shall be decided by the contracting officer (an officer of the Forestry Development Authority who has been delegated the power and duty to administer the contract). The decision of the contracting officer shall be final and conclusive if within 45 days from receipt, Bargor &amp; Bargor Enterprise fails to appeal the decision to an appropriate Liberian court.--Arts. B1.0, B8.3</v>
      </c>
    </row>
    <row r="128" spans="1:8" ht="118.5" customHeight="1">
      <c r="A128" s="98" t="s">
        <v>143</v>
      </c>
      <c r="B128" s="93" t="s">
        <v>144</v>
      </c>
      <c r="C128" s="175" t="s">
        <v>937</v>
      </c>
      <c r="D128" s="71" t="s">
        <v>872</v>
      </c>
      <c r="E128" s="71" t="s">
        <v>899</v>
      </c>
      <c r="F128" s="68"/>
      <c r="G128" s="69" t="str">
        <f>IF(OR(Table1[[#This Row],[English]]&lt;&gt;"",Table1[[#This Row],[Français]]&lt;&gt;""),Table1[[#This Row],[Français]]&amp;"//"&amp;Table1[[#This Row],[English]],"")</f>
        <v>Clause de stabilisation//Stabilization clause</v>
      </c>
      <c r="H128" s="70" t="str">
        <f t="shared" si="2"/>
        <v>If any statute or regulation referred to in the contract is amended, the contract shall be taken to refer to the newly amended statute or regulation. If the statute or regulation is repealed, the contract shall be taken to refer to the material that replaces the repealed act or regulation, as determined by the contracting officer (an officer of the Forestry Development Authority who has been delegated the power and duty to administer the contract).--Art. B1.0(iii)</v>
      </c>
    </row>
    <row r="129" spans="1:8" ht="142.5" customHeight="1">
      <c r="A129" s="36" t="s">
        <v>145</v>
      </c>
      <c r="B129" s="10" t="s">
        <v>146</v>
      </c>
      <c r="C129" s="164" t="s">
        <v>926</v>
      </c>
      <c r="D129" s="10" t="s">
        <v>852</v>
      </c>
      <c r="E129" s="10" t="s">
        <v>900</v>
      </c>
      <c r="F129" s="11"/>
      <c r="G129" s="12" t="str">
        <f>IF(OR(Table1[[#This Row],[English]]&lt;&gt;"",Table1[[#This Row],[Français]]&lt;&gt;""),Table1[[#This Row],[Français]]&amp;"//"&amp;Table1[[#This Row],[English]],"")</f>
        <v>Cession / transfert//Assignment / transfer</v>
      </c>
      <c r="H129" s="13" t="str">
        <f t="shared" si="2"/>
        <v>Bargor &amp; Bargor Enterprise shall not assign or transfer this contract or any interests, rights, privileges or obligations under the contract without prior written approval from the Forestry Development Authority. The Forestry Development Authority shall not to consent to any transfer, except in compliance with Regulation 104-07, Section 71.--Art. B2.3</v>
      </c>
    </row>
    <row r="130" spans="1:8" ht="388.5" customHeight="1">
      <c r="A130" s="36" t="s">
        <v>223</v>
      </c>
      <c r="B130" s="10" t="s">
        <v>147</v>
      </c>
      <c r="C130" s="164" t="s">
        <v>927</v>
      </c>
      <c r="D130" s="10" t="s">
        <v>851</v>
      </c>
      <c r="E130" s="10" t="s">
        <v>901</v>
      </c>
      <c r="F130" s="11"/>
      <c r="G130" s="12" t="str">
        <f>IF(OR(Table1[[#This Row],[English]]&lt;&gt;"",Table1[[#This Row],[Français]]&lt;&gt;""),Table1[[#This Row],[Français]]&amp;"//"&amp;Table1[[#This Row],[English]],"")</f>
        <v>Annulation / Résiliation //Cancellation / termination</v>
      </c>
      <c r="H130" s="13" t="str">
        <f t="shared" si="2"/>
        <v>The contract may be terminated if Bargor &amp; Bargor Enterprise commits a number of breaches, including: (b) felling trees not covered by an Annual Harvesting Certificate, (d) abandoning operations for a period of 1 year or more, (e) significantly failing to meet the requirements of an approved annual operational plan, (f) assigning to a third-party rights held under the contract without the consent of the Forestry Development Authority, (g) going into bankruptcy or liquidation, (i) failing to meet any monetary obligations, including payments of bids or fees to the Government or payments to local communities, in a timely fashion, (k) engaging in a pattern of activity that demonstrates flagrant disregard for the terms of the contract, (m) failing to comply with any provisions of law or regulations, (o) intentionally removing any timber, forest products (flora, fauna, and micro-organisms with social or economic value) or natural resources not provided for in the contract without written approval from the Government, (q) being convicted for violation of criminal statutes or civil standards, or other regulations for environmental protection, and (r) if it or its senior officers are convicted for violation of criminal statutes and civil standards, or any other offense indicating a lack of business integrity or honesty that seriously and directly affects the responsibility of Bargor &amp; Bargor Enterprise, including (ii) payment of a bribe, and (v) human rights violations--Art. B8.72</v>
      </c>
    </row>
    <row r="131" spans="1:8">
      <c r="A131" s="33" t="s">
        <v>148</v>
      </c>
      <c r="B131" s="33" t="s">
        <v>149</v>
      </c>
      <c r="C131" s="164"/>
      <c r="D131" s="10"/>
      <c r="E131" s="10"/>
      <c r="F131" s="11"/>
      <c r="G131" s="12" t="str">
        <f>IF(OR(Table1[[#This Row],[English]]&lt;&gt;"",Table1[[#This Row],[Français]]&lt;&gt;""),Table1[[#This Row],[Français]]&amp;"//"&amp;Table1[[#This Row],[English]],"")</f>
        <v>Indemnisation//Indemnification</v>
      </c>
      <c r="H131" s="13" t="str">
        <f t="shared" si="2"/>
        <v/>
      </c>
    </row>
    <row r="132" spans="1:8" ht="78.75" customHeight="1">
      <c r="A132" s="99" t="s">
        <v>150</v>
      </c>
      <c r="B132" s="76" t="s">
        <v>151</v>
      </c>
      <c r="C132" s="196" t="s">
        <v>910</v>
      </c>
      <c r="D132" s="71" t="s">
        <v>911</v>
      </c>
      <c r="E132" s="71" t="s">
        <v>912</v>
      </c>
      <c r="F132" s="68"/>
      <c r="G132" s="69" t="str">
        <f>IF(OR(Table1[[#This Row],[English]]&lt;&gt;"",Table1[[#This Row],[Français]]&lt;&gt;""),Table1[[#This Row],[Français]]&amp;"//"&amp;Table1[[#This Row],[English]],"")</f>
        <v>Confidentialité//Confidentiality</v>
      </c>
      <c r="H132" s="70" t="str">
        <f t="shared" si="2"/>
        <v>The parties understand that section 18.15 of the National Forestry Reform Law guarantees to the public free access to all documents and information related to this contract and its administration, subject only to limited exceptions--Art. B5.55</v>
      </c>
    </row>
    <row r="133" spans="1:8">
      <c r="A133" s="99" t="s">
        <v>152</v>
      </c>
      <c r="B133" s="76" t="s">
        <v>153</v>
      </c>
      <c r="C133" s="175" t="s">
        <v>748</v>
      </c>
      <c r="D133" s="71"/>
      <c r="E133" s="71"/>
      <c r="F133" s="68"/>
      <c r="G133" s="69" t="str">
        <f>IF(OR(Table1[[#This Row],[English]]&lt;&gt;"",Table1[[#This Row],[Français]]&lt;&gt;""),Table1[[#This Row],[Français]]&amp;"//"&amp;Table1[[#This Row],[English]],"")</f>
        <v>Langue//Language</v>
      </c>
      <c r="H133" s="70" t="str">
        <f>IF(C133&lt;&gt;"",IF(D133&lt;&gt;"",C133&amp;"--"&amp;D133,C133),"")</f>
        <v>ENG</v>
      </c>
    </row>
    <row r="134" spans="1:8" ht="190.5" customHeight="1">
      <c r="A134" s="10" t="s">
        <v>231</v>
      </c>
      <c r="B134" s="10" t="s">
        <v>184</v>
      </c>
      <c r="C134" s="164" t="s">
        <v>935</v>
      </c>
      <c r="D134" s="10" t="s">
        <v>934</v>
      </c>
      <c r="E134" s="10" t="s">
        <v>936</v>
      </c>
      <c r="F134" s="11"/>
      <c r="G134" s="42" t="str">
        <f>IF(OR(Table1[[#This Row],[English]]&lt;&gt;"",Table1[[#This Row],[Français]]&lt;&gt;""),Table1[[#This Row],[Français]]&amp;"//"&amp;Table1[[#This Row],[English]],"")</f>
        <v>Obligations de reporting et autres méthodes de contrôle de la conformité//Reporting Requirements and other methods of monitoring compliance</v>
      </c>
      <c r="H134" s="51" t="str">
        <f>IF(C134&lt;&gt;"",IF(D134&lt;&gt;"",C134&amp;"--"&amp;D134,C134),"")</f>
        <v>Bargor &amp; Bargor Enterprise consents to the Government or a designated representative conducting reasonable inspections of the contract area and premises. Operations under the contract are subject to regular and routine monitoring. Bargor &amp; Bargor Enterprise shall keep records to demonstrate compliance with the contract during the duration of the contract and for 5 years after the contract terminates. It shall provide a written report within 90 days after each annual operational plan, and keep the contracting officer (an officer of the Forestry Development Authority who has been delegated the power and duty to administer the contract) informed as to its operations and other contractual activities. The Government reserves the right to allow unscheduled third party and civil society monitoring of contract operations. Such monitoring organizations shall have access to all financial records, management plans and annual operational plans to facilitate monitoring activities, but the Government shall not extend access to such organizations until they agree in writing not to publish any proprietary information without Bargor &amp; Bargor Enterprise's written consent.--Arts. B5.3, B5.51 - B5.53, B8.8</v>
      </c>
    </row>
    <row r="135" spans="1:8" ht="227.25" customHeight="1">
      <c r="A135" s="123" t="s">
        <v>217</v>
      </c>
      <c r="B135" s="123" t="s">
        <v>216</v>
      </c>
      <c r="C135" s="164" t="s">
        <v>928</v>
      </c>
      <c r="D135" s="10" t="s">
        <v>849</v>
      </c>
      <c r="E135" s="10" t="s">
        <v>902</v>
      </c>
      <c r="F135" s="11"/>
      <c r="G135" s="12" t="str">
        <f>IF(OR(Table1[[#This Row],[English]]&lt;&gt;"",Table1[[#This Row],[Français]]&lt;&gt;""),Table1[[#This Row],[Français]]&amp;"//"&amp;Table1[[#This Row],[English]],"")</f>
        <v>Clause de hardship ou force majeure//Hardship clause or force majeure</v>
      </c>
      <c r="H135" s="13" t="str">
        <f t="shared" si="2"/>
        <v>Force majeure means any unforeseen cause beyond the reasonable control of the parties that prevents the parties from performing contractual duties for 15 consecutive days or more. Force majeure includes, among other things, acts of God and other natural disasters, war, riot, epidemic, expropriation of facilities or goods, and unforeseen restrictions on trade. Failure by either party to fulfill terms and conditions of the contract as a result of force majeure is not a breach of the contract. Any party who fails to perform obligations as a result of force majeure shall take all reasonable steps to make good, and resume compliance with, those obligations.--Art. B8.5</v>
      </c>
    </row>
    <row r="136" spans="1:8">
      <c r="A136" s="10" t="s">
        <v>172</v>
      </c>
      <c r="B136" s="123" t="s">
        <v>170</v>
      </c>
      <c r="C136" s="191"/>
      <c r="D136" s="33"/>
      <c r="E136" s="33"/>
      <c r="F136" s="41"/>
      <c r="G136" s="42" t="str">
        <f>IF(OR(Table1[[#This Row],[English]]&lt;&gt;"",Table1[[#This Row],[Français]]&lt;&gt;""),Table1[[#This Row],[Français]]&amp;"//"&amp;Table1[[#This Row],[English]],"")</f>
        <v>Expropriation//Expropriation / nationalization</v>
      </c>
      <c r="H136" s="43" t="str">
        <f t="shared" si="2"/>
        <v/>
      </c>
    </row>
    <row r="137" spans="1:8">
      <c r="A137" s="83" t="s">
        <v>173</v>
      </c>
      <c r="B137" s="82" t="s">
        <v>171</v>
      </c>
      <c r="C137" s="187"/>
      <c r="D137" s="197"/>
      <c r="E137" s="160"/>
      <c r="F137" s="100"/>
      <c r="G137" s="101" t="str">
        <f>IF(OR(Table1[[#This Row],[English]]&lt;&gt;"",Table1[[#This Row],[Français]]&lt;&gt;""),Table1[[#This Row],[Français]]&amp;"//"&amp;Table1[[#This Row],[English]],"")</f>
        <v>Autre - [le nom de catégorie]//Other - [Name of Category]</v>
      </c>
      <c r="H137" s="102" t="str">
        <f>IF(C137&lt;&gt;"",IF(D137&lt;&gt;"",C137&amp;"--"&amp;D137,C137),"")</f>
        <v/>
      </c>
    </row>
    <row r="138" spans="1:8">
      <c r="A138" s="44"/>
      <c r="B138" s="14"/>
      <c r="C138" s="192"/>
      <c r="D138" s="155"/>
      <c r="E138" s="155"/>
      <c r="F138" s="15"/>
      <c r="G138" s="16" t="str">
        <f>IF(OR(Table1[[#This Row],[English]]&lt;&gt;"",Table1[[#This Row],[Français]]&lt;&gt;""),Table1[[#This Row],[Français]]&amp;"//"&amp;Table1[[#This Row],[English]],"")</f>
        <v/>
      </c>
      <c r="H138" s="17" t="str">
        <f t="shared" si="2"/>
        <v/>
      </c>
    </row>
    <row r="139" spans="1:8" ht="30">
      <c r="A139" s="21" t="s">
        <v>154</v>
      </c>
      <c r="B139" s="21" t="s">
        <v>155</v>
      </c>
      <c r="C139" s="188"/>
      <c r="D139" s="161"/>
      <c r="E139" s="161"/>
      <c r="F139" s="21"/>
      <c r="G139" s="45" t="str">
        <f>IF(OR(Table1[[#This Row],[English]]&lt;&gt;"",Table1[[#This Row],[Français]]&lt;&gt;""),Table1[[#This Row],[Français]]&amp;"//"&amp;Table1[[#This Row],[English]],"")</f>
        <v>III. Notes sur le document//III. Document notes</v>
      </c>
      <c r="H139" s="46" t="str">
        <f t="shared" si="2"/>
        <v/>
      </c>
    </row>
    <row r="140" spans="1:8">
      <c r="A140" s="10" t="s">
        <v>156</v>
      </c>
      <c r="B140" s="10" t="s">
        <v>864</v>
      </c>
      <c r="C140" s="189"/>
      <c r="D140" s="33"/>
      <c r="E140" s="33"/>
      <c r="F140" s="41"/>
      <c r="G140" s="42" t="str">
        <f>IF(OR(Table1[[#This Row],[English]]&lt;&gt;"",Table1[[#This Row],[Français]]&lt;&gt;""),Table1[[#This Row],[Français]]&amp;"//"&amp;Table1[[#This Row],[English]],"")</f>
        <v>Pages Manquantes de la copie//Pages missing from copy</v>
      </c>
      <c r="H140" s="43" t="str">
        <f t="shared" si="2"/>
        <v/>
      </c>
    </row>
    <row r="141" spans="1:8" ht="30">
      <c r="A141" s="10" t="s">
        <v>158</v>
      </c>
      <c r="B141" s="10" t="s">
        <v>159</v>
      </c>
      <c r="C141" s="164"/>
      <c r="D141" s="10"/>
      <c r="E141" s="10"/>
      <c r="F141" s="22"/>
      <c r="G141" s="23" t="str">
        <f>IF(OR(Table1[[#This Row],[English]]&lt;&gt;"",Table1[[#This Row],[Français]]&lt;&gt;""),Table1[[#This Row],[Français]]&amp;"//"&amp;Table1[[#This Row],[English]],"")</f>
        <v>Annexes Manquantes de la copie//Annexes missing from copy</v>
      </c>
      <c r="H141" s="13" t="str">
        <f t="shared" si="2"/>
        <v/>
      </c>
    </row>
    <row r="145" spans="1:8">
      <c r="A145"/>
      <c r="B145"/>
      <c r="C145"/>
      <c r="D145"/>
      <c r="G145"/>
      <c r="H145"/>
    </row>
    <row r="146" spans="1:8">
      <c r="A146"/>
      <c r="B146"/>
      <c r="C146"/>
      <c r="D146"/>
      <c r="G146"/>
      <c r="H146"/>
    </row>
    <row r="147" spans="1:8">
      <c r="A147"/>
      <c r="B147"/>
      <c r="C147"/>
      <c r="D147"/>
      <c r="G147"/>
      <c r="H147"/>
    </row>
    <row r="148" spans="1:8">
      <c r="A148"/>
      <c r="B148"/>
      <c r="C148"/>
      <c r="D148"/>
      <c r="G148"/>
      <c r="H148"/>
    </row>
  </sheetData>
  <mergeCells count="3">
    <mergeCell ref="B16:C16"/>
    <mergeCell ref="G16:H16"/>
    <mergeCell ref="C12:D12"/>
  </mergeCells>
  <phoneticPr fontId="15" type="noConversion"/>
  <dataValidations count="2">
    <dataValidation type="list" allowBlank="1" showInputMessage="1" showErrorMessage="1" sqref="C19">
      <formula1>countries</formula1>
    </dataValidation>
    <dataValidation type="list" allowBlank="1" showInputMessage="1" showErrorMessage="1" sqref="C133">
      <formula1>language</formula1>
    </dataValidation>
  </dataValidations>
  <pageMargins left="0.75" right="0.75" top="1" bottom="1" header="0.5" footer="0.5"/>
  <pageSetup orientation="portrait" horizontalDpi="4294967292" verticalDpi="4294967292"/>
  <drawing r:id="rId1"/>
  <tableParts count="1">
    <tablePart r:id="rId2"/>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B38"/>
  <sheetViews>
    <sheetView tabSelected="1" workbookViewId="0">
      <selection activeCell="B6" sqref="B6"/>
    </sheetView>
  </sheetViews>
  <sheetFormatPr baseColWidth="10" defaultColWidth="8.6640625" defaultRowHeight="16" x14ac:dyDescent="0"/>
  <cols>
    <col min="1" max="1" width="30.5" customWidth="1"/>
    <col min="2" max="2" width="31.83203125" style="212" customWidth="1"/>
    <col min="3" max="3" width="23" bestFit="1" customWidth="1"/>
  </cols>
  <sheetData>
    <row r="1" spans="1:2" ht="15">
      <c r="A1" s="49" t="s">
        <v>160</v>
      </c>
      <c r="B1" s="211" t="s">
        <v>161</v>
      </c>
    </row>
    <row r="2" spans="1:2">
      <c r="A2" s="209" t="s">
        <v>741</v>
      </c>
      <c r="B2" s="212" t="str">
        <f>IF(Categories!C133&lt;&gt;"",Categories!C133,"ENG")</f>
        <v>ENG</v>
      </c>
    </row>
    <row r="3" spans="1:2">
      <c r="A3" s="50" t="s">
        <v>235</v>
      </c>
      <c r="B3" s="213" t="str">
        <f>IF(Categories!C19&lt;&gt;"",Categories!C19,"")</f>
        <v>Liberia</v>
      </c>
    </row>
    <row r="4" spans="1:2">
      <c r="A4" s="50" t="s">
        <v>727</v>
      </c>
      <c r="B4" s="213" t="str">
        <f>IF(Categories!C19&lt;&gt;"",VLOOKUP(Categories!C19,picklists!A2:B248,2,FALSE), "")</f>
        <v>LBR</v>
      </c>
    </row>
    <row r="5" spans="1:2">
      <c r="A5" t="s">
        <v>729</v>
      </c>
      <c r="B5" s="212" t="str">
        <f>IF(Categories!C51&lt;&gt;"",Categories!C51,"")</f>
        <v>Timber (Wood)</v>
      </c>
    </row>
    <row r="6" spans="1:2" ht="15">
      <c r="A6" s="50" t="s">
        <v>162</v>
      </c>
      <c r="B6" s="229" t="s">
        <v>939</v>
      </c>
    </row>
    <row r="7" spans="1:2">
      <c r="A7" s="50" t="s">
        <v>163</v>
      </c>
      <c r="B7" s="212">
        <f>IF(Categories!C47&lt;&gt;"",Categories!C47,"")</f>
        <v>39626</v>
      </c>
    </row>
    <row r="8" spans="1:2">
      <c r="A8" t="s">
        <v>164</v>
      </c>
      <c r="B8" s="212">
        <f>IF(Categories!C48&lt;&gt;"",Categories!C48,"")</f>
        <v>2008</v>
      </c>
    </row>
    <row r="9" spans="1:2">
      <c r="A9" t="s">
        <v>165</v>
      </c>
      <c r="B9" s="212" t="str">
        <f>IF(Categories!C49&lt;&gt;"",Categories!C49,"")</f>
        <v>3 years</v>
      </c>
    </row>
    <row r="10" spans="1:2" ht="15">
      <c r="A10" s="228" t="s">
        <v>737</v>
      </c>
      <c r="B10" s="228"/>
    </row>
    <row r="11" spans="1:2">
      <c r="A11" s="208" t="s">
        <v>12</v>
      </c>
      <c r="B11" s="212" t="str">
        <f>IF(Categories!C20&lt;&gt;"",Categories!C20,"")</f>
        <v>Bargor &amp; Bargor Enterprise, Inc.</v>
      </c>
    </row>
    <row r="12" spans="1:2">
      <c r="A12" s="208" t="s">
        <v>233</v>
      </c>
      <c r="B12" s="212" t="str">
        <f>IF(Categories!C21&lt;&gt;"",Categories!C21,"")</f>
        <v/>
      </c>
    </row>
    <row r="13" spans="1:2">
      <c r="A13" s="208" t="s">
        <v>14</v>
      </c>
      <c r="B13" s="212" t="str">
        <f>IF(Categories!C22&lt;&gt;"",Categories!C22,"")</f>
        <v>Benson &amp; Randall Streets, Monrovia, Liberia</v>
      </c>
    </row>
    <row r="14" spans="1:2">
      <c r="A14" s="208" t="s">
        <v>16</v>
      </c>
      <c r="B14" s="212" t="str">
        <f>IF(Categories!C23&lt;&gt;"",Categories!C23,"")</f>
        <v/>
      </c>
    </row>
    <row r="15" spans="1:2">
      <c r="A15" s="208" t="s">
        <v>738</v>
      </c>
      <c r="B15" s="212" t="str">
        <f>IF(Categories!C24&lt;&gt;"",Categories!C24,"")</f>
        <v/>
      </c>
    </row>
    <row r="16" spans="1:2">
      <c r="A16" s="208" t="s">
        <v>233</v>
      </c>
      <c r="B16" s="212" t="str">
        <f>IF(Categories!C25&lt;&gt;"",Categories!C25,"")</f>
        <v/>
      </c>
    </row>
    <row r="17" spans="1:2">
      <c r="A17" s="208" t="s">
        <v>19</v>
      </c>
      <c r="B17" s="212" t="str">
        <f>IF(Categories!C26&lt;&gt;"",Categories!C26,"")</f>
        <v/>
      </c>
    </row>
    <row r="18" spans="1:2">
      <c r="A18" s="208" t="s">
        <v>22</v>
      </c>
      <c r="B18" s="212" t="str">
        <f>IF(Categories!C28&lt;&gt;"",Categories!C28,"")</f>
        <v/>
      </c>
    </row>
    <row r="19" spans="1:2" ht="30">
      <c r="A19" s="208" t="s">
        <v>23</v>
      </c>
      <c r="B19" s="212" t="str">
        <f>IF(Categories!C29&lt;&gt;"",Categories!C29,"")</f>
        <v>Region/Sector: # 2, County: Gbarpolu , Forest Name: TSC A-7</v>
      </c>
    </row>
    <row r="20" spans="1:2">
      <c r="A20" s="208" t="s">
        <v>739</v>
      </c>
      <c r="B20" s="212" t="str">
        <f>IF(Categories!C30&lt;&gt;"",Categories!C30,"")</f>
        <v>Gbarpolu County: Concession area lies within Latitudes 7°8'24'' - 7°12'36'' North of the equator and Longitudes 10°11'24'' - 10°18'36'' West of the Greenwich meridian</v>
      </c>
    </row>
    <row r="21" spans="1:2">
      <c r="A21" s="208" t="s">
        <v>25</v>
      </c>
      <c r="B21" s="212" t="str">
        <f>IF(Categories!C31&lt;&gt;"",Categories!C31,"")</f>
        <v/>
      </c>
    </row>
    <row r="22" spans="1:2">
      <c r="A22" s="208" t="s">
        <v>27</v>
      </c>
      <c r="B22" s="212" t="str">
        <f>IF(Categories!C32&lt;&gt;"",Categories!C32,"")</f>
        <v/>
      </c>
    </row>
    <row r="23" spans="1:2">
      <c r="A23" s="208" t="s">
        <v>29</v>
      </c>
      <c r="B23" s="212" t="str">
        <f>IF(Categories!C33&lt;&gt;"",Categories!C33,"")</f>
        <v/>
      </c>
    </row>
    <row r="24" spans="1:2">
      <c r="A24" s="208" t="s">
        <v>31</v>
      </c>
      <c r="B24" s="212" t="str">
        <f>IF(Categories!C34&lt;&gt;"",Categories!C34,"")</f>
        <v/>
      </c>
    </row>
    <row r="25" spans="1:2">
      <c r="A25" s="208" t="s">
        <v>740</v>
      </c>
      <c r="B25" s="212" t="str">
        <f>IF(B24&lt;&gt;"",YEAR(B24),"")</f>
        <v/>
      </c>
    </row>
    <row r="26" spans="1:2">
      <c r="A26" s="208" t="s">
        <v>33</v>
      </c>
      <c r="B26" s="212" t="str">
        <f>IF(Categories!C35&lt;&gt;"",Categories!C35,"")</f>
        <v/>
      </c>
    </row>
    <row r="27" spans="1:2">
      <c r="A27" s="208" t="s">
        <v>35</v>
      </c>
      <c r="B27" s="212" t="str">
        <f>IF(Categories!C36&lt;&gt;"",Categories!C36,"")</f>
        <v/>
      </c>
    </row>
    <row r="28" spans="1:2" ht="45">
      <c r="A28" s="208" t="s">
        <v>41</v>
      </c>
      <c r="B28" s="212" t="str">
        <f>IF(Categories!C40&lt;&gt;"",Categories!C40,"")</f>
        <v>Bargor &amp; Bargor Enterprise, Inc.</v>
      </c>
    </row>
    <row r="29" spans="1:2">
      <c r="A29" s="208" t="s">
        <v>233</v>
      </c>
      <c r="B29" s="212" t="str">
        <f>IF(Categories!C41&lt;&gt;"",Categories!C41,"")</f>
        <v/>
      </c>
    </row>
    <row r="30" spans="1:2">
      <c r="A30" s="208" t="s">
        <v>43</v>
      </c>
      <c r="B30" s="212" t="str">
        <f>IF(Categories!C42&lt;&gt;"",Categories!C42,"")</f>
        <v>Alfred D. Bargor, Bargor &amp; Bargor Enterprise, Inc.</v>
      </c>
    </row>
    <row r="31" spans="1:2" ht="30">
      <c r="A31" s="208" t="s">
        <v>45</v>
      </c>
      <c r="B31" s="212" t="str">
        <f>IF(Categories!C43&lt;&gt;"",Categories!C43,"")</f>
        <v xml:space="preserve">Forestry Development Authority </v>
      </c>
    </row>
    <row r="32" spans="1:2">
      <c r="A32" s="208" t="s">
        <v>47</v>
      </c>
      <c r="B32" s="212" t="str">
        <f>IF(Categories!C44&lt;&gt;"",Categories!C44,"")</f>
        <v>John T. Woods, Forestry Development Authority , Tom Downing, Gemap Comptroller/FDA</v>
      </c>
    </row>
    <row r="33" spans="1:2" ht="30">
      <c r="A33" s="208" t="s">
        <v>49</v>
      </c>
      <c r="B33" s="212" t="str">
        <f>IF(Categories!C45&lt;&gt;"",Categories!C45,"")</f>
        <v/>
      </c>
    </row>
    <row r="34" spans="1:2" ht="30">
      <c r="A34" s="208" t="s">
        <v>166</v>
      </c>
      <c r="B34" s="212" t="str">
        <f>IF(Categories!C46&lt;&gt;"",Categories!C46,"")</f>
        <v/>
      </c>
    </row>
    <row r="35" spans="1:2">
      <c r="A35" s="208" t="s">
        <v>57</v>
      </c>
      <c r="B35" s="212" t="str">
        <f>IF(Categories!C50&lt;&gt;"",Categories!C50,"")</f>
        <v>The contract is not renewable</v>
      </c>
    </row>
    <row r="36" spans="1:2">
      <c r="A36" s="208" t="s">
        <v>212</v>
      </c>
      <c r="B36" s="212" t="str">
        <f>IF(Categories!C52&lt;&gt;"",Categories!C52,"")</f>
        <v>5,000 ha</v>
      </c>
    </row>
    <row r="37" spans="1:2">
      <c r="A37" s="210" t="s">
        <v>157</v>
      </c>
      <c r="B37" s="212" t="str">
        <f>IF(Categories!C140&lt;&gt;"",Categories!C140,"")</f>
        <v/>
      </c>
    </row>
    <row r="38" spans="1:2">
      <c r="A38" s="210" t="s">
        <v>159</v>
      </c>
      <c r="B38" s="212" t="str">
        <f>IF(Categories!C141&lt;&gt;"",Categories!C141,"")</f>
        <v/>
      </c>
    </row>
  </sheetData>
  <mergeCells count="1">
    <mergeCell ref="A10:B10"/>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M248"/>
  <sheetViews>
    <sheetView workbookViewId="0">
      <selection activeCell="H25" sqref="H25"/>
    </sheetView>
  </sheetViews>
  <sheetFormatPr baseColWidth="10" defaultColWidth="11" defaultRowHeight="15" x14ac:dyDescent="0"/>
  <cols>
    <col min="8" max="8" width="35.6640625" customWidth="1"/>
    <col min="9" max="9" width="23.5" bestFit="1" customWidth="1"/>
    <col min="10" max="10" width="17.83203125" customWidth="1"/>
  </cols>
  <sheetData>
    <row r="1" spans="1:13">
      <c r="A1" t="s">
        <v>235</v>
      </c>
      <c r="B1" t="s">
        <v>236</v>
      </c>
      <c r="D1" t="s">
        <v>728</v>
      </c>
      <c r="H1" t="s">
        <v>730</v>
      </c>
      <c r="I1" t="s">
        <v>730</v>
      </c>
      <c r="L1" t="s">
        <v>741</v>
      </c>
    </row>
    <row r="2" spans="1:13">
      <c r="A2" t="s">
        <v>237</v>
      </c>
      <c r="B2" t="s">
        <v>238</v>
      </c>
      <c r="D2" t="str">
        <f>IF(Metadata!B2="ENG",E2,F2)</f>
        <v>Aluminium</v>
      </c>
      <c r="E2" t="s">
        <v>811</v>
      </c>
      <c r="F2" t="s">
        <v>812</v>
      </c>
      <c r="H2" t="str">
        <f>IF(Metadata!B2="ENG",I2,J2)</f>
        <v>Amodiation contract</v>
      </c>
      <c r="I2" t="s">
        <v>806</v>
      </c>
      <c r="J2" t="s">
        <v>807</v>
      </c>
      <c r="L2" t="s">
        <v>748</v>
      </c>
      <c r="M2" t="s">
        <v>750</v>
      </c>
    </row>
    <row r="3" spans="1:13">
      <c r="A3" t="s">
        <v>239</v>
      </c>
      <c r="B3" t="s">
        <v>240</v>
      </c>
      <c r="D3" t="str">
        <f>IF(Metadata!B2="ENG",E3,F3)</f>
        <v>Base metals</v>
      </c>
      <c r="E3" t="s">
        <v>761</v>
      </c>
      <c r="F3" t="s">
        <v>829</v>
      </c>
      <c r="H3" t="str">
        <f>IF(Metadata!B2="ENG",I3,J3)</f>
        <v>Concession</v>
      </c>
      <c r="I3" s="207" t="s">
        <v>732</v>
      </c>
      <c r="J3" s="207" t="s">
        <v>732</v>
      </c>
      <c r="L3" t="s">
        <v>749</v>
      </c>
      <c r="M3" t="s">
        <v>747</v>
      </c>
    </row>
    <row r="4" spans="1:13">
      <c r="A4" t="s">
        <v>241</v>
      </c>
      <c r="B4" t="s">
        <v>242</v>
      </c>
      <c r="D4" t="str">
        <f>IF(Metadata!B2="ENG",E4,F4)</f>
        <v>Bauxite</v>
      </c>
      <c r="E4" s="214" t="s">
        <v>762</v>
      </c>
      <c r="F4" s="214" t="s">
        <v>762</v>
      </c>
      <c r="H4" t="str">
        <f>IF(Metadata!B2="ENG",I4,J4)</f>
        <v>Convention</v>
      </c>
      <c r="I4" t="s">
        <v>751</v>
      </c>
      <c r="J4" t="s">
        <v>751</v>
      </c>
    </row>
    <row r="5" spans="1:13">
      <c r="A5" t="s">
        <v>243</v>
      </c>
      <c r="B5" t="s">
        <v>244</v>
      </c>
      <c r="D5" t="str">
        <f>IF(Metadata!B2="ENG",E5,F5)</f>
        <v>Coal</v>
      </c>
      <c r="E5" t="s">
        <v>763</v>
      </c>
      <c r="F5" t="s">
        <v>764</v>
      </c>
      <c r="H5" t="str">
        <f>IF(Metadata!B2="ENG",I5,J5)</f>
        <v>Exploration Permit/License</v>
      </c>
      <c r="I5" s="207" t="s">
        <v>731</v>
      </c>
      <c r="J5" t="s">
        <v>742</v>
      </c>
    </row>
    <row r="6" spans="1:13" ht="30">
      <c r="A6" t="s">
        <v>245</v>
      </c>
      <c r="B6" t="s">
        <v>246</v>
      </c>
      <c r="D6" t="str">
        <f>IF(Metadata!B2="ENG",E6,F6)</f>
        <v>Cobalt</v>
      </c>
      <c r="E6" t="s">
        <v>765</v>
      </c>
      <c r="F6" t="s">
        <v>765</v>
      </c>
      <c r="H6" t="str">
        <f>IF(Metadata!B2="ENG",I6,J6)</f>
        <v>Exploitation Permit/License</v>
      </c>
      <c r="I6" s="207" t="s">
        <v>752</v>
      </c>
      <c r="J6" t="s">
        <v>753</v>
      </c>
    </row>
    <row r="7" spans="1:13" ht="30">
      <c r="A7" t="s">
        <v>247</v>
      </c>
      <c r="B7" t="s">
        <v>248</v>
      </c>
      <c r="D7" t="str">
        <f>IF(Metadata!B2="ENG",E7,F7)</f>
        <v>Copper</v>
      </c>
      <c r="E7" t="s">
        <v>766</v>
      </c>
      <c r="F7" t="s">
        <v>818</v>
      </c>
      <c r="H7" t="str">
        <f>IF(Metadata!B2="ENG",I7,J7)</f>
        <v>Forestry Concession Contract</v>
      </c>
      <c r="I7" s="207" t="s">
        <v>759</v>
      </c>
      <c r="J7" t="s">
        <v>760</v>
      </c>
    </row>
    <row r="8" spans="1:13">
      <c r="A8" t="s">
        <v>249</v>
      </c>
      <c r="B8" t="s">
        <v>250</v>
      </c>
      <c r="D8" t="str">
        <f>IF(Metadata!B2="ENG",E8,F8)</f>
        <v>Crude oil</v>
      </c>
      <c r="E8" t="s">
        <v>767</v>
      </c>
      <c r="F8" t="s">
        <v>768</v>
      </c>
      <c r="H8" t="str">
        <f>IF(Metadata!B2="ENG",I8,J8)</f>
        <v>Investment Agreement</v>
      </c>
      <c r="I8" s="207" t="s">
        <v>754</v>
      </c>
      <c r="J8" t="s">
        <v>801</v>
      </c>
    </row>
    <row r="9" spans="1:13" ht="30">
      <c r="A9" t="s">
        <v>251</v>
      </c>
      <c r="B9" t="s">
        <v>252</v>
      </c>
      <c r="D9" t="str">
        <f>IF(Metadata!B2="ENG",E9,F9)</f>
        <v>Diamonds</v>
      </c>
      <c r="E9" t="s">
        <v>769</v>
      </c>
      <c r="F9" t="s">
        <v>819</v>
      </c>
      <c r="H9" t="str">
        <f>IF(Metadata!B2="ENG",I9,J9)</f>
        <v>Investment Incentive Contract</v>
      </c>
      <c r="I9" s="207" t="s">
        <v>755</v>
      </c>
      <c r="J9" t="s">
        <v>802</v>
      </c>
    </row>
    <row r="10" spans="1:13">
      <c r="A10" t="s">
        <v>253</v>
      </c>
      <c r="B10" t="s">
        <v>254</v>
      </c>
      <c r="D10" t="str">
        <f>IF(Metadata!B2="ENG",E10,F10)</f>
        <v>Gas</v>
      </c>
      <c r="E10" t="s">
        <v>770</v>
      </c>
      <c r="F10" t="s">
        <v>771</v>
      </c>
      <c r="H10" t="str">
        <f>IF(Metadata!B2="ENG",I10,J10)</f>
        <v>Joint Venture Contract</v>
      </c>
      <c r="I10" t="s">
        <v>756</v>
      </c>
      <c r="J10" t="s">
        <v>803</v>
      </c>
      <c r="K10" s="217"/>
    </row>
    <row r="11" spans="1:13">
      <c r="A11" t="s">
        <v>255</v>
      </c>
      <c r="B11" t="s">
        <v>256</v>
      </c>
      <c r="D11" t="str">
        <f>IF(Metadata!B2="ENG",E11,F11)</f>
        <v>Gold</v>
      </c>
      <c r="E11" t="s">
        <v>772</v>
      </c>
      <c r="F11" t="s">
        <v>773</v>
      </c>
      <c r="H11" t="str">
        <f>IF(Metadata!B2="ENG",I11,J11)</f>
        <v>Lease</v>
      </c>
      <c r="I11" t="s">
        <v>735</v>
      </c>
      <c r="J11" t="s">
        <v>745</v>
      </c>
    </row>
    <row r="12" spans="1:13" ht="30">
      <c r="A12" t="s">
        <v>257</v>
      </c>
      <c r="B12" t="s">
        <v>258</v>
      </c>
      <c r="D12" t="str">
        <f>IF(Metadata!B2="ENG",E12,F12)</f>
        <v>Iron ore</v>
      </c>
      <c r="E12" t="s">
        <v>774</v>
      </c>
      <c r="F12" t="s">
        <v>810</v>
      </c>
      <c r="H12" t="str">
        <f>IF(Metadata!B2="ENG",I12,J12)</f>
        <v>Production Sharing Agreement</v>
      </c>
      <c r="I12" s="207" t="s">
        <v>736</v>
      </c>
      <c r="J12" t="s">
        <v>743</v>
      </c>
    </row>
    <row r="13" spans="1:13" ht="45">
      <c r="A13" t="s">
        <v>259</v>
      </c>
      <c r="B13" t="s">
        <v>260</v>
      </c>
      <c r="D13" t="str">
        <f>IF(Metadata!B2="ENG",E13,F13)</f>
        <v>Lapis lazuli</v>
      </c>
      <c r="E13" t="s">
        <v>775</v>
      </c>
      <c r="F13" t="s">
        <v>815</v>
      </c>
      <c r="H13" t="str">
        <f>IF(Metadata!B2="ENG",I13,J13)</f>
        <v>Operating Agreement between Private Companies</v>
      </c>
      <c r="I13" s="207" t="s">
        <v>757</v>
      </c>
      <c r="J13" t="s">
        <v>804</v>
      </c>
    </row>
    <row r="14" spans="1:13">
      <c r="A14" t="s">
        <v>261</v>
      </c>
      <c r="B14" t="s">
        <v>262</v>
      </c>
      <c r="D14" t="str">
        <f>IF(Metadata!B2="ENG",E14,F14)</f>
        <v>Lead</v>
      </c>
      <c r="E14" t="s">
        <v>776</v>
      </c>
      <c r="F14" t="s">
        <v>816</v>
      </c>
      <c r="H14" t="str">
        <f>IF(Metadata!B2="ENG",I14,J14)</f>
        <v>Options contract</v>
      </c>
      <c r="I14" s="207" t="s">
        <v>808</v>
      </c>
      <c r="J14" t="s">
        <v>809</v>
      </c>
    </row>
    <row r="15" spans="1:13">
      <c r="A15" t="s">
        <v>263</v>
      </c>
      <c r="B15" t="s">
        <v>264</v>
      </c>
      <c r="D15" t="str">
        <f>IF(Metadata!B2="ENG",E15,F15)</f>
        <v>Lithium</v>
      </c>
      <c r="E15" t="s">
        <v>777</v>
      </c>
      <c r="F15" t="s">
        <v>777</v>
      </c>
      <c r="H15" t="str">
        <f>IF(Metadata!B2="ENG",I15,J15)</f>
        <v>Profit Sharing Contract</v>
      </c>
      <c r="I15" s="207" t="s">
        <v>758</v>
      </c>
      <c r="J15" t="s">
        <v>805</v>
      </c>
    </row>
    <row r="16" spans="1:13">
      <c r="A16" t="s">
        <v>265</v>
      </c>
      <c r="B16" t="s">
        <v>266</v>
      </c>
      <c r="D16" t="str">
        <f>IF(Metadata!B2="ENG",E16,F16)</f>
        <v>Manganese</v>
      </c>
      <c r="E16" t="s">
        <v>778</v>
      </c>
      <c r="F16" t="s">
        <v>817</v>
      </c>
      <c r="H16" t="str">
        <f>IF(Metadata!B2="ENG",I16,J16)</f>
        <v>Service Contract</v>
      </c>
      <c r="I16" s="207" t="s">
        <v>733</v>
      </c>
      <c r="J16" t="s">
        <v>744</v>
      </c>
    </row>
    <row r="17" spans="1:10">
      <c r="A17" t="s">
        <v>267</v>
      </c>
      <c r="B17" t="s">
        <v>268</v>
      </c>
      <c r="D17" t="str">
        <f>IF(Metadata!B2="ENG",E17,F17)</f>
        <v>Molybdenum</v>
      </c>
      <c r="E17" t="s">
        <v>813</v>
      </c>
      <c r="F17" t="s">
        <v>814</v>
      </c>
      <c r="H17" t="str">
        <f>IF(Metadata!B2="ENG",I17,J17)</f>
        <v>Other</v>
      </c>
      <c r="I17" s="207" t="s">
        <v>734</v>
      </c>
      <c r="J17" t="s">
        <v>746</v>
      </c>
    </row>
    <row r="18" spans="1:10">
      <c r="A18" t="s">
        <v>269</v>
      </c>
      <c r="B18" t="s">
        <v>270</v>
      </c>
      <c r="D18" t="str">
        <f>IF(Metadata!B2="ENG",E18,F18)</f>
        <v>Nickel</v>
      </c>
      <c r="E18" t="s">
        <v>779</v>
      </c>
      <c r="F18" t="s">
        <v>779</v>
      </c>
      <c r="H18">
        <f>IF(Metadata!B2="ENG",I18,J18)</f>
        <v>0</v>
      </c>
    </row>
    <row r="19" spans="1:10">
      <c r="A19" t="s">
        <v>271</v>
      </c>
      <c r="B19" t="s">
        <v>272</v>
      </c>
      <c r="D19" t="str">
        <f>IF(Metadata!B2="ENG",E19,F19)</f>
        <v>Phosphate rock</v>
      </c>
      <c r="E19" t="s">
        <v>780</v>
      </c>
      <c r="F19" t="s">
        <v>820</v>
      </c>
      <c r="H19">
        <f>IF(Metadata!B2="ENG",I19,J19)</f>
        <v>0</v>
      </c>
    </row>
    <row r="20" spans="1:10">
      <c r="A20" t="s">
        <v>273</v>
      </c>
      <c r="B20" t="s">
        <v>274</v>
      </c>
      <c r="D20" t="str">
        <f>IF(Metadata!B2="ENG",E20,F20)</f>
        <v>Platinum Group Metals</v>
      </c>
      <c r="E20" t="s">
        <v>781</v>
      </c>
      <c r="F20" t="s">
        <v>821</v>
      </c>
      <c r="H20">
        <f>IF(Metadata!B2="ENG",I20,J20)</f>
        <v>0</v>
      </c>
    </row>
    <row r="21" spans="1:10">
      <c r="A21" t="s">
        <v>275</v>
      </c>
      <c r="B21" t="s">
        <v>276</v>
      </c>
      <c r="D21" t="str">
        <f>IF(Metadata!B2="ENG",E21,F21)</f>
        <v>Precious stones</v>
      </c>
      <c r="E21" t="s">
        <v>782</v>
      </c>
      <c r="F21" t="s">
        <v>822</v>
      </c>
      <c r="H21">
        <f>IF(Metadata!B2="ENG",I21,J21)</f>
        <v>0</v>
      </c>
    </row>
    <row r="22" spans="1:10">
      <c r="A22" t="s">
        <v>277</v>
      </c>
      <c r="B22" t="s">
        <v>278</v>
      </c>
      <c r="D22" t="str">
        <f>IF(Metadata!B2="ENG",E22,F22)</f>
        <v>Quartz</v>
      </c>
      <c r="E22" t="s">
        <v>783</v>
      </c>
      <c r="F22" t="s">
        <v>783</v>
      </c>
      <c r="H22">
        <f>IF(Metadata!B2="ENG",I22,J22)</f>
        <v>0</v>
      </c>
    </row>
    <row r="23" spans="1:10">
      <c r="A23" t="s">
        <v>279</v>
      </c>
      <c r="B23" t="s">
        <v>280</v>
      </c>
      <c r="D23" t="str">
        <f>IF(Metadata!B2="ENG",E23,F23)</f>
        <v>Semi-precious stones</v>
      </c>
      <c r="E23" t="s">
        <v>784</v>
      </c>
      <c r="F23" t="s">
        <v>823</v>
      </c>
      <c r="H23">
        <f>IF(Metadata!B2="ENG",I23,J23)</f>
        <v>0</v>
      </c>
    </row>
    <row r="24" spans="1:10">
      <c r="A24" t="s">
        <v>281</v>
      </c>
      <c r="B24" t="s">
        <v>282</v>
      </c>
      <c r="D24" t="str">
        <f>IF(Metadata!B2="ENG",E24,F24)</f>
        <v>Silver</v>
      </c>
      <c r="E24" t="s">
        <v>785</v>
      </c>
      <c r="F24" t="s">
        <v>824</v>
      </c>
      <c r="H24">
        <f>IF(Metadata!B2="ENG",I24,J24)</f>
        <v>0</v>
      </c>
    </row>
    <row r="25" spans="1:10">
      <c r="A25" t="s">
        <v>283</v>
      </c>
      <c r="B25" t="s">
        <v>284</v>
      </c>
      <c r="D25" t="str">
        <f>IF(Metadata!B2="ENG",E25,F25)</f>
        <v>Titanium</v>
      </c>
      <c r="E25" t="s">
        <v>786</v>
      </c>
      <c r="F25" t="s">
        <v>825</v>
      </c>
      <c r="H25">
        <f>IF(Metadata!B2="ENG",I25,J25)</f>
        <v>0</v>
      </c>
    </row>
    <row r="26" spans="1:10">
      <c r="A26" t="s">
        <v>285</v>
      </c>
      <c r="B26" t="s">
        <v>286</v>
      </c>
      <c r="D26" t="str">
        <f>IF(Metadata!B2="ENG",E26,F26)</f>
        <v>Uranium</v>
      </c>
      <c r="E26" t="s">
        <v>787</v>
      </c>
      <c r="F26" t="s">
        <v>787</v>
      </c>
      <c r="H26">
        <f>IF(Metadata!B2="ENG",I26,J26)</f>
        <v>0</v>
      </c>
    </row>
    <row r="27" spans="1:10">
      <c r="A27" t="s">
        <v>287</v>
      </c>
      <c r="B27" t="s">
        <v>288</v>
      </c>
      <c r="D27" t="str">
        <f>IF(Metadata!B2="ENG",E27,F27)</f>
        <v>Zinc</v>
      </c>
      <c r="E27" t="s">
        <v>788</v>
      </c>
      <c r="F27" t="s">
        <v>788</v>
      </c>
      <c r="H27">
        <f>IF(Metadata!B2="ENG",I27,J27)</f>
        <v>0</v>
      </c>
    </row>
    <row r="28" spans="1:10">
      <c r="A28" t="s">
        <v>289</v>
      </c>
      <c r="B28" t="s">
        <v>290</v>
      </c>
      <c r="D28" t="str">
        <f>IF(Metadata!B2="ENG",E28,F28)</f>
        <v>Citrus</v>
      </c>
      <c r="E28" t="s">
        <v>789</v>
      </c>
      <c r="F28" t="s">
        <v>789</v>
      </c>
      <c r="H28">
        <f>IF(Metadata!B2="ENG",I28,J28)</f>
        <v>0</v>
      </c>
    </row>
    <row r="29" spans="1:10">
      <c r="A29" t="s">
        <v>291</v>
      </c>
      <c r="B29" t="s">
        <v>292</v>
      </c>
      <c r="D29" t="str">
        <f>IF(Metadata!B2="ENG",E29,F29)</f>
        <v>Food crops</v>
      </c>
      <c r="E29" t="s">
        <v>790</v>
      </c>
      <c r="F29" t="s">
        <v>791</v>
      </c>
      <c r="H29">
        <f>IF(Metadata!B2="ENG",I29,J29)</f>
        <v>0</v>
      </c>
    </row>
    <row r="30" spans="1:10">
      <c r="A30" t="s">
        <v>293</v>
      </c>
      <c r="B30" t="s">
        <v>294</v>
      </c>
      <c r="D30" t="str">
        <f>IF(Metadata!B2="ENG",E30,F30)</f>
        <v>Hydrocarbons</v>
      </c>
      <c r="E30" t="s">
        <v>792</v>
      </c>
      <c r="F30" t="s">
        <v>826</v>
      </c>
      <c r="H30">
        <f>IF(Metadata!B2="ENG",I30,J30)</f>
        <v>0</v>
      </c>
    </row>
    <row r="31" spans="1:10">
      <c r="A31" t="s">
        <v>295</v>
      </c>
      <c r="B31" t="s">
        <v>296</v>
      </c>
      <c r="D31" t="str">
        <f>IF(Metadata!B2="ENG",E31,F31)</f>
        <v>Palm oil</v>
      </c>
      <c r="E31" t="s">
        <v>793</v>
      </c>
      <c r="F31" t="s">
        <v>794</v>
      </c>
      <c r="H31">
        <f>IF(Metadata!B2="ENG",I31,J31)</f>
        <v>0</v>
      </c>
    </row>
    <row r="32" spans="1:10">
      <c r="A32" t="s">
        <v>297</v>
      </c>
      <c r="B32" t="s">
        <v>298</v>
      </c>
      <c r="D32" t="str">
        <f>IF(Metadata!B2="ENG",E32,F32)</f>
        <v>Rubber</v>
      </c>
      <c r="E32" t="s">
        <v>795</v>
      </c>
      <c r="F32" t="s">
        <v>827</v>
      </c>
      <c r="H32">
        <f>IF(Metadata!B2="ENG",I32,J32)</f>
        <v>0</v>
      </c>
    </row>
    <row r="33" spans="1:8">
      <c r="A33" t="s">
        <v>299</v>
      </c>
      <c r="B33" t="s">
        <v>300</v>
      </c>
      <c r="D33" t="str">
        <f>IF(Metadata!B2="ENG",E33,F33)</f>
        <v>Soy</v>
      </c>
      <c r="E33" t="s">
        <v>796</v>
      </c>
      <c r="F33" t="s">
        <v>828</v>
      </c>
      <c r="H33">
        <f>IF(Metadata!B2="ENG",I33,J33)</f>
        <v>0</v>
      </c>
    </row>
    <row r="34" spans="1:8">
      <c r="A34" t="s">
        <v>301</v>
      </c>
      <c r="B34" t="s">
        <v>302</v>
      </c>
      <c r="D34" t="str">
        <f>IF(Metadata!B2="ENG",E34,F34)</f>
        <v>Sugar</v>
      </c>
      <c r="E34" t="s">
        <v>797</v>
      </c>
      <c r="F34" t="s">
        <v>798</v>
      </c>
      <c r="H34">
        <f>IF(Metadata!B2="ENG",I34,J34)</f>
        <v>0</v>
      </c>
    </row>
    <row r="35" spans="1:8">
      <c r="A35" t="s">
        <v>303</v>
      </c>
      <c r="B35" t="s">
        <v>304</v>
      </c>
      <c r="D35" t="str">
        <f>IF(Metadata!B2="ENG",E35,F35)</f>
        <v>Timber</v>
      </c>
      <c r="E35" t="s">
        <v>799</v>
      </c>
      <c r="F35" t="s">
        <v>800</v>
      </c>
      <c r="H35">
        <f>IF(Metadata!B2="ENG",I35,J35)</f>
        <v>0</v>
      </c>
    </row>
    <row r="36" spans="1:8">
      <c r="A36" t="s">
        <v>305</v>
      </c>
      <c r="B36" t="s">
        <v>306</v>
      </c>
      <c r="D36">
        <f>IF(Metadata!B2="ENG",E36,F36)</f>
        <v>0</v>
      </c>
      <c r="H36">
        <f>IF(Metadata!B2="ENG",I36,J36)</f>
        <v>0</v>
      </c>
    </row>
    <row r="37" spans="1:8">
      <c r="A37" t="s">
        <v>307</v>
      </c>
      <c r="B37" t="s">
        <v>308</v>
      </c>
      <c r="D37">
        <f>IF(Metadata!B2="ENG",E37,F37)</f>
        <v>0</v>
      </c>
      <c r="H37">
        <f>IF(Metadata!B2="ENG",I37,J37)</f>
        <v>0</v>
      </c>
    </row>
    <row r="38" spans="1:8">
      <c r="A38" t="s">
        <v>309</v>
      </c>
      <c r="B38" t="s">
        <v>310</v>
      </c>
      <c r="D38">
        <f>IF(Metadata!B2="ENG",E38,F38)</f>
        <v>0</v>
      </c>
      <c r="H38">
        <f>IF(Metadata!B2="ENG",I38,J38)</f>
        <v>0</v>
      </c>
    </row>
    <row r="39" spans="1:8">
      <c r="A39" t="s">
        <v>311</v>
      </c>
      <c r="B39" t="s">
        <v>312</v>
      </c>
      <c r="D39">
        <f>IF(Metadata!B2="ENG",E39,F39)</f>
        <v>0</v>
      </c>
      <c r="H39">
        <f>IF(Metadata!B2="ENG",I39,J39)</f>
        <v>0</v>
      </c>
    </row>
    <row r="40" spans="1:8">
      <c r="A40" t="s">
        <v>313</v>
      </c>
      <c r="B40" t="s">
        <v>314</v>
      </c>
      <c r="D40">
        <f>IF(Metadata!B2="ENG",E40,F40)</f>
        <v>0</v>
      </c>
      <c r="H40">
        <f>IF(Metadata!B2="ENG",I40,J40)</f>
        <v>0</v>
      </c>
    </row>
    <row r="41" spans="1:8">
      <c r="A41" t="s">
        <v>315</v>
      </c>
      <c r="B41" t="s">
        <v>316</v>
      </c>
      <c r="D41">
        <f>IF(Metadata!B2="ENG",E41,F41)</f>
        <v>0</v>
      </c>
      <c r="H41">
        <f>IF(Metadata!B2="ENG",I41,J41)</f>
        <v>0</v>
      </c>
    </row>
    <row r="42" spans="1:8">
      <c r="A42" t="s">
        <v>317</v>
      </c>
      <c r="B42" t="s">
        <v>318</v>
      </c>
      <c r="D42">
        <f>IF(Metadata!B2="ENG",E42,F42)</f>
        <v>0</v>
      </c>
      <c r="H42">
        <f>IF(Metadata!B2="ENG",I42,J42)</f>
        <v>0</v>
      </c>
    </row>
    <row r="43" spans="1:8">
      <c r="A43" t="s">
        <v>319</v>
      </c>
      <c r="B43" t="s">
        <v>320</v>
      </c>
      <c r="D43">
        <f>IF(Metadata!B2="ENG",E43,F43)</f>
        <v>0</v>
      </c>
      <c r="H43">
        <f>IF(Metadata!B2="ENG",I43,J43)</f>
        <v>0</v>
      </c>
    </row>
    <row r="44" spans="1:8">
      <c r="A44" t="s">
        <v>321</v>
      </c>
      <c r="B44" t="s">
        <v>322</v>
      </c>
      <c r="D44">
        <f>IF(Metadata!B2="ENG",E44,F44)</f>
        <v>0</v>
      </c>
      <c r="H44">
        <f>IF(Metadata!B2="ENG",I44,J44)</f>
        <v>0</v>
      </c>
    </row>
    <row r="45" spans="1:8">
      <c r="A45" t="s">
        <v>323</v>
      </c>
      <c r="B45" t="s">
        <v>324</v>
      </c>
      <c r="D45">
        <f>IF(Metadata!B2="ENG",E45,F45)</f>
        <v>0</v>
      </c>
      <c r="H45">
        <f>IF(Metadata!B2="ENG",I45,J45)</f>
        <v>0</v>
      </c>
    </row>
    <row r="46" spans="1:8">
      <c r="A46" t="s">
        <v>325</v>
      </c>
      <c r="B46" t="s">
        <v>326</v>
      </c>
      <c r="D46">
        <f>IF(Metadata!B2="ENG",E46,F46)</f>
        <v>0</v>
      </c>
      <c r="H46">
        <f>IF(Metadata!B2="ENG",I46,J46)</f>
        <v>0</v>
      </c>
    </row>
    <row r="47" spans="1:8">
      <c r="A47" t="s">
        <v>327</v>
      </c>
      <c r="B47" t="s">
        <v>328</v>
      </c>
      <c r="D47">
        <f>IF(Metadata!B2="ENG",E47,F47)</f>
        <v>0</v>
      </c>
      <c r="H47">
        <f>IF(Metadata!B2="ENG",I47,J47)</f>
        <v>0</v>
      </c>
    </row>
    <row r="48" spans="1:8">
      <c r="A48" t="s">
        <v>329</v>
      </c>
      <c r="B48" t="s">
        <v>330</v>
      </c>
      <c r="D48">
        <f>IF(Metadata!B2="ENG",E48,F48)</f>
        <v>0</v>
      </c>
      <c r="H48">
        <f>IF(Metadata!B2="ENG",I48,J48)</f>
        <v>0</v>
      </c>
    </row>
    <row r="49" spans="1:8">
      <c r="A49" t="s">
        <v>331</v>
      </c>
      <c r="B49" t="s">
        <v>332</v>
      </c>
      <c r="D49">
        <f>IF(Metadata!B2="ENG",E49,F49)</f>
        <v>0</v>
      </c>
      <c r="H49">
        <f>IF(Metadata!B2="ENG",I49,J49)</f>
        <v>0</v>
      </c>
    </row>
    <row r="50" spans="1:8">
      <c r="A50" t="s">
        <v>333</v>
      </c>
      <c r="B50" t="s">
        <v>334</v>
      </c>
      <c r="D50">
        <f>IF(Metadata!B2="ENG",E50,F50)</f>
        <v>0</v>
      </c>
      <c r="H50">
        <f>IF(Metadata!B2="ENG",I50,J50)</f>
        <v>0</v>
      </c>
    </row>
    <row r="51" spans="1:8">
      <c r="A51" t="s">
        <v>335</v>
      </c>
      <c r="B51" t="s">
        <v>336</v>
      </c>
      <c r="D51">
        <f>IF(Metadata!B2="ENG",E51,F51)</f>
        <v>0</v>
      </c>
      <c r="H51">
        <f>IF(Metadata!B2="ENG",I51,J51)</f>
        <v>0</v>
      </c>
    </row>
    <row r="52" spans="1:8">
      <c r="A52" t="s">
        <v>337</v>
      </c>
      <c r="B52" t="s">
        <v>338</v>
      </c>
      <c r="D52">
        <f>IF(Metadata!B2="ENG",E52,F52)</f>
        <v>0</v>
      </c>
      <c r="H52">
        <f>IF(Metadata!B2="ENG",I52,J52)</f>
        <v>0</v>
      </c>
    </row>
    <row r="53" spans="1:8">
      <c r="A53" t="s">
        <v>339</v>
      </c>
      <c r="B53" t="s">
        <v>340</v>
      </c>
      <c r="D53">
        <f>IF(Metadata!B2="ENG",E53,F53)</f>
        <v>0</v>
      </c>
      <c r="H53">
        <f>IF(Metadata!B2="ENG",I53,J53)</f>
        <v>0</v>
      </c>
    </row>
    <row r="54" spans="1:8">
      <c r="A54" t="s">
        <v>341</v>
      </c>
      <c r="B54" t="s">
        <v>342</v>
      </c>
      <c r="D54">
        <f>IF(Metadata!B2="ENG",E54,F54)</f>
        <v>0</v>
      </c>
      <c r="H54">
        <f>IF(Metadata!B2="ENG",I54,J54)</f>
        <v>0</v>
      </c>
    </row>
    <row r="55" spans="1:8">
      <c r="A55" t="s">
        <v>343</v>
      </c>
      <c r="B55" t="s">
        <v>344</v>
      </c>
      <c r="D55">
        <f>IF(Metadata!B2="ENG",E55,F55)</f>
        <v>0</v>
      </c>
      <c r="H55">
        <f>IF(Metadata!B2="ENG",I55,J55)</f>
        <v>0</v>
      </c>
    </row>
    <row r="56" spans="1:8">
      <c r="A56" t="s">
        <v>345</v>
      </c>
      <c r="B56" t="s">
        <v>346</v>
      </c>
      <c r="D56">
        <f>IF(Metadata!B2="ENG",E56,F56)</f>
        <v>0</v>
      </c>
      <c r="H56">
        <f>IF(Metadata!B2="ENG",I56,J56)</f>
        <v>0</v>
      </c>
    </row>
    <row r="57" spans="1:8">
      <c r="A57" t="s">
        <v>347</v>
      </c>
      <c r="B57" t="s">
        <v>348</v>
      </c>
      <c r="D57">
        <f>IF(Metadata!B2="ENG",E57,F57)</f>
        <v>0</v>
      </c>
      <c r="H57">
        <f>IF(Metadata!B2="ENG",I57,J57)</f>
        <v>0</v>
      </c>
    </row>
    <row r="58" spans="1:8">
      <c r="A58" t="s">
        <v>349</v>
      </c>
      <c r="B58" t="s">
        <v>350</v>
      </c>
      <c r="D58">
        <f>IF(Metadata!B2="ENG",E58,F58)</f>
        <v>0</v>
      </c>
      <c r="H58">
        <f>IF(Metadata!B2="ENG",I58,J58)</f>
        <v>0</v>
      </c>
    </row>
    <row r="59" spans="1:8">
      <c r="A59" t="s">
        <v>351</v>
      </c>
      <c r="B59" t="s">
        <v>352</v>
      </c>
      <c r="D59">
        <f>IF(Metadata!B2="ENG",E59,F59)</f>
        <v>0</v>
      </c>
      <c r="H59">
        <f>IF(Metadata!B2="ENG",I59,J59)</f>
        <v>0</v>
      </c>
    </row>
    <row r="60" spans="1:8">
      <c r="A60" t="s">
        <v>353</v>
      </c>
      <c r="B60" t="s">
        <v>354</v>
      </c>
      <c r="D60">
        <f>IF(Metadata!B2="ENG",E60,F60)</f>
        <v>0</v>
      </c>
      <c r="H60">
        <f>IF(Metadata!B2="ENG",I60,J60)</f>
        <v>0</v>
      </c>
    </row>
    <row r="61" spans="1:8">
      <c r="A61" t="s">
        <v>355</v>
      </c>
      <c r="B61" t="s">
        <v>356</v>
      </c>
      <c r="D61">
        <f>IF(Metadata!B2="ENG",E61,F61)</f>
        <v>0</v>
      </c>
      <c r="H61">
        <f>IF(Metadata!B2="ENG",I61,J61)</f>
        <v>0</v>
      </c>
    </row>
    <row r="62" spans="1:8">
      <c r="A62" t="s">
        <v>357</v>
      </c>
      <c r="B62" t="s">
        <v>358</v>
      </c>
    </row>
    <row r="63" spans="1:8">
      <c r="A63" t="s">
        <v>359</v>
      </c>
      <c r="B63" t="s">
        <v>360</v>
      </c>
    </row>
    <row r="64" spans="1:8">
      <c r="A64" t="s">
        <v>361</v>
      </c>
      <c r="B64" t="s">
        <v>362</v>
      </c>
    </row>
    <row r="65" spans="1:2">
      <c r="A65" t="s">
        <v>363</v>
      </c>
      <c r="B65" t="s">
        <v>364</v>
      </c>
    </row>
    <row r="66" spans="1:2">
      <c r="A66" t="s">
        <v>365</v>
      </c>
      <c r="B66" t="s">
        <v>366</v>
      </c>
    </row>
    <row r="67" spans="1:2">
      <c r="A67" t="s">
        <v>367</v>
      </c>
      <c r="B67" t="s">
        <v>368</v>
      </c>
    </row>
    <row r="68" spans="1:2">
      <c r="A68" t="s">
        <v>369</v>
      </c>
      <c r="B68" t="s">
        <v>370</v>
      </c>
    </row>
    <row r="69" spans="1:2">
      <c r="A69" t="s">
        <v>371</v>
      </c>
      <c r="B69" t="s">
        <v>372</v>
      </c>
    </row>
    <row r="70" spans="1:2">
      <c r="A70" t="s">
        <v>373</v>
      </c>
      <c r="B70" t="s">
        <v>374</v>
      </c>
    </row>
    <row r="71" spans="1:2">
      <c r="A71" t="s">
        <v>375</v>
      </c>
      <c r="B71" t="s">
        <v>376</v>
      </c>
    </row>
    <row r="72" spans="1:2">
      <c r="A72" t="s">
        <v>377</v>
      </c>
      <c r="B72" t="s">
        <v>378</v>
      </c>
    </row>
    <row r="73" spans="1:2">
      <c r="A73" t="s">
        <v>379</v>
      </c>
      <c r="B73" t="s">
        <v>380</v>
      </c>
    </row>
    <row r="74" spans="1:2">
      <c r="A74" t="s">
        <v>381</v>
      </c>
      <c r="B74" t="s">
        <v>382</v>
      </c>
    </row>
    <row r="75" spans="1:2">
      <c r="A75" t="s">
        <v>383</v>
      </c>
      <c r="B75" t="s">
        <v>384</v>
      </c>
    </row>
    <row r="76" spans="1:2">
      <c r="A76" t="s">
        <v>385</v>
      </c>
      <c r="B76" t="s">
        <v>386</v>
      </c>
    </row>
    <row r="77" spans="1:2">
      <c r="A77" t="s">
        <v>387</v>
      </c>
      <c r="B77" t="s">
        <v>388</v>
      </c>
    </row>
    <row r="78" spans="1:2">
      <c r="A78" t="s">
        <v>389</v>
      </c>
      <c r="B78" t="s">
        <v>390</v>
      </c>
    </row>
    <row r="79" spans="1:2">
      <c r="A79" t="s">
        <v>391</v>
      </c>
      <c r="B79" t="s">
        <v>392</v>
      </c>
    </row>
    <row r="80" spans="1:2">
      <c r="A80" t="s">
        <v>393</v>
      </c>
      <c r="B80" t="s">
        <v>394</v>
      </c>
    </row>
    <row r="81" spans="1:2">
      <c r="A81" t="s">
        <v>395</v>
      </c>
      <c r="B81" t="s">
        <v>396</v>
      </c>
    </row>
    <row r="82" spans="1:2">
      <c r="A82" t="s">
        <v>397</v>
      </c>
      <c r="B82" t="s">
        <v>398</v>
      </c>
    </row>
    <row r="83" spans="1:2">
      <c r="A83" t="s">
        <v>399</v>
      </c>
      <c r="B83" t="s">
        <v>400</v>
      </c>
    </row>
    <row r="84" spans="1:2">
      <c r="A84" t="s">
        <v>401</v>
      </c>
      <c r="B84" t="s">
        <v>402</v>
      </c>
    </row>
    <row r="85" spans="1:2">
      <c r="A85" t="s">
        <v>403</v>
      </c>
      <c r="B85" t="s">
        <v>404</v>
      </c>
    </row>
    <row r="86" spans="1:2">
      <c r="A86" t="s">
        <v>405</v>
      </c>
      <c r="B86" t="s">
        <v>406</v>
      </c>
    </row>
    <row r="87" spans="1:2">
      <c r="A87" t="s">
        <v>407</v>
      </c>
      <c r="B87" t="s">
        <v>408</v>
      </c>
    </row>
    <row r="88" spans="1:2">
      <c r="A88" t="s">
        <v>409</v>
      </c>
      <c r="B88" t="s">
        <v>410</v>
      </c>
    </row>
    <row r="89" spans="1:2">
      <c r="A89" t="s">
        <v>411</v>
      </c>
      <c r="B89" t="s">
        <v>412</v>
      </c>
    </row>
    <row r="90" spans="1:2">
      <c r="A90" t="s">
        <v>413</v>
      </c>
      <c r="B90" t="s">
        <v>414</v>
      </c>
    </row>
    <row r="91" spans="1:2">
      <c r="A91" t="s">
        <v>415</v>
      </c>
      <c r="B91" t="s">
        <v>416</v>
      </c>
    </row>
    <row r="92" spans="1:2">
      <c r="A92" t="s">
        <v>417</v>
      </c>
      <c r="B92" t="s">
        <v>418</v>
      </c>
    </row>
    <row r="93" spans="1:2">
      <c r="A93" t="s">
        <v>419</v>
      </c>
      <c r="B93" t="s">
        <v>420</v>
      </c>
    </row>
    <row r="94" spans="1:2">
      <c r="A94" t="s">
        <v>421</v>
      </c>
      <c r="B94" t="s">
        <v>422</v>
      </c>
    </row>
    <row r="95" spans="1:2">
      <c r="A95" t="s">
        <v>423</v>
      </c>
      <c r="B95" t="s">
        <v>424</v>
      </c>
    </row>
    <row r="96" spans="1:2">
      <c r="A96" t="s">
        <v>425</v>
      </c>
      <c r="B96" t="s">
        <v>106</v>
      </c>
    </row>
    <row r="97" spans="1:2">
      <c r="A97" t="s">
        <v>426</v>
      </c>
      <c r="B97" t="s">
        <v>427</v>
      </c>
    </row>
    <row r="98" spans="1:2">
      <c r="A98" t="s">
        <v>428</v>
      </c>
      <c r="B98" t="s">
        <v>429</v>
      </c>
    </row>
    <row r="99" spans="1:2">
      <c r="A99" t="s">
        <v>430</v>
      </c>
      <c r="B99" t="s">
        <v>431</v>
      </c>
    </row>
    <row r="100" spans="1:2">
      <c r="A100" t="s">
        <v>432</v>
      </c>
      <c r="B100" t="s">
        <v>433</v>
      </c>
    </row>
    <row r="101" spans="1:2">
      <c r="A101" t="s">
        <v>434</v>
      </c>
      <c r="B101" t="s">
        <v>435</v>
      </c>
    </row>
    <row r="102" spans="1:2">
      <c r="A102" t="s">
        <v>436</v>
      </c>
      <c r="B102" t="s">
        <v>437</v>
      </c>
    </row>
    <row r="103" spans="1:2">
      <c r="A103" t="s">
        <v>438</v>
      </c>
      <c r="B103" t="s">
        <v>439</v>
      </c>
    </row>
    <row r="104" spans="1:2">
      <c r="A104" t="s">
        <v>440</v>
      </c>
      <c r="B104" t="s">
        <v>441</v>
      </c>
    </row>
    <row r="105" spans="1:2">
      <c r="A105" t="s">
        <v>442</v>
      </c>
      <c r="B105" t="s">
        <v>443</v>
      </c>
    </row>
    <row r="106" spans="1:2">
      <c r="A106" t="s">
        <v>444</v>
      </c>
      <c r="B106" t="s">
        <v>445</v>
      </c>
    </row>
    <row r="107" spans="1:2">
      <c r="A107" t="s">
        <v>446</v>
      </c>
      <c r="B107" t="s">
        <v>447</v>
      </c>
    </row>
    <row r="108" spans="1:2">
      <c r="A108" t="s">
        <v>448</v>
      </c>
      <c r="B108" t="s">
        <v>449</v>
      </c>
    </row>
    <row r="109" spans="1:2">
      <c r="A109" t="s">
        <v>450</v>
      </c>
      <c r="B109" t="s">
        <v>451</v>
      </c>
    </row>
    <row r="110" spans="1:2">
      <c r="A110" t="s">
        <v>452</v>
      </c>
      <c r="B110" t="s">
        <v>453</v>
      </c>
    </row>
    <row r="111" spans="1:2">
      <c r="A111" t="s">
        <v>454</v>
      </c>
      <c r="B111" t="s">
        <v>455</v>
      </c>
    </row>
    <row r="112" spans="1:2">
      <c r="A112" t="s">
        <v>456</v>
      </c>
      <c r="B112" t="s">
        <v>457</v>
      </c>
    </row>
    <row r="113" spans="1:2">
      <c r="A113" t="s">
        <v>458</v>
      </c>
      <c r="B113" t="s">
        <v>459</v>
      </c>
    </row>
    <row r="114" spans="1:2">
      <c r="A114" t="s">
        <v>460</v>
      </c>
      <c r="B114" t="s">
        <v>461</v>
      </c>
    </row>
    <row r="115" spans="1:2">
      <c r="A115" t="s">
        <v>462</v>
      </c>
      <c r="B115" t="s">
        <v>463</v>
      </c>
    </row>
    <row r="116" spans="1:2">
      <c r="A116" t="s">
        <v>464</v>
      </c>
      <c r="B116" t="s">
        <v>465</v>
      </c>
    </row>
    <row r="117" spans="1:2">
      <c r="A117" t="s">
        <v>466</v>
      </c>
      <c r="B117" t="s">
        <v>467</v>
      </c>
    </row>
    <row r="118" spans="1:2">
      <c r="A118" t="s">
        <v>468</v>
      </c>
      <c r="B118" t="s">
        <v>469</v>
      </c>
    </row>
    <row r="119" spans="1:2">
      <c r="A119" t="s">
        <v>470</v>
      </c>
      <c r="B119" t="s">
        <v>471</v>
      </c>
    </row>
    <row r="120" spans="1:2">
      <c r="A120" t="s">
        <v>472</v>
      </c>
      <c r="B120" t="s">
        <v>473</v>
      </c>
    </row>
    <row r="121" spans="1:2">
      <c r="A121" t="s">
        <v>474</v>
      </c>
      <c r="B121" t="s">
        <v>475</v>
      </c>
    </row>
    <row r="122" spans="1:2">
      <c r="A122" t="s">
        <v>476</v>
      </c>
      <c r="B122" t="s">
        <v>477</v>
      </c>
    </row>
    <row r="123" spans="1:2">
      <c r="A123" t="s">
        <v>478</v>
      </c>
      <c r="B123" t="s">
        <v>479</v>
      </c>
    </row>
    <row r="124" spans="1:2">
      <c r="A124" t="s">
        <v>480</v>
      </c>
      <c r="B124" t="s">
        <v>481</v>
      </c>
    </row>
    <row r="125" spans="1:2">
      <c r="A125" t="s">
        <v>482</v>
      </c>
      <c r="B125" t="s">
        <v>483</v>
      </c>
    </row>
    <row r="126" spans="1:2">
      <c r="A126" t="s">
        <v>484</v>
      </c>
      <c r="B126" t="s">
        <v>485</v>
      </c>
    </row>
    <row r="127" spans="1:2">
      <c r="A127" t="s">
        <v>486</v>
      </c>
      <c r="B127" t="s">
        <v>487</v>
      </c>
    </row>
    <row r="128" spans="1:2">
      <c r="A128" t="s">
        <v>488</v>
      </c>
      <c r="B128" t="s">
        <v>489</v>
      </c>
    </row>
    <row r="129" spans="1:2">
      <c r="A129" t="s">
        <v>490</v>
      </c>
      <c r="B129" t="s">
        <v>491</v>
      </c>
    </row>
    <row r="130" spans="1:2">
      <c r="A130" t="s">
        <v>492</v>
      </c>
      <c r="B130" t="s">
        <v>493</v>
      </c>
    </row>
    <row r="131" spans="1:2">
      <c r="A131" t="s">
        <v>494</v>
      </c>
      <c r="B131" t="s">
        <v>495</v>
      </c>
    </row>
    <row r="132" spans="1:2">
      <c r="A132" t="s">
        <v>496</v>
      </c>
      <c r="B132" t="s">
        <v>497</v>
      </c>
    </row>
    <row r="133" spans="1:2">
      <c r="A133" t="s">
        <v>498</v>
      </c>
      <c r="B133" t="s">
        <v>499</v>
      </c>
    </row>
    <row r="134" spans="1:2">
      <c r="A134" t="s">
        <v>500</v>
      </c>
      <c r="B134" t="s">
        <v>501</v>
      </c>
    </row>
    <row r="135" spans="1:2">
      <c r="A135" t="s">
        <v>502</v>
      </c>
      <c r="B135" t="s">
        <v>503</v>
      </c>
    </row>
    <row r="136" spans="1:2">
      <c r="A136" t="s">
        <v>504</v>
      </c>
      <c r="B136" t="s">
        <v>505</v>
      </c>
    </row>
    <row r="137" spans="1:2">
      <c r="A137" t="s">
        <v>506</v>
      </c>
      <c r="B137" t="s">
        <v>507</v>
      </c>
    </row>
    <row r="138" spans="1:2">
      <c r="A138" t="s">
        <v>508</v>
      </c>
      <c r="B138" t="s">
        <v>509</v>
      </c>
    </row>
    <row r="139" spans="1:2">
      <c r="A139" t="s">
        <v>510</v>
      </c>
      <c r="B139" t="s">
        <v>511</v>
      </c>
    </row>
    <row r="140" spans="1:2">
      <c r="A140" t="s">
        <v>512</v>
      </c>
      <c r="B140" t="s">
        <v>513</v>
      </c>
    </row>
    <row r="141" spans="1:2">
      <c r="A141" t="s">
        <v>514</v>
      </c>
      <c r="B141" t="s">
        <v>515</v>
      </c>
    </row>
    <row r="142" spans="1:2">
      <c r="A142" t="s">
        <v>516</v>
      </c>
      <c r="B142" t="s">
        <v>517</v>
      </c>
    </row>
    <row r="143" spans="1:2">
      <c r="A143" t="s">
        <v>518</v>
      </c>
      <c r="B143" t="s">
        <v>519</v>
      </c>
    </row>
    <row r="144" spans="1:2">
      <c r="A144" t="s">
        <v>520</v>
      </c>
      <c r="B144" t="s">
        <v>521</v>
      </c>
    </row>
    <row r="145" spans="1:2">
      <c r="A145" t="s">
        <v>522</v>
      </c>
      <c r="B145" t="s">
        <v>523</v>
      </c>
    </row>
    <row r="146" spans="1:2">
      <c r="A146" t="s">
        <v>524</v>
      </c>
      <c r="B146" t="s">
        <v>525</v>
      </c>
    </row>
    <row r="147" spans="1:2">
      <c r="A147" t="s">
        <v>526</v>
      </c>
      <c r="B147" t="s">
        <v>527</v>
      </c>
    </row>
    <row r="148" spans="1:2">
      <c r="A148" t="s">
        <v>528</v>
      </c>
      <c r="B148" t="s">
        <v>529</v>
      </c>
    </row>
    <row r="149" spans="1:2">
      <c r="A149" t="s">
        <v>530</v>
      </c>
      <c r="B149" t="s">
        <v>531</v>
      </c>
    </row>
    <row r="150" spans="1:2">
      <c r="A150" t="s">
        <v>532</v>
      </c>
      <c r="B150" t="s">
        <v>533</v>
      </c>
    </row>
    <row r="151" spans="1:2">
      <c r="A151" t="s">
        <v>534</v>
      </c>
      <c r="B151" t="s">
        <v>535</v>
      </c>
    </row>
    <row r="152" spans="1:2">
      <c r="A152" t="s">
        <v>536</v>
      </c>
      <c r="B152" t="s">
        <v>537</v>
      </c>
    </row>
    <row r="153" spans="1:2">
      <c r="A153" t="s">
        <v>538</v>
      </c>
      <c r="B153" t="s">
        <v>539</v>
      </c>
    </row>
    <row r="154" spans="1:2">
      <c r="A154" t="s">
        <v>540</v>
      </c>
      <c r="B154" t="s">
        <v>541</v>
      </c>
    </row>
    <row r="155" spans="1:2">
      <c r="A155" t="s">
        <v>542</v>
      </c>
      <c r="B155" t="s">
        <v>543</v>
      </c>
    </row>
    <row r="156" spans="1:2">
      <c r="A156" t="s">
        <v>544</v>
      </c>
      <c r="B156" t="s">
        <v>545</v>
      </c>
    </row>
    <row r="157" spans="1:2">
      <c r="A157" t="s">
        <v>546</v>
      </c>
      <c r="B157" t="s">
        <v>547</v>
      </c>
    </row>
    <row r="158" spans="1:2">
      <c r="A158" t="s">
        <v>548</v>
      </c>
      <c r="B158" t="s">
        <v>549</v>
      </c>
    </row>
    <row r="159" spans="1:2">
      <c r="A159" t="s">
        <v>550</v>
      </c>
      <c r="B159" t="s">
        <v>551</v>
      </c>
    </row>
    <row r="160" spans="1:2">
      <c r="A160" t="s">
        <v>552</v>
      </c>
      <c r="B160" t="s">
        <v>553</v>
      </c>
    </row>
    <row r="161" spans="1:2">
      <c r="A161" t="s">
        <v>554</v>
      </c>
      <c r="B161" t="s">
        <v>555</v>
      </c>
    </row>
    <row r="162" spans="1:2">
      <c r="A162" t="s">
        <v>556</v>
      </c>
      <c r="B162" t="s">
        <v>557</v>
      </c>
    </row>
    <row r="163" spans="1:2">
      <c r="A163" t="s">
        <v>558</v>
      </c>
      <c r="B163" t="s">
        <v>559</v>
      </c>
    </row>
    <row r="164" spans="1:2">
      <c r="A164" t="s">
        <v>560</v>
      </c>
      <c r="B164" t="s">
        <v>561</v>
      </c>
    </row>
    <row r="165" spans="1:2">
      <c r="A165" t="s">
        <v>562</v>
      </c>
      <c r="B165" t="s">
        <v>563</v>
      </c>
    </row>
    <row r="166" spans="1:2">
      <c r="A166" t="s">
        <v>564</v>
      </c>
      <c r="B166" t="s">
        <v>565</v>
      </c>
    </row>
    <row r="167" spans="1:2">
      <c r="A167" t="s">
        <v>566</v>
      </c>
      <c r="B167" t="s">
        <v>567</v>
      </c>
    </row>
    <row r="168" spans="1:2">
      <c r="A168" t="s">
        <v>568</v>
      </c>
      <c r="B168" t="s">
        <v>569</v>
      </c>
    </row>
    <row r="169" spans="1:2">
      <c r="A169" t="s">
        <v>570</v>
      </c>
      <c r="B169" t="s">
        <v>571</v>
      </c>
    </row>
    <row r="170" spans="1:2">
      <c r="A170" t="s">
        <v>572</v>
      </c>
      <c r="B170" t="s">
        <v>573</v>
      </c>
    </row>
    <row r="171" spans="1:2">
      <c r="A171" t="s">
        <v>574</v>
      </c>
      <c r="B171" t="s">
        <v>575</v>
      </c>
    </row>
    <row r="172" spans="1:2">
      <c r="A172" t="s">
        <v>576</v>
      </c>
      <c r="B172" t="s">
        <v>577</v>
      </c>
    </row>
    <row r="173" spans="1:2">
      <c r="A173" t="s">
        <v>578</v>
      </c>
      <c r="B173" t="s">
        <v>579</v>
      </c>
    </row>
    <row r="174" spans="1:2">
      <c r="A174" t="s">
        <v>580</v>
      </c>
      <c r="B174" t="s">
        <v>581</v>
      </c>
    </row>
    <row r="175" spans="1:2">
      <c r="A175" t="s">
        <v>582</v>
      </c>
      <c r="B175" t="s">
        <v>583</v>
      </c>
    </row>
    <row r="176" spans="1:2">
      <c r="A176" t="s">
        <v>584</v>
      </c>
      <c r="B176" t="s">
        <v>585</v>
      </c>
    </row>
    <row r="177" spans="1:2">
      <c r="A177" t="s">
        <v>586</v>
      </c>
      <c r="B177" t="s">
        <v>587</v>
      </c>
    </row>
    <row r="178" spans="1:2">
      <c r="A178" t="s">
        <v>588</v>
      </c>
      <c r="B178" t="s">
        <v>589</v>
      </c>
    </row>
    <row r="179" spans="1:2">
      <c r="A179" t="s">
        <v>590</v>
      </c>
      <c r="B179" t="s">
        <v>591</v>
      </c>
    </row>
    <row r="180" spans="1:2">
      <c r="A180" t="s">
        <v>592</v>
      </c>
      <c r="B180" t="s">
        <v>593</v>
      </c>
    </row>
    <row r="181" spans="1:2">
      <c r="A181" t="s">
        <v>594</v>
      </c>
      <c r="B181" t="s">
        <v>595</v>
      </c>
    </row>
    <row r="182" spans="1:2">
      <c r="A182" t="s">
        <v>596</v>
      </c>
      <c r="B182" t="s">
        <v>597</v>
      </c>
    </row>
    <row r="183" spans="1:2">
      <c r="A183" t="s">
        <v>598</v>
      </c>
      <c r="B183" t="s">
        <v>599</v>
      </c>
    </row>
    <row r="184" spans="1:2">
      <c r="A184" t="s">
        <v>600</v>
      </c>
      <c r="B184" t="s">
        <v>288</v>
      </c>
    </row>
    <row r="185" spans="1:2">
      <c r="A185" t="s">
        <v>601</v>
      </c>
      <c r="B185" t="s">
        <v>602</v>
      </c>
    </row>
    <row r="186" spans="1:2">
      <c r="A186" t="s">
        <v>603</v>
      </c>
      <c r="B186" t="s">
        <v>604</v>
      </c>
    </row>
    <row r="187" spans="1:2">
      <c r="A187" t="s">
        <v>605</v>
      </c>
      <c r="B187" t="s">
        <v>606</v>
      </c>
    </row>
    <row r="188" spans="1:2">
      <c r="A188" t="s">
        <v>607</v>
      </c>
      <c r="B188" t="s">
        <v>608</v>
      </c>
    </row>
    <row r="189" spans="1:2">
      <c r="A189" t="s">
        <v>609</v>
      </c>
      <c r="B189" t="s">
        <v>610</v>
      </c>
    </row>
    <row r="190" spans="1:2">
      <c r="A190" t="s">
        <v>611</v>
      </c>
      <c r="B190" t="s">
        <v>612</v>
      </c>
    </row>
    <row r="191" spans="1:2">
      <c r="A191" t="s">
        <v>613</v>
      </c>
      <c r="B191" t="s">
        <v>614</v>
      </c>
    </row>
    <row r="192" spans="1:2">
      <c r="A192" t="s">
        <v>615</v>
      </c>
      <c r="B192" t="s">
        <v>616</v>
      </c>
    </row>
    <row r="193" spans="1:2">
      <c r="A193" t="s">
        <v>617</v>
      </c>
      <c r="B193" t="s">
        <v>618</v>
      </c>
    </row>
    <row r="194" spans="1:2">
      <c r="A194" t="s">
        <v>619</v>
      </c>
      <c r="B194" t="s">
        <v>620</v>
      </c>
    </row>
    <row r="195" spans="1:2">
      <c r="A195" t="s">
        <v>621</v>
      </c>
      <c r="B195" t="s">
        <v>622</v>
      </c>
    </row>
    <row r="196" spans="1:2">
      <c r="A196" t="s">
        <v>623</v>
      </c>
      <c r="B196" t="s">
        <v>624</v>
      </c>
    </row>
    <row r="197" spans="1:2">
      <c r="A197" t="s">
        <v>625</v>
      </c>
      <c r="B197" t="s">
        <v>626</v>
      </c>
    </row>
    <row r="198" spans="1:2">
      <c r="A198" t="s">
        <v>627</v>
      </c>
      <c r="B198" t="s">
        <v>628</v>
      </c>
    </row>
    <row r="199" spans="1:2">
      <c r="A199" t="s">
        <v>629</v>
      </c>
      <c r="B199" t="s">
        <v>630</v>
      </c>
    </row>
    <row r="200" spans="1:2">
      <c r="A200" t="s">
        <v>631</v>
      </c>
      <c r="B200" t="s">
        <v>632</v>
      </c>
    </row>
    <row r="201" spans="1:2">
      <c r="A201" t="s">
        <v>633</v>
      </c>
      <c r="B201" t="s">
        <v>288</v>
      </c>
    </row>
    <row r="202" spans="1:2">
      <c r="A202" t="s">
        <v>634</v>
      </c>
      <c r="B202" t="s">
        <v>635</v>
      </c>
    </row>
    <row r="203" spans="1:2">
      <c r="A203" t="s">
        <v>636</v>
      </c>
      <c r="B203" t="s">
        <v>637</v>
      </c>
    </row>
    <row r="204" spans="1:2">
      <c r="A204" t="s">
        <v>638</v>
      </c>
      <c r="B204" t="s">
        <v>639</v>
      </c>
    </row>
    <row r="205" spans="1:2">
      <c r="A205" t="s">
        <v>640</v>
      </c>
      <c r="B205" t="s">
        <v>641</v>
      </c>
    </row>
    <row r="206" spans="1:2">
      <c r="A206" t="s">
        <v>642</v>
      </c>
      <c r="B206" t="s">
        <v>643</v>
      </c>
    </row>
    <row r="207" spans="1:2">
      <c r="A207" t="s">
        <v>644</v>
      </c>
      <c r="B207" t="s">
        <v>643</v>
      </c>
    </row>
    <row r="208" spans="1:2">
      <c r="A208" t="s">
        <v>645</v>
      </c>
      <c r="B208" t="s">
        <v>646</v>
      </c>
    </row>
    <row r="209" spans="1:2">
      <c r="A209" t="s">
        <v>647</v>
      </c>
      <c r="B209" t="s">
        <v>648</v>
      </c>
    </row>
    <row r="210" spans="1:2">
      <c r="A210" t="s">
        <v>649</v>
      </c>
      <c r="B210" t="s">
        <v>650</v>
      </c>
    </row>
    <row r="211" spans="1:2">
      <c r="A211" t="s">
        <v>651</v>
      </c>
      <c r="B211" t="s">
        <v>652</v>
      </c>
    </row>
    <row r="212" spans="1:2">
      <c r="A212" t="s">
        <v>653</v>
      </c>
      <c r="B212" t="s">
        <v>654</v>
      </c>
    </row>
    <row r="213" spans="1:2">
      <c r="A213" t="s">
        <v>655</v>
      </c>
      <c r="B213" t="s">
        <v>656</v>
      </c>
    </row>
    <row r="214" spans="1:2">
      <c r="A214" t="s">
        <v>657</v>
      </c>
      <c r="B214" t="s">
        <v>658</v>
      </c>
    </row>
    <row r="215" spans="1:2">
      <c r="A215" t="s">
        <v>659</v>
      </c>
      <c r="B215" t="s">
        <v>660</v>
      </c>
    </row>
    <row r="216" spans="1:2">
      <c r="A216" t="s">
        <v>661</v>
      </c>
      <c r="B216" t="s">
        <v>662</v>
      </c>
    </row>
    <row r="217" spans="1:2">
      <c r="A217" t="s">
        <v>663</v>
      </c>
      <c r="B217" t="s">
        <v>664</v>
      </c>
    </row>
    <row r="218" spans="1:2">
      <c r="A218" t="s">
        <v>665</v>
      </c>
      <c r="B218" t="s">
        <v>666</v>
      </c>
    </row>
    <row r="219" spans="1:2">
      <c r="A219" t="s">
        <v>667</v>
      </c>
      <c r="B219" t="s">
        <v>668</v>
      </c>
    </row>
    <row r="220" spans="1:2">
      <c r="A220" t="s">
        <v>669</v>
      </c>
      <c r="B220" t="s">
        <v>670</v>
      </c>
    </row>
    <row r="221" spans="1:2">
      <c r="A221" t="s">
        <v>671</v>
      </c>
      <c r="B221" t="s">
        <v>672</v>
      </c>
    </row>
    <row r="222" spans="1:2">
      <c r="A222" t="s">
        <v>673</v>
      </c>
      <c r="B222" t="s">
        <v>674</v>
      </c>
    </row>
    <row r="223" spans="1:2">
      <c r="A223" t="s">
        <v>675</v>
      </c>
      <c r="B223" t="s">
        <v>676</v>
      </c>
    </row>
    <row r="224" spans="1:2">
      <c r="A224" t="s">
        <v>677</v>
      </c>
      <c r="B224" t="s">
        <v>678</v>
      </c>
    </row>
    <row r="225" spans="1:2">
      <c r="A225" t="s">
        <v>679</v>
      </c>
      <c r="B225" t="s">
        <v>680</v>
      </c>
    </row>
    <row r="226" spans="1:2">
      <c r="A226" t="s">
        <v>681</v>
      </c>
      <c r="B226" t="s">
        <v>682</v>
      </c>
    </row>
    <row r="227" spans="1:2">
      <c r="A227" t="s">
        <v>683</v>
      </c>
      <c r="B227" t="s">
        <v>684</v>
      </c>
    </row>
    <row r="228" spans="1:2">
      <c r="A228" t="s">
        <v>685</v>
      </c>
      <c r="B228" t="s">
        <v>686</v>
      </c>
    </row>
    <row r="229" spans="1:2">
      <c r="A229" t="s">
        <v>687</v>
      </c>
      <c r="B229" t="s">
        <v>688</v>
      </c>
    </row>
    <row r="230" spans="1:2">
      <c r="A230" t="s">
        <v>689</v>
      </c>
      <c r="B230" t="s">
        <v>690</v>
      </c>
    </row>
    <row r="231" spans="1:2">
      <c r="A231" t="s">
        <v>691</v>
      </c>
      <c r="B231" t="s">
        <v>692</v>
      </c>
    </row>
    <row r="232" spans="1:2">
      <c r="A232" t="s">
        <v>693</v>
      </c>
      <c r="B232" t="s">
        <v>694</v>
      </c>
    </row>
    <row r="233" spans="1:2">
      <c r="A233" t="s">
        <v>695</v>
      </c>
      <c r="B233" t="s">
        <v>696</v>
      </c>
    </row>
    <row r="234" spans="1:2">
      <c r="A234" t="s">
        <v>697</v>
      </c>
      <c r="B234" t="s">
        <v>698</v>
      </c>
    </row>
    <row r="235" spans="1:2">
      <c r="A235" t="s">
        <v>699</v>
      </c>
      <c r="B235" t="s">
        <v>700</v>
      </c>
    </row>
    <row r="236" spans="1:2">
      <c r="A236" t="s">
        <v>701</v>
      </c>
      <c r="B236" t="s">
        <v>702</v>
      </c>
    </row>
    <row r="237" spans="1:2">
      <c r="A237" t="s">
        <v>703</v>
      </c>
      <c r="B237" t="s">
        <v>704</v>
      </c>
    </row>
    <row r="238" spans="1:2">
      <c r="A238" t="s">
        <v>705</v>
      </c>
      <c r="B238" t="s">
        <v>706</v>
      </c>
    </row>
    <row r="239" spans="1:2">
      <c r="A239" t="s">
        <v>707</v>
      </c>
      <c r="B239" t="s">
        <v>708</v>
      </c>
    </row>
    <row r="240" spans="1:2">
      <c r="A240" t="s">
        <v>709</v>
      </c>
      <c r="B240" t="s">
        <v>710</v>
      </c>
    </row>
    <row r="241" spans="1:2">
      <c r="A241" t="s">
        <v>711</v>
      </c>
      <c r="B241" t="s">
        <v>712</v>
      </c>
    </row>
    <row r="242" spans="1:2">
      <c r="A242" t="s">
        <v>713</v>
      </c>
      <c r="B242" t="s">
        <v>714</v>
      </c>
    </row>
    <row r="243" spans="1:2">
      <c r="A243" t="s">
        <v>715</v>
      </c>
      <c r="B243" t="s">
        <v>716</v>
      </c>
    </row>
    <row r="244" spans="1:2">
      <c r="A244" t="s">
        <v>717</v>
      </c>
      <c r="B244" t="s">
        <v>718</v>
      </c>
    </row>
    <row r="245" spans="1:2">
      <c r="A245" t="s">
        <v>719</v>
      </c>
      <c r="B245" t="s">
        <v>720</v>
      </c>
    </row>
    <row r="246" spans="1:2">
      <c r="A246" t="s">
        <v>721</v>
      </c>
      <c r="B246" t="s">
        <v>722</v>
      </c>
    </row>
    <row r="247" spans="1:2">
      <c r="A247" t="s">
        <v>723</v>
      </c>
      <c r="B247" t="s">
        <v>724</v>
      </c>
    </row>
    <row r="248" spans="1:2">
      <c r="A248" t="s">
        <v>725</v>
      </c>
      <c r="B248" t="s">
        <v>726</v>
      </c>
    </row>
  </sheetData>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Categories</vt:lpstr>
      <vt:lpstr>Metadata</vt:lpstr>
      <vt:lpstr>picklists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Kaitlin Cordes</dc:creator>
  <cp:lastModifiedBy>Sam Burke</cp:lastModifiedBy>
  <cp:lastPrinted>2014-02-01T19:00:50Z</cp:lastPrinted>
  <dcterms:created xsi:type="dcterms:W3CDTF">2013-09-30T16:43:43Z</dcterms:created>
  <dcterms:modified xsi:type="dcterms:W3CDTF">2015-09-17T23:05:55Z</dcterms:modified>
</cp:coreProperties>
</file>