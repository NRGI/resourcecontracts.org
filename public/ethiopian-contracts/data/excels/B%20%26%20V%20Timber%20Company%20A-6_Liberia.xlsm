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7A2D7E96-6E34-419A-AE5F-296B3A7E7977}"/>
  <workbookPr showInkAnnotation="0" codeName="ThisWorkbook" autoCompressPictures="0"/>
  <bookViews>
    <workbookView xWindow="1040" yWindow="660" windowWidth="28800" windowHeight="1754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B7" i="2"/>
  <c r="B8" i="2"/>
  <c r="B9" i="2"/>
  <c r="B11" i="2"/>
  <c r="B12" i="2"/>
  <c r="B13" i="2"/>
  <c r="B14" i="2"/>
  <c r="B15" i="2"/>
  <c r="B16" i="2"/>
  <c r="B17" i="2"/>
  <c r="B18" i="2"/>
  <c r="B19" i="2"/>
  <c r="B20" i="2"/>
  <c r="B21" i="2"/>
  <c r="B22" i="2"/>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0" i="1"/>
  <c r="H110" i="1"/>
  <c r="G78" i="1"/>
  <c r="H78" i="1"/>
  <c r="G66" i="1"/>
  <c r="H66" i="1"/>
  <c r="G114" i="1"/>
  <c r="H114" i="1"/>
  <c r="G65" i="1"/>
  <c r="H65" i="1"/>
  <c r="G139" i="1"/>
  <c r="H139" i="1"/>
  <c r="G136" i="1"/>
  <c r="H136" i="1"/>
  <c r="G125" i="1"/>
  <c r="H125" i="1"/>
  <c r="G109" i="1"/>
  <c r="H109" i="1"/>
  <c r="G124" i="1"/>
  <c r="H124" i="1"/>
  <c r="G123" i="1"/>
  <c r="H123" i="1"/>
  <c r="G98" i="1"/>
  <c r="H98" i="1"/>
  <c r="G64" i="1"/>
  <c r="H64" i="1"/>
  <c r="G63" i="1"/>
  <c r="H63" i="1"/>
  <c r="G46" i="1"/>
  <c r="H46" i="1"/>
  <c r="H143" i="1"/>
  <c r="G143" i="1"/>
  <c r="H142" i="1"/>
  <c r="G142" i="1"/>
  <c r="H141" i="1"/>
  <c r="G141" i="1"/>
  <c r="H140" i="1"/>
  <c r="G140" i="1"/>
  <c r="H138" i="1"/>
  <c r="G138" i="1"/>
  <c r="H137" i="1"/>
  <c r="G137" i="1"/>
  <c r="H135" i="1"/>
  <c r="G135" i="1"/>
  <c r="H134" i="1"/>
  <c r="G134" i="1"/>
  <c r="H133" i="1"/>
  <c r="G133" i="1"/>
  <c r="H132" i="1"/>
  <c r="G132" i="1"/>
  <c r="H131" i="1"/>
  <c r="G131" i="1"/>
  <c r="H130" i="1"/>
  <c r="G130" i="1"/>
  <c r="H129" i="1"/>
  <c r="G129" i="1"/>
  <c r="H128" i="1"/>
  <c r="G128" i="1"/>
  <c r="H127" i="1"/>
  <c r="G127" i="1"/>
  <c r="H126" i="1"/>
  <c r="G126" i="1"/>
  <c r="H122" i="1"/>
  <c r="G122" i="1"/>
  <c r="H121" i="1"/>
  <c r="G121" i="1"/>
  <c r="H120" i="1"/>
  <c r="G120" i="1"/>
  <c r="H119" i="1"/>
  <c r="G119" i="1"/>
  <c r="H118" i="1"/>
  <c r="G118" i="1"/>
  <c r="H117" i="1"/>
  <c r="G117" i="1"/>
  <c r="H116" i="1"/>
  <c r="G116" i="1"/>
  <c r="H115" i="1"/>
  <c r="G115" i="1"/>
  <c r="H113" i="1"/>
  <c r="G113" i="1"/>
  <c r="H112" i="1"/>
  <c r="G112" i="1"/>
  <c r="H111" i="1"/>
  <c r="G111" i="1"/>
  <c r="H108" i="1"/>
  <c r="G108" i="1"/>
  <c r="H107" i="1"/>
  <c r="G107" i="1"/>
  <c r="H106" i="1"/>
  <c r="G106" i="1"/>
  <c r="H105" i="1"/>
  <c r="G105" i="1"/>
  <c r="H104" i="1"/>
  <c r="G104" i="1"/>
  <c r="H103" i="1"/>
  <c r="G103" i="1"/>
  <c r="H102" i="1"/>
  <c r="G102" i="1"/>
  <c r="H101" i="1"/>
  <c r="G101" i="1"/>
  <c r="H100" i="1"/>
  <c r="G100" i="1"/>
  <c r="H99" i="1"/>
  <c r="G99"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9" i="1"/>
  <c r="G79"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<sst xmlns="http://schemas.openxmlformats.org/spreadsheetml/2006/main" count="1011" uniqueCount="941">
  <si>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</si>
  <si>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</si>
  <si>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</si>
  <si>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</si>
  <si>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</si>
  <si>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</si>
  <si>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</si>
  <si>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</si>
  <si>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</si>
  <si>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</si>
  <si>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</si>
  <si>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</si>
  <si>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</si>
  <si>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</si>
  <si>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</si>
  <si>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</si>
  <si>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</si>
  <si>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</si>
  <si>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</si>
  <si>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</si>
  <si>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</si>
  <si>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</si>
  <si>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</si>
  <si>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</si>
  <si>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</si>
  <si>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</si>
  <si>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</si>
  <si>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</si>
  <si>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</si>
  <si>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</si>
  <si>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</si>
  <si>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</si>
  <si>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</si>
  <si>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</si>
  <si>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</si>
  <si>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</si>
  <si>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</si>
  <si>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</si>
  <si>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</si>
  <si>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</si>
  <si>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</si>
  <si>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</si>
  <si>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</si>
  <si>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</si>
  <si>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</si>
  <si>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</si>
  <si>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</si>
  <si>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</si>
  <si>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</si>
  <si>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</si>
  <si>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</si>
  <si>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</si>
  <si>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</si>
  <si>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</si>
  <si>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</si>
  <si>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</si>
  <si>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</si>
  <si>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</si>
  <si>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</si>
  <si>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</si>
  <si>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</si>
  <si>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</si>
  <si>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</si>
  <si>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</si>
  <si>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</si>
  <si>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</si>
  <si>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</si>
  <si>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</si>
  <si>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</si>
  <si>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</si>
  <si>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</si>
  <si>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</si>
  <si>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</si>
  <si>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</si>
  <si>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</si>
  <si>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</si>
  <si>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</si>
  <si>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</si>
  <si>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</si>
  <si>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</si>
  <si>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</si>
  <si>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</si>
  <si>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</si>
  <si>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</si>
  <si>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</si>
  <si>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</si>
  <si>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</si>
  <si>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</si>
  <si>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</si>
  <si>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</si>
  <si>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</si>
  <si>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</si>
  <si>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</si>
  <si>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</si>
  <si>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</si>
  <si>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</si>
  <si>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</si>
  <si>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</si>
  <si>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</si>
  <si>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</si>
  <si>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</si>
  <si>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</si>
  <si>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</si>
  <si>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</si>
  <si>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</si>
  <si>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</si>
  <si>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</si>
  <si>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</si>
  <si>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</si>
  <si>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</si>
  <si>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</si>
  <si>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</si>
  <si>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</si>
  <si>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</si>
  <si>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</si>
  <si>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</si>
  <si>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</si>
  <si>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</si>
  <si>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</si>
  <si>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</si>
  <si>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</si>
  <si>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</si>
  <si>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</si>
  <si>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</si>
  <si>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</si>
  <si>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</si>
  <si>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</si>
  <si>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</si>
  <si>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</si>
  <si>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</si>
  <si>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</si>
  <si>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</si>
  <si>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</si>
  <si>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</si>
  <si>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</si>
  <si>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</si>
  <si>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</si>
  <si>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</si>
  <si>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</si>
  <si>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</si>
  <si>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</si>
  <si>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</si>
  <si>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</si>
  <si>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</si>
  <si>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</si>
  <si>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</si>
  <si>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</si>
  <si>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</si>
  <si>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</si>
  <si>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</si>
  <si>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</si>
  <si>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</si>
  <si>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</si>
  <si>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</si>
  <si>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</si>
  <si>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</si>
  <si>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</si>
  <si>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</si>
  <si>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</si>
  <si>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</si>
  <si>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</si>
  <si>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</si>
  <si>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</si>
  <si>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</si>
  <si>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</si>
  <si>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</si>
  <si>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</si>
  <si>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</si>
  <si>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</si>
  <si>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</si>
  <si>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</si>
  <si>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</si>
  <si>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</si>
  <si>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</si>
  <si>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</si>
  <si>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</si>
  <si>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</si>
  <si>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</si>
  <si>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</si>
  <si>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</si>
  <si>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</si>
  <si>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</si>
  <si>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</si>
  <si>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</si>
  <si>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</si>
  <si>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</si>
  <si>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</si>
  <si>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</si>
  <si>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</si>
  <si>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</si>
  <si>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</si>
  <si>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</si>
  <si>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</si>
  <si>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</si>
  <si>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</si>
  <si>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</si>
  <si>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</si>
  <si>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</si>
  <si>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</si>
  <si>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</si>
  <si>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</si>
  <si>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</si>
  <si>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</si>
  <si>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</si>
  <si>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</si>
  <si>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</si>
  <si>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</si>
  <si>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</si>
  <si>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</si>
  <si>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</si>
  <si>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</si>
  <si>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</si>
  <si>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</si>
  <si>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</si>
  <si>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</si>
  <si>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</si>
  <si>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</si>
  <si>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</si>
  <si>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</si>
  <si>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</si>
  <si>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</si>
  <si>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</si>
  <si>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</si>
  <si>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</si>
  <si>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</si>
  <si>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</si>
  <si>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</si>
  <si>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Obligations liées a l'approvisionnement en biens et services locaux</t>
  </si>
  <si>
    <t>Consultations communautaires requises</t>
  </si>
  <si>
    <t>Obligations liées a la formation des cadres locaux</t>
  </si>
  <si>
    <t>Impôt sur les Revenus des Valeurs Mobilières (IRVM)</t>
  </si>
  <si>
    <t>Obligations de reporting et autres méthodes de contrôle de la conformité</t>
  </si>
  <si>
    <t>Autre - [Responsabilité environnementale]</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</si>
  <si>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</si>
  <si>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</si>
  <si>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</si>
  <si>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</si>
  <si>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</si>
  <si>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</si>
  <si>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</si>
  <si>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</si>
  <si>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</si>
  <si>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</si>
  <si>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</si>
  <si>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</si>
  <si>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</si>
  <si>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</si>
  <si>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</si>
  <si>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</si>
  <si>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</si>
  <si>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</si>
  <si>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</si>
  <si>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</si>
  <si>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</si>
  <si>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</si>
  <si>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</si>
  <si>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</si>
  <si>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</si>
  <si>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</si>
  <si>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</si>
  <si>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</si>
  <si>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</si>
  <si>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</si>
  <si>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</si>
  <si>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</si>
  <si>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</si>
  <si>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</si>
  <si>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</si>
  <si>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</si>
  <si>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</si>
  <si>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</si>
  <si>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</si>
  <si>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</si>
  <si>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</si>
  <si>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</si>
  <si>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</si>
  <si>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</si>
  <si>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</si>
  <si>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</si>
  <si>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</si>
  <si>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</si>
  <si>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</si>
  <si>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</si>
  <si>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</si>
  <si>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</si>
  <si>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</si>
  <si>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</si>
  <si>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</si>
  <si>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</si>
  <si>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</si>
  <si>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</si>
  <si>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</si>
  <si>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</si>
  <si>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</si>
  <si>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</si>
  <si>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</si>
  <si>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</si>
  <si>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</si>
  <si>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</si>
  <si>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</si>
  <si>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</si>
  <si>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</si>
  <si>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</si>
  <si>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</si>
  <si>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</si>
  <si>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</si>
  <si>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</si>
  <si>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</si>
  <si>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</si>
  <si>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</si>
  <si>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</si>
  <si>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</si>
  <si>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</si>
  <si>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</si>
  <si>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</si>
  <si>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</si>
  <si>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</si>
  <si>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</si>
  <si>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</si>
  <si>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</si>
  <si>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</si>
  <si>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</si>
  <si>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</si>
  <si>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</si>
  <si>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</si>
  <si>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</si>
  <si>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</si>
  <si>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</si>
  <si>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</si>
  <si>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</si>
  <si>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</si>
  <si>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</si>
  <si>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</si>
  <si>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</si>
  <si>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</si>
  <si>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</si>
  <si>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</si>
  <si>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</si>
  <si>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</si>
  <si>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</si>
  <si>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</si>
  <si>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</si>
  <si>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</si>
  <si>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</si>
  <si>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</si>
  <si>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</si>
  <si>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</si>
  <si>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</si>
  <si>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</si>
  <si>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</si>
  <si>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</si>
  <si>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</si>
  <si>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</si>
  <si>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</si>
  <si>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</si>
  <si>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</si>
  <si>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</si>
  <si>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</si>
  <si>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</si>
  <si>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</si>
  <si>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</si>
  <si>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</si>
  <si>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</si>
  <si>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</si>
  <si>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</si>
  <si>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</si>
  <si>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</si>
  <si>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</si>
  <si>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</si>
  <si>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</si>
  <si>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</si>
  <si>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</si>
  <si>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</si>
  <si>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</si>
  <si>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</si>
  <si>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</si>
  <si>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</si>
  <si>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</si>
  <si>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</si>
  <si>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</si>
  <si>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</si>
  <si>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</si>
  <si>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</si>
  <si>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</si>
  <si>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</si>
  <si>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</si>
  <si>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</si>
  <si>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</si>
  <si>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</si>
  <si>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</si>
  <si>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</si>
  <si>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</si>
  <si>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</si>
  <si>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</si>
  <si>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</si>
  <si>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</si>
  <si>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</si>
  <si>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</si>
  <si>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</si>
  <si>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</si>
  <si>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</si>
  <si>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</si>
  <si>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</si>
  <si>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</si>
  <si>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</si>
  <si>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</si>
  <si>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</si>
  <si>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</si>
  <si>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</si>
  <si>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</si>
  <si>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</si>
  <si>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</si>
  <si>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</si>
  <si>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</si>
  <si>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</si>
  <si>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</si>
  <si>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</si>
  <si>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</si>
  <si>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</si>
  <si>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</si>
  <si>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</si>
  <si>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</si>
  <si>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</si>
  <si>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</si>
  <si>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</si>
  <si>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</si>
  <si>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</si>
  <si>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</si>
  <si>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</si>
  <si>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</si>
  <si>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</si>
  <si>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</si>
  <si>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</si>
  <si>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</si>
  <si>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</si>
  <si>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</si>
  <si>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</si>
  <si>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</si>
  <si>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</si>
  <si>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</si>
  <si>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</si>
  <si>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</si>
  <si>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</si>
  <si>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</si>
  <si>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</si>
  <si>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</si>
  <si>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</si>
  <si>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</si>
  <si>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</si>
  <si>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</si>
  <si>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</si>
  <si>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</si>
  <si>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</si>
  <si>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</si>
  <si>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</si>
  <si>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</si>
  <si>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</si>
  <si>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</si>
  <si>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</si>
  <si>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</si>
  <si>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</si>
  <si>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</si>
  <si>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</si>
  <si>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</si>
  <si>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</si>
  <si>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</si>
  <si>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</si>
  <si>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</si>
  <si>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</si>
  <si>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</si>
  <si>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</si>
  <si>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</si>
  <si>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</si>
  <si>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</si>
  <si>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</si>
  <si>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</si>
  <si>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</si>
  <si>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</si>
  <si>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</si>
  <si>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</si>
  <si>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</si>
  <si>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</si>
  <si>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</si>
  <si>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</si>
  <si>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</si>
  <si>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</si>
  <si>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</si>
  <si>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</si>
  <si>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</si>
  <si>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</si>
  <si>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</si>
  <si>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</si>
  <si>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</si>
  <si>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</si>
  <si>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</si>
  <si>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</si>
  <si>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</si>
  <si>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</si>
  <si>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</si>
  <si>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</si>
  <si>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</si>
  <si>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</si>
  <si>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</si>
  <si>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</si>
  <si>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</si>
  <si>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</si>
  <si>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</si>
  <si>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</si>
  <si>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</si>
  <si>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</si>
  <si>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</si>
  <si>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</si>
  <si>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</si>
  <si>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</si>
  <si>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</si>
  <si>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</si>
  <si>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</si>
  <si>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</si>
  <si>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</si>
  <si>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</si>
  <si>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</si>
  <si>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</si>
  <si>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</si>
  <si>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</si>
  <si>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</si>
  <si>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</si>
  <si>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</si>
  <si>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</si>
  <si>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</si>
  <si>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</si>
  <si>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</si>
  <si>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</si>
  <si>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</si>
  <si>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</si>
  <si>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</si>
  <si>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</si>
  <si>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</si>
  <si>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</si>
  <si>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</si>
  <si>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</si>
  <si>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</si>
  <si>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</si>
  <si>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</si>
  <si>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</si>
  <si>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</si>
  <si>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</si>
  <si>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</si>
  <si>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</si>
  <si>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</si>
  <si>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</si>
  <si>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</si>
  <si>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</si>
  <si>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</si>
  <si>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</si>
  <si>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</si>
  <si>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</si>
  <si>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</si>
  <si>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</si>
  <si>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</si>
  <si>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</si>
  <si>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</si>
  <si>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</si>
  <si>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</si>
  <si>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</si>
  <si>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</si>
  <si>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</si>
  <si>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</si>
  <si>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</si>
  <si>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</si>
  <si>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</si>
  <si>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</si>
  <si>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</si>
  <si>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</si>
  <si>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</si>
  <si>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</si>
  <si>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</si>
  <si>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</si>
  <si>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</si>
  <si>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</si>
  <si>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</si>
  <si>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</si>
  <si>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</si>
  <si>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</si>
  <si>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</si>
  <si>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</si>
  <si>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</si>
  <si>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</si>
  <si>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</si>
  <si>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</si>
  <si>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</si>
  <si>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</si>
  <si>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</si>
  <si>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</si>
  <si>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</si>
  <si>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</si>
  <si>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</si>
  <si>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</si>
  <si>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</si>
  <si>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</si>
  <si>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</si>
  <si>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</si>
  <si>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</si>
  <si>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</si>
  <si>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</si>
  <si>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</si>
  <si>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</si>
  <si>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</si>
  <si>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</si>
  <si>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</si>
  <si>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</si>
  <si>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</si>
  <si>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</si>
  <si>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</si>
  <si>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</si>
  <si>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</si>
  <si>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</si>
  <si>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</si>
  <si>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</si>
  <si>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</si>
  <si>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</si>
  <si>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</si>
  <si>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</si>
  <si>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</si>
  <si>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</si>
  <si>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</si>
  <si>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</si>
  <si>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</si>
  <si>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</si>
  <si>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</si>
  <si>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</si>
  <si>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</si>
  <si>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</si>
  <si>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</si>
  <si>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</si>
  <si>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</si>
  <si>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</si>
  <si>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</si>
  <si>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</si>
  <si>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</si>
  <si>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</si>
  <si>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</si>
  <si>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</si>
  <si>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</si>
  <si>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</si>
  <si>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</si>
  <si>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</si>
  <si>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</si>
  <si>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</si>
  <si>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</si>
  <si>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</si>
  <si>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</si>
  <si>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</si>
  <si>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</si>
  <si>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</si>
  <si>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</si>
  <si>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</si>
  <si>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</si>
  <si>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</si>
  <si>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</si>
  <si>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</si>
  <si>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</si>
  <si>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</si>
  <si>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</si>
  <si>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</si>
  <si>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</si>
  <si>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</si>
  <si>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</si>
  <si>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</si>
  <si>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</si>
  <si>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</si>
  <si>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</si>
  <si>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</si>
  <si>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</si>
  <si>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</si>
  <si>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</si>
  <si>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</si>
  <si>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</si>
  <si>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</si>
  <si>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</si>
  <si>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</si>
  <si>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</si>
  <si>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</si>
  <si>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</si>
  <si>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</si>
  <si>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</si>
  <si>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</si>
  <si>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</si>
  <si>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</si>
  <si>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</si>
  <si>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</si>
  <si>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</si>
  <si>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</si>
  <si>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</si>
  <si>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</si>
  <si>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</si>
  <si>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</si>
  <si>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</si>
  <si>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</si>
  <si>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</si>
  <si>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</si>
  <si>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</si>
  <si>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</si>
  <si>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</si>
  <si>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</si>
  <si>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</si>
  <si>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</si>
  <si>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</si>
  <si>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</si>
  <si>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</si>
  <si>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</si>
  <si>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</si>
  <si>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</si>
  <si>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</si>
  <si>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</si>
  <si>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</si>
  <si>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</si>
  <si>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</si>
  <si>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</si>
  <si>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</si>
  <si>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</si>
  <si>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</si>
  <si>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</si>
  <si>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</si>
  <si>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</si>
  <si>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</si>
  <si>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</si>
  <si>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</si>
  <si>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</si>
  <si>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</si>
  <si>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</si>
  <si>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</si>
  <si>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</si>
  <si>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</si>
  <si>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</si>
  <si>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</si>
  <si>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</si>
  <si>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</si>
  <si>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</si>
  <si>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</si>
  <si>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</si>
  <si>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</si>
  <si>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</si>
  <si>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</si>
  <si>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</si>
  <si>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</si>
  <si>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</si>
  <si>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</si>
  <si>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</si>
  <si>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</si>
  <si>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</si>
  <si>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</si>
  <si>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</si>
  <si>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</si>
  <si>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</si>
  <si>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</si>
  <si>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</si>
  <si>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</si>
  <si>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</si>
  <si>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</si>
  <si>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</si>
  <si>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</si>
  <si>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</si>
  <si>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</si>
  <si>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</si>
  <si>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</si>
  <si>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</si>
  <si>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</si>
  <si>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</si>
  <si>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</si>
  <si>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</si>
  <si>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</si>
  <si>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</si>
  <si>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</si>
  <si>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</si>
  <si>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</si>
  <si>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</si>
  <si>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</si>
  <si>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</si>
  <si>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</si>
  <si>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</si>
  <si>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</si>
  <si>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</si>
  <si>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</si>
  <si>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</si>
  <si>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</si>
  <si>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</si>
  <si>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</si>
  <si>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</si>
  <si>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</si>
  <si>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</si>
  <si>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</si>
  <si>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</si>
  <si>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</si>
  <si>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</si>
  <si>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</si>
  <si>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</si>
  <si>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</si>
  <si>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</si>
  <si>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</si>
  <si>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</si>
  <si>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</si>
  <si>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</si>
  <si>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</si>
  <si>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</si>
  <si>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</si>
  <si>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</si>
  <si>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</si>
  <si>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</si>
  <si>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</si>
  <si>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</si>
  <si>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</si>
  <si>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</si>
  <si>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</si>
  <si>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</si>
  <si>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</si>
  <si>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</si>
  <si>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</si>
  <si>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</si>
  <si>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</si>
  <si>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</si>
  <si>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</si>
  <si>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</si>
  <si>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</si>
  <si>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</si>
  <si>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</si>
  <si>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</si>
  <si>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</si>
  <si>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</si>
  <si>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</si>
  <si>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</si>
  <si>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Les metaux de base</t>
  </si>
  <si>
    <t>Cover page</t>
  </si>
  <si>
    <t>1 (top)</t>
  </si>
  <si>
    <t>Contract to Manage Timber Sale Area</t>
  </si>
  <si>
    <t>Art. A1</t>
  </si>
  <si>
    <t>Signature page</t>
  </si>
  <si>
    <t xml:space="preserve">Forestry Development Authority </t>
  </si>
  <si>
    <t>Cover page 2</t>
  </si>
  <si>
    <t>3 years</t>
  </si>
  <si>
    <t>The contract is not renewable</t>
  </si>
  <si>
    <t>Art. B2.2</t>
  </si>
  <si>
    <t>Art. B2.1</t>
  </si>
  <si>
    <t>Art. B3.33</t>
  </si>
  <si>
    <t>Art. B6.31</t>
  </si>
  <si>
    <t>The contract is governed by the laws of the Republic of Liberia</t>
  </si>
  <si>
    <t>Art. B3.51</t>
  </si>
  <si>
    <t>Art. B8.5</t>
  </si>
  <si>
    <t>Art. B8.72</t>
  </si>
  <si>
    <t>Art. B2.3</t>
  </si>
  <si>
    <t>Art. B4.24</t>
  </si>
  <si>
    <t>Art. B4.23</t>
  </si>
  <si>
    <t>TEMPLATE OIL/GAS/MINING/LAND -  RESOURCECONTRACTS.ORG and OPENLANDCONTRACTS.ORG</t>
  </si>
  <si>
    <t>Details - value</t>
  </si>
  <si>
    <t xml:space="preserve">Location, longitude and latitude / Onshore vs Offshore (shallow vs. deep) </t>
  </si>
  <si>
    <t>Type of resources (mineral type, crude oil, gas, timber, etc.) OR specific crops planned (ex: food crops, oil palm, etc.)</t>
  </si>
  <si>
    <t>Programme de sous-traitance avec les petits planteurs (détails, des terres supplémentaires fournis, etc)</t>
  </si>
  <si>
    <t>Production Share - "Cost Oil" features (basis of calculation, limits on cost recovery - e.g. as % of revenue or production, capex uplift, etc.)</t>
  </si>
  <si>
    <t>Production Share - "Profit Oil" features (triggers for variations in split - IRR, "r" factor, production, etc.)</t>
  </si>
  <si>
    <t>Contrat de Service - Frais du détenteur du titre défrayés (base de calcul)</t>
  </si>
  <si>
    <t xml:space="preserve">Fixed fee for grant and renewal of license </t>
  </si>
  <si>
    <t>Pages missing from copy</t>
  </si>
  <si>
    <t>Art. B3.1</t>
  </si>
  <si>
    <t>6 (top)</t>
  </si>
  <si>
    <t>2 (top)</t>
  </si>
  <si>
    <t>12 (bottom)</t>
  </si>
  <si>
    <t>12 (top)</t>
  </si>
  <si>
    <t>13 (middle)</t>
  </si>
  <si>
    <t>14 (bottom)</t>
  </si>
  <si>
    <t>18 (middle)</t>
  </si>
  <si>
    <t>33 (middle)</t>
  </si>
  <si>
    <t>17 (bottom)</t>
  </si>
  <si>
    <t>18 (top)</t>
  </si>
  <si>
    <t>15 (top)</t>
  </si>
  <si>
    <t>13 (top)</t>
  </si>
  <si>
    <t>All infrastructure shall revert to the Government upon termination of the contract and shall be left in safe running order</t>
  </si>
  <si>
    <t>Cover page, Art. B2.1</t>
  </si>
  <si>
    <t>B &amp; V Timber Company</t>
  </si>
  <si>
    <t>Emmanuel Q. Vincent, B &amp; V Timber Company</t>
  </si>
  <si>
    <t>14 (middle)</t>
  </si>
  <si>
    <t>33 (bottom)</t>
  </si>
  <si>
    <t>Vincent Compound, Brewerville, Montserrado County, Liberia</t>
  </si>
  <si>
    <t>Art. B4.3</t>
  </si>
  <si>
    <t xml:space="preserve">B &amp; V Timber Company shall use public land outside the contract area only with written approval from the Forestry Development Authority. The Forestry Development Authority shall not unreasonably deny the right to use such land. B &amp; V Timber Company may use private lands with the permission of the land owner. If B &amp; V Timber Company does not obtain the permission of the land owner, use and compensation of private lands is governed by Chapter 11 of the Forestry Reform Law of 2006 and the Forestry Development Authority Regulation 110-07. With or without permission of the land owner, B &amp; V Timber Company shall not seek a use, lease, right-of-way, or easement that substantially interferes with the operations of another previously issued forest management contract or timber sale contract. B &amp; V Timber Company also shall not interfere with any good faith exercise of third-party rights to timber or forest products, including customary rights, without permission of the third party. If B &amp; V Timber Company uses private lands without permission of the land owner, the use must be necessary for B &amp; V Timber Company’s activities and operations under the contract. </t>
  </si>
  <si>
    <t>Arts. B4.12, B4.14</t>
  </si>
  <si>
    <t>16 (middle)</t>
  </si>
  <si>
    <t>Arts. B1.0, B8.3</t>
  </si>
  <si>
    <t>Art. B5.55</t>
  </si>
  <si>
    <t>Arts. B5.3, B5.51 - B5.53</t>
  </si>
  <si>
    <t>Timber Sale Contract</t>
  </si>
  <si>
    <t>1 (bottom)</t>
  </si>
  <si>
    <t>38 (middle)</t>
  </si>
  <si>
    <t>38 (top)</t>
  </si>
  <si>
    <t>2 (top), 12 (top)</t>
  </si>
  <si>
    <t>5,000 hectares</t>
  </si>
  <si>
    <t xml:space="preserve">B &amp; V Timber Company shall give preference to competent and qualified ECOWAS (Economic Community of West African States) citizens in the selection of employees to conduct its operations under the contract, and shall not import unskilled labor from outside the ECOWAS nations </t>
  </si>
  <si>
    <t>B &amp; V Timber Company shall follow internationally recognized, modern safety precautions in all activities and shall comply with written safety instructions supplied by the Government. B &amp; V Timber Company shall follow internationally recognized, modern measures for the protection of general health and safety of its employees and other persons with legal access to the contract area, and shall comply with written public health instructions issued by the Government.</t>
  </si>
  <si>
    <t>26 (top)</t>
  </si>
  <si>
    <t>B &amp; V Timber Company shall use all reasonable means to prevent encroachment by unauthorized persons into the contract area. However, B &amp; V Timber Company shall not employ or in any way use armed security guards for any purpose.</t>
  </si>
  <si>
    <t>29 (top)</t>
  </si>
  <si>
    <t>7 (bottom), 28 (bottom) - 29 (middle)</t>
  </si>
  <si>
    <t>Art. B8.6(a)</t>
  </si>
  <si>
    <t>John T. Woods, Forestry Development Authority, Tom Downing, GEMAP Comptroller/Forestry Development Authority</t>
  </si>
  <si>
    <t>16 (bottom), 17 (top), 24 (bottom)</t>
  </si>
  <si>
    <t>B &amp; V Timber Company is granted rights concerning construction of infrastructure by Section 18.8 of the National Forestry Reform Law of 2006, and shall comply with all laws governing construction, maintenance, and the use of improvements. Certain improvements require authorization from the Government. B &amp; V Timber Company shall ensure that all infrastructure and works installed in relation to the contract comply with the Liberia Code of Forest Harvesting Practices. B &amp; V Timber Company is responsible for repairing all road damage for 3 years from the date of the Government's approval of the completed construction or maintenance of the road or until the contract terminates.</t>
  </si>
  <si>
    <t>12 (middle), 17 (bottom)</t>
  </si>
  <si>
    <t>10 (top), 32 (top)</t>
  </si>
  <si>
    <t>Failure by B &amp; V Timber Company to submit a claim (a written demand seeking the payment of money, adjustment or interpretation of contract terms, or other relief, under or relating to this contract) for resolution within 60 days of the disputed action by the Forestry Development Authority of Liberia shall relinquish the Forestry Development Authority of any and all obligations related to the dispute. Claims arising under the contract shall be decided by the contracting officer of the Forestry Development Authority. The decision of the contracting officer shall be final and conclusive if, within 45 days from receipt, B &amp; V Timber Company fails to appeal the decision to an appropriate Liberian court.</t>
  </si>
  <si>
    <t>Art. B3.56</t>
  </si>
  <si>
    <t>15 (bottom)</t>
  </si>
  <si>
    <t>23 (top)</t>
  </si>
  <si>
    <t>The parties understand that Section 18.15 of the National Forestry Reform Law of 2006 guarantees to the public free access to all documents and information related to this contract and its administration, subject only to limited exceptions</t>
  </si>
  <si>
    <t>20 (middle), 22 (top)</t>
  </si>
  <si>
    <t>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it does not include the wet season. Failure by either party to fulfill terms and conditions of the contract as a result of force majeure, other than B &amp; V Timber Company's monetary obligations that accrued before force majeure began, is not a breach of the contract. Any party that fails to perform obligations as a result of force majeure shall take all reasonable steps to make good and resume compliance with those obligations.</t>
  </si>
  <si>
    <t>33 (top)</t>
  </si>
  <si>
    <t>15 (top), 25 (bottom) - 27 (middle), 33 (bottom)</t>
  </si>
  <si>
    <t>Arts. B3.31, B3.32</t>
  </si>
  <si>
    <t>Arts. B2.11,  B4.23(b)</t>
  </si>
  <si>
    <t xml:space="preserve">Arts. B7.12, B7.21- B7.24   </t>
  </si>
  <si>
    <t>Arts. A4, B7.11, B7.13 - B7.14</t>
  </si>
  <si>
    <t>Arts. B3.4, B6.3, B6.32, B6.34 - B6.37, B8.6(a)(i)</t>
  </si>
  <si>
    <t>Arts. B4.21 - B4.22, Art. B6.14</t>
  </si>
  <si>
    <t>B &amp; V Timber Company shall allow the Government and public to use, free of charge, any roads constructed or maintained, provided the use does not interfere with operations</t>
  </si>
  <si>
    <t>B &amp; V Timber Company consents to the Government or a designated representative conducting reasonable inspections of the contract area and premises, as well as other offices of B &amp; V Timber Company, to confirm compliance with this contract and applicable laws. B &amp; V Timber Company shall keep records to demonstrate compliance with the contract during the duration of the contract and for 5 years after the contract terminates. It shall provide a written report within 90 days after completing operations under each annual operation plan, and keep the contracting officer informed as to its operations and other contractual activities.</t>
  </si>
  <si>
    <t>B &amp; V Timber Company shall pay log stumpage fees to the Government in the amounts and at the times established by Part II of Forestry Development Authority Regulation 107-07, and shall pay log stumpage fees before exporting or processing the logs. In addition, log stumpage fees shall be paid for timber cut through mistake, timber damaged without negligence, timber unnecessarily damaged or negligently or willfully cut (in addition to other penalties), and merchantable logs damaged by careless felling or extraction (in addition to log export fee and any penalties).</t>
  </si>
  <si>
    <t>The land rental bid is US$ 20.00 per hectare per year. The land rental bid payment is calculated annually according to a specific formula described in the contract. B &amp; V Timber Company shall first pay it prior to felling any trees and, after that, every year on the anniversary of the contract signing date. B &amp; V Timber Company shall also pay forest product fees as required by Forestry Development Authority Regulation 107-07, including the following annual fees: contract administration, area, coupe inspection, and forest product fees.</t>
  </si>
  <si>
    <t>Arts. B6.34, B8.6(a)</t>
  </si>
  <si>
    <t>26 (middle), 33 (bottom)</t>
  </si>
  <si>
    <t>Area A-6</t>
  </si>
  <si>
    <t>1 (middle)</t>
  </si>
  <si>
    <r>
      <t>Gbarpolu and Bong Counties. The contract area lies within Latitudes 7°</t>
    </r>
    <r>
      <rPr>
        <sz val="12"/>
        <color theme="1"/>
        <rFont val="Symbol"/>
        <family val="1"/>
        <charset val="2"/>
      </rPr>
      <t>6</t>
    </r>
    <r>
      <rPr>
        <sz val="12"/>
        <color theme="1"/>
        <rFont val="Calibri"/>
        <family val="2"/>
        <scheme val="minor"/>
      </rPr>
      <t>'0'' - 7°</t>
    </r>
    <r>
      <rPr>
        <sz val="12"/>
        <color theme="1"/>
        <rFont val="Symbol"/>
        <family val="1"/>
        <charset val="2"/>
      </rPr>
      <t>9</t>
    </r>
    <r>
      <rPr>
        <sz val="12"/>
        <color theme="1"/>
        <rFont val="Calibri"/>
        <family val="2"/>
        <scheme val="minor"/>
      </rPr>
      <t>'36'' North of the equator and Longitudes 10°</t>
    </r>
    <r>
      <rPr>
        <sz val="12"/>
        <color theme="1"/>
        <rFont val="Symbol"/>
        <family val="1"/>
        <charset val="2"/>
      </rPr>
      <t>12</t>
    </r>
    <r>
      <rPr>
        <sz val="12"/>
        <color theme="1"/>
        <rFont val="Calibri"/>
        <family val="2"/>
        <scheme val="minor"/>
      </rPr>
      <t>'36'' - 10°</t>
    </r>
    <r>
      <rPr>
        <sz val="12"/>
        <color theme="1"/>
        <rFont val="Symbol"/>
        <family val="1"/>
        <charset val="2"/>
      </rPr>
      <t>18</t>
    </r>
    <r>
      <rPr>
        <sz val="12"/>
        <color theme="1"/>
        <rFont val="Calibri"/>
        <family val="2"/>
        <scheme val="minor"/>
      </rPr>
      <t>'36'' West of the Greenwich meridian</t>
    </r>
  </si>
  <si>
    <t>27/06/2008</t>
  </si>
  <si>
    <t>B &amp; V Timber Company shall complete the Social Agreement(s) required under Forestry Development Authority Regulation 105-07, which, once attested to by the Forestry Development Authority, then becomes part of the contract and, if breached, is treated like a breach of the contract</t>
  </si>
  <si>
    <t>B &amp; V Timber Company shall comply with all training and employment obligations required by law or regulation</t>
  </si>
  <si>
    <t>Rights for private land owners and the public are reserved by Chapters 11 and 12 of the National Forestry Reform Law of 2006, and B &amp; V Timber Company agrees to respect those rights. In addition, the Government reserves the right to, among other things, access or allow others to access the contract area for the purpose of exploring for or exploiting minerals or other substances or any reasonable investigation, provided B &amp; V Timber Company's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benefits) that are required for public purposes, or allow others to access the contract area for traditional and customary community uses of timber and forest products, provided B &amp; V Timber Company's operations and activities shall not be unduly interfered with or its rights prejudiced. B &amp; V Timber Company shall allow the Government and public to have access over the contract area, provided that the access does not amount to encroachment and does not interfere with its operations.</t>
  </si>
  <si>
    <t xml:space="preserve">The Forestry Development Authority may delay or interrupt operations under the contract, or modify the contract, to ensure consistency with the Environmental Impact Assessment and related documents, or to conduct additional environmental analysis  </t>
  </si>
  <si>
    <t xml:space="preserve">B &amp; V Timber Company shall identify areas requiring special measures for the protection of cultural resources and describe these special protection measures in its annual operational plan. In addition, B &amp; V Timber Company shall protect these areas from damage or removal during its operations. The Forestry Development Authority may delay or interrupt operations under the contract, or modify the contract,  to prevent harm to cultural resources.
</t>
  </si>
  <si>
    <t>Subject to the written approval of the Government and the negotiated Social Agreement (as called for under Forestry Development Authority Regulation 105-07) and such conditions as the Government or the Social Agreement may impose, B &amp; V Timber Company may use free of charge any water found within the contract area or in the public domain within 5 kilometers of the contract area provided that it does not deprive any lands, tribes, villages, towns, houses, or watering places for animals of a reasonable supply of water insofar as such water has, through custom, been used for such lands, tribes, villages, towns, houses, or animals. B &amp; V Timber Company shall not interfere with the rights of water enjoyed by persons under the Land and Native Right Ordinance. B &amp; V Timber Company's use of water must in no way result in environmental damage or create other hazards.</t>
  </si>
  <si>
    <t>B &amp; V Timber Company shall conduct its operations in a manner that promotes the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 &amp; V Timber Company shall conduct all operations and activities so as to avoid waste and loss of natural resources and to protect natural resources from damage. It shall conduct all operations and activities so as to prevent pollution and contamination of the environment. B &amp; V Timber Company shall harvest trees in a manner that avoids unnecessary damage and waste, and unnecessary damage to young growth and other trees. It shall identify in the annual operational plan areas requiring special measures for the protection of plants and animals, and protect these areas from damage or removal during operations. B &amp; V Timber Company shall comply with all requirements for watercourse protection in the Liberia Code of Forest Harvesting Practices, and conduct all operations so as to reasonably minimize soil erosion, and prevent pollution of air, soil, and water. The Forestry Development Authority may delay or interrupt operations under the contract, or modify the contract, to prevent environmental degradation or resource damage, including harm to habitat, plants, or animals.</t>
  </si>
  <si>
    <t>B &amp; V Timber Company shall not assign or transfer this contract or any interests, rights, privileges or obligations under the contract without prior written approval from the Forestry Development Authority of Liberia. The Forestry Development Authority shall not consent to any assignment or transfer, except in compliance with Forestry Development Authority Regulation 104-07, Section 71.</t>
  </si>
  <si>
    <t>The contract may be terminated if B &amp; V Timber Company commits any of the breaches described in the contract and is unable to or fails to satisfactorily remedy the breach. The breaches described in the contract include: (d) abandoning operations for a period of 1 year or more, (e) significantly failing to meet the requirements of an approved annual operational plan, (f) assigning to a third-party rights held under the contract without the consent of the Forestry Development Authority of Liberia, (i) failing to meet any Monetary Obligations, including payments of bids or fees to the Government or payments to local communities, in a timely fashion, (k) engaging in a pattern of activity that demonstrates flagrant disregard for the terms of the contract, including causing serious environmental degradation or resource damage, (m) failing to comply with any provisions of law or regulations, (o) intentionally removing any timber, forest products (flora, fauna, and micro-organisms with social or economic benefits) or natural resources not provided for in the contract without written approval from the Government, (q) being convicted for violation of criminal statutes or civil standards, or other regulations for environmental protection, or (r) if it or its senior officers are convicted for violation of criminal statutes, civil standards, or any other offense indicating a lack of business integrity or honesty that seriously and directly affects the responsibility of B &amp; V Timber Company, (ii) including payment of a bribe, and (v) human rights violations.</t>
  </si>
  <si>
    <t>B &amp; V Timber Company shall at all times indemnify and hold the Government harmless from all claims and liabilities for the death or injury to persons or damage to property arising out of B &amp; V Timber Company's operations or as a result of B &amp; V Timber Company's failure to comply with a law or regulation</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</si>
</sst>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18"/>
      <color theme="1"/>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theme="1"/>
      <name val="Symbol"/>
      <family val="1"/>
      <charset val="2"/>
    </font>
    <font>
      <sz val="12"/>
      <color rgb="FFFF0000"/>
      <name val="Calibri"/>
      <family val="2"/>
      <scheme val="minor"/>
    </font>
    <font>
      <sz val="12"/>
      <color rgb="FFFFC000"/>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369">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2">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5" fillId="2" borderId="0" xfId="0" applyFont="1" applyFill="1" applyBorder="1" applyAlignment="1">
      <alignment horizontal="left" wrapText="1"/>
    </xf>
    <xf numFmtId="0" fontId="15" fillId="2" borderId="0" xfId="0" applyFont="1" applyFill="1" applyBorder="1" applyAlignment="1">
      <alignment wrapText="1"/>
    </xf>
    <xf numFmtId="0" fontId="15" fillId="2" borderId="0" xfId="0" applyFont="1" applyFill="1" applyBorder="1" applyAlignment="1">
      <alignment horizontal="left"/>
    </xf>
    <xf numFmtId="0" fontId="15" fillId="2" borderId="3" xfId="0" applyFont="1" applyFill="1" applyBorder="1" applyAlignment="1">
      <alignment horizontal="left"/>
    </xf>
    <xf numFmtId="0" fontId="15" fillId="2" borderId="4" xfId="0" applyNumberFormat="1" applyFont="1" applyFill="1" applyBorder="1" applyAlignment="1">
      <alignment horizontal="left" wrapText="1"/>
    </xf>
    <xf numFmtId="0" fontId="15" fillId="9" borderId="9" xfId="0" applyFont="1" applyFill="1" applyBorder="1" applyAlignment="1">
      <alignment horizontal="left" wrapText="1"/>
    </xf>
    <xf numFmtId="0" fontId="15" fillId="2" borderId="9" xfId="0" applyFont="1" applyFill="1" applyBorder="1" applyAlignment="1">
      <alignment wrapText="1"/>
    </xf>
    <xf numFmtId="0" fontId="15" fillId="2" borderId="5" xfId="0" applyFont="1" applyFill="1" applyBorder="1" applyAlignment="1">
      <alignment wrapText="1"/>
    </xf>
    <xf numFmtId="0" fontId="15" fillId="2" borderId="3" xfId="0" applyFont="1" applyFill="1" applyBorder="1" applyAlignment="1">
      <alignment wrapText="1"/>
    </xf>
    <xf numFmtId="0" fontId="15" fillId="2" borderId="4" xfId="0" applyNumberFormat="1" applyFont="1" applyFill="1" applyBorder="1" applyAlignment="1">
      <alignment wrapText="1"/>
    </xf>
    <xf numFmtId="0" fontId="15" fillId="2" borderId="9" xfId="0" applyFont="1" applyFill="1" applyBorder="1" applyAlignment="1">
      <alignment horizontal="left" wrapText="1"/>
    </xf>
    <xf numFmtId="0" fontId="15" fillId="2" borderId="5"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5" fillId="2" borderId="5" xfId="0" applyFont="1" applyFill="1" applyBorder="1"/>
    <xf numFmtId="0" fontId="15" fillId="2" borderId="7" xfId="0" applyFont="1" applyFill="1" applyBorder="1"/>
    <xf numFmtId="0" fontId="15"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4"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7" fillId="4" borderId="9" xfId="0" applyFont="1" applyFill="1" applyBorder="1" applyAlignment="1">
      <alignment wrapText="1"/>
    </xf>
    <xf numFmtId="0" fontId="14"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5"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15"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4"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4" fillId="13" borderId="0" xfId="0" applyFont="1" applyFill="1" applyAlignment="1">
      <alignment wrapText="1"/>
    </xf>
    <xf numFmtId="0" fontId="18"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9" fillId="0" borderId="0" xfId="0" applyFont="1" applyFill="1" applyBorder="1" applyAlignment="1"/>
    <xf numFmtId="0" fontId="19" fillId="0" borderId="0" xfId="0" applyFont="1" applyFill="1" applyBorder="1" applyAlignment="1">
      <alignment wrapText="1"/>
    </xf>
    <xf numFmtId="0" fontId="20" fillId="0" borderId="0" xfId="0" applyFont="1"/>
    <xf numFmtId="0" fontId="19" fillId="0" borderId="0" xfId="0" applyFont="1"/>
    <xf numFmtId="0" fontId="19" fillId="0" borderId="0" xfId="0" applyFont="1" applyAlignment="1">
      <alignment wrapText="1"/>
    </xf>
    <xf numFmtId="0" fontId="4" fillId="0" borderId="0" xfId="0" applyFont="1"/>
    <xf numFmtId="0" fontId="0" fillId="0" borderId="0" xfId="0" applyFill="1" applyAlignment="1">
      <alignment wrapText="1"/>
    </xf>
    <xf numFmtId="0" fontId="12" fillId="0" borderId="0" xfId="0" applyFont="1" applyAlignment="1"/>
    <xf numFmtId="0" fontId="21" fillId="0" borderId="0" xfId="0" applyFont="1"/>
    <xf numFmtId="0" fontId="7" fillId="6" borderId="9" xfId="0" applyFont="1" applyFill="1" applyBorder="1" applyAlignment="1">
      <alignment wrapText="1"/>
    </xf>
    <xf numFmtId="0" fontId="24" fillId="6" borderId="5" xfId="0" applyFont="1" applyFill="1" applyBorder="1"/>
    <xf numFmtId="0" fontId="0" fillId="6" borderId="9" xfId="0" applyFont="1" applyFill="1" applyBorder="1" applyAlignment="1">
      <alignment vertical="top" wrapText="1"/>
    </xf>
    <xf numFmtId="0" fontId="23" fillId="6" borderId="0" xfId="0" applyFont="1" applyFill="1" applyBorder="1" applyAlignment="1">
      <alignment horizontal="left"/>
    </xf>
    <xf numFmtId="0" fontId="23" fillId="2" borderId="5" xfId="0" applyFont="1" applyFill="1" applyBorder="1" applyAlignment="1">
      <alignment horizontal="left"/>
    </xf>
    <xf numFmtId="0" fontId="11"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3" fillId="0" borderId="0" xfId="0" applyNumberFormat="1" applyFont="1" applyAlignment="1">
      <alignment horizontal="right" wrapText="1"/>
    </xf>
    <xf numFmtId="0" fontId="13" fillId="0" borderId="0" xfId="0" applyFont="1" applyAlignment="1">
      <alignment horizontal="right" wrapText="1"/>
    </xf>
    <xf numFmtId="0" fontId="0" fillId="0" borderId="0" xfId="0" applyAlignment="1">
      <alignment horizontal="center"/>
    </xf>
  </cellXfs>
  <cellStyles count="3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3"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0"/>
  <sheetViews>
    <sheetView showGridLines="0" tabSelected="1" topLeftCell="B137" zoomScale="150" zoomScaleNormal="150" zoomScalePageLayoutView="150" workbookViewId="0">
      <selection activeCell="C137" sqref="C137"/>
    </sheetView>
  </sheetViews>
  <sheetFormatPr baseColWidth="10" defaultColWidth="8.6640625" defaultRowHeight="15" x14ac:dyDescent="0"/>
  <cols>
    <col min="1" max="2" width="52.5" style="1" customWidth="1"/>
    <col min="3" max="3" width="46.16406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9" t="s">
        <v>851</v>
      </c>
      <c r="B10" s="219"/>
      <c r="C10" s="218"/>
    </row>
    <row r="12" spans="1:8" ht="25">
      <c r="C12" s="229">
        <v>42125</v>
      </c>
      <c r="D12" s="230"/>
    </row>
    <row r="16" spans="1:8" ht="30" customHeight="1">
      <c r="B16" s="226" t="s">
        <v>833</v>
      </c>
      <c r="C16" s="226"/>
      <c r="G16" s="227" t="s">
        <v>0</v>
      </c>
      <c r="H16" s="228"/>
    </row>
    <row r="17" spans="1:8" ht="30">
      <c r="A17" s="2" t="s">
        <v>1</v>
      </c>
      <c r="B17" s="2" t="s">
        <v>2</v>
      </c>
      <c r="C17" s="208" t="s">
        <v>852</v>
      </c>
      <c r="D17" s="3" t="s">
        <v>3</v>
      </c>
      <c r="E17" s="208" t="s">
        <v>235</v>
      </c>
      <c r="F17" s="2" t="s">
        <v>4</v>
      </c>
      <c r="G17" s="4" t="s">
        <v>5</v>
      </c>
      <c r="H17" s="5" t="s">
        <v>6</v>
      </c>
    </row>
    <row r="18" spans="1:8" ht="30">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4" si="0">IF(C18&lt;&gt;"",IF(D18&lt;&gt;"",C18&amp;"--"&amp;D18,C18),"")</f>
        <v/>
      </c>
    </row>
    <row r="19" spans="1:8" ht="31" customHeight="1">
      <c r="A19" s="67" t="s">
        <v>9</v>
      </c>
      <c r="B19" s="67" t="s">
        <v>10</v>
      </c>
      <c r="C19" s="164" t="s">
        <v>479</v>
      </c>
      <c r="D19" s="71" t="s">
        <v>831</v>
      </c>
      <c r="E19" s="71" t="s">
        <v>832</v>
      </c>
      <c r="F19" s="68"/>
      <c r="G19" s="69" t="str">
        <f>IF(OR(Table1[[#This Row],[English]]&lt;&gt;"",Table1[[#This Row],[Français]]&lt;&gt;""),Table1[[#This Row],[Français]]&amp;"//"&amp;Table1[[#This Row],[English]],"")</f>
        <v>Pays//Country</v>
      </c>
      <c r="H19" s="70" t="str">
        <f t="shared" si="0"/>
        <v>Liberia--Cover page</v>
      </c>
    </row>
    <row r="20" spans="1:8" ht="45">
      <c r="A20" s="67" t="s">
        <v>11</v>
      </c>
      <c r="B20" s="71" t="s">
        <v>12</v>
      </c>
      <c r="C20" s="164" t="s">
        <v>876</v>
      </c>
      <c r="D20" s="71" t="s">
        <v>831</v>
      </c>
      <c r="E20" s="71" t="s">
        <v>889</v>
      </c>
      <c r="F20" s="68"/>
      <c r="G20" s="69" t="str">
        <f>IF(OR(Table1[[#This Row],[English]]&lt;&gt;"",Table1[[#This Row],[Français]]&lt;&gt;""),Table1[[#This Row],[Français]]&amp;"//"&amp;Table1[[#This Row],[English]],"")</f>
        <v>Nom de la société locale//Local company name</v>
      </c>
      <c r="H20" s="70" t="str">
        <f t="shared" si="0"/>
        <v>B &amp; V Timber Company--Cover page</v>
      </c>
    </row>
    <row r="21" spans="1:8">
      <c r="A21" s="71" t="s">
        <v>233</v>
      </c>
      <c r="B21" s="71" t="s">
        <v>234</v>
      </c>
      <c r="C21" s="164"/>
      <c r="D21" s="71"/>
      <c r="E21" s="71"/>
      <c r="F21" s="205"/>
      <c r="G21" s="16" t="str">
        <f>IF(OR(Table1[[#This Row],[English]]&lt;&gt;"",Table1[[#This Row],[Français]]&lt;&gt;""),Table1[[#This Row],[Français]]&amp;"//"&amp;Table1[[#This Row],[English]],"")</f>
        <v>Numéro d'entreprise légal//Legal Enterprise Identifier</v>
      </c>
      <c r="H21" s="206" t="str">
        <f>IF(C21&lt;&gt;"",IF(D21&lt;&gt;"",C21&amp;"--"&amp;D21,C21),"")</f>
        <v/>
      </c>
    </row>
    <row r="22" spans="1:8" ht="51" customHeight="1">
      <c r="A22" s="10" t="s">
        <v>13</v>
      </c>
      <c r="B22" s="10" t="s">
        <v>14</v>
      </c>
      <c r="C22" s="165" t="s">
        <v>880</v>
      </c>
      <c r="D22" s="10" t="s">
        <v>831</v>
      </c>
      <c r="E22" s="10" t="s">
        <v>889</v>
      </c>
      <c r="F22" s="11"/>
      <c r="G22" s="12" t="str">
        <f>IF(OR(Table1[[#This Row],[English]]&lt;&gt;"",Table1[[#This Row],[Français]]&lt;&gt;""),Table1[[#This Row],[Français]]&amp;"//"&amp;Table1[[#This Row],[English]],"")</f>
        <v xml:space="preserve">Siège social //Corporate headquarters </v>
      </c>
      <c r="H22" s="13" t="str">
        <f t="shared" si="0"/>
        <v>Vincent Compound, Brewerville, Montserrado County, Liberia--Cover page</v>
      </c>
    </row>
    <row r="23" spans="1:8">
      <c r="A23" s="10" t="s">
        <v>15</v>
      </c>
      <c r="B23" s="10" t="s">
        <v>16</v>
      </c>
      <c r="C23" s="165"/>
      <c r="D23" s="10"/>
      <c r="E23" s="10"/>
      <c r="F23" s="11"/>
      <c r="G23" s="12" t="str">
        <f>IF(OR(Table1[[#This Row],[English]]&lt;&gt;"",Table1[[#This Row],[Français]]&lt;&gt;""),Table1[[#This Row],[Français]]&amp;"//"&amp;Table1[[#This Row],[English]],"")</f>
        <v>Structure du Capital//Company structure</v>
      </c>
      <c r="H23" s="13" t="str">
        <f t="shared" si="0"/>
        <v/>
      </c>
    </row>
    <row r="24" spans="1:8" ht="59.25" customHeight="1">
      <c r="A24" s="67" t="s">
        <v>17</v>
      </c>
      <c r="B24" s="71" t="s">
        <v>189</v>
      </c>
      <c r="C24" s="16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233</v>
      </c>
      <c r="B25" s="71" t="s">
        <v>234</v>
      </c>
      <c r="C25" s="164"/>
      <c r="D25" s="71"/>
      <c r="E25" s="71"/>
      <c r="F25" s="205"/>
      <c r="G25" s="16" t="str">
        <f>IF(OR(Table1[[#This Row],[English]]&lt;&gt;"",Table1[[#This Row],[Français]]&lt;&gt;""),Table1[[#This Row],[Français]]&amp;"//"&amp;Table1[[#This Row],[English]],"")</f>
        <v>Numéro d'entreprise légal//Legal Enterprise Identifier</v>
      </c>
      <c r="H25" s="206"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45">
      <c r="A27" s="71" t="s">
        <v>200</v>
      </c>
      <c r="B27" s="72" t="s">
        <v>20</v>
      </c>
      <c r="C27" s="205" t="s">
        <v>888</v>
      </c>
      <c r="D27" s="71" t="s">
        <v>875</v>
      </c>
      <c r="E27" s="71" t="s">
        <v>892</v>
      </c>
      <c r="F27" s="205"/>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 Contract--Cover page, Art. B2.1</v>
      </c>
    </row>
    <row r="28" spans="1:8" ht="30">
      <c r="A28" s="67" t="s">
        <v>21</v>
      </c>
      <c r="B28" s="67" t="s">
        <v>22</v>
      </c>
      <c r="C28" s="164" t="s">
        <v>927</v>
      </c>
      <c r="D28" s="71" t="s">
        <v>831</v>
      </c>
      <c r="E28" s="71" t="s">
        <v>928</v>
      </c>
      <c r="F28" s="68"/>
      <c r="G28" s="69" t="str">
        <f>IF(OR(Table1[[#This Row],[English]]&lt;&gt;"",Table1[[#This Row],[Français]]&lt;&gt;""),Table1[[#This Row],[Français]]&amp;"//"&amp;Table1[[#This Row],[English]],"")</f>
        <v>Nom du projet//Project title</v>
      </c>
      <c r="H28" s="70" t="str">
        <f t="shared" si="0"/>
        <v>Area A-6--Cover page</v>
      </c>
    </row>
    <row r="29" spans="1:8">
      <c r="A29" s="71" t="s">
        <v>197</v>
      </c>
      <c r="B29" s="72" t="s">
        <v>23</v>
      </c>
      <c r="C29" s="164"/>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201</v>
      </c>
      <c r="B30" s="111" t="s">
        <v>853</v>
      </c>
      <c r="C30" s="164" t="s">
        <v>929</v>
      </c>
      <c r="D30" s="76" t="s">
        <v>834</v>
      </c>
      <c r="E30" s="71" t="s">
        <v>862</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Gbarpolu and Bong Counties. The contract area lies within Latitudes 7°6'0'' - 7°9'36'' North of the equator and Longitudes 10°12'36'' - 10°18'36'' West of the Greenwich meridian--Art. A1</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0">
      <c r="A38" s="207" t="s">
        <v>36</v>
      </c>
      <c r="B38" s="207"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4" t="s">
        <v>876</v>
      </c>
      <c r="D40" s="71" t="s">
        <v>831</v>
      </c>
      <c r="E40" s="71" t="s">
        <v>889</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B &amp; V Timber Company--Cover page</v>
      </c>
    </row>
    <row r="41" spans="1:8">
      <c r="A41" s="71" t="s">
        <v>233</v>
      </c>
      <c r="B41" s="71" t="s">
        <v>234</v>
      </c>
      <c r="C41" s="164"/>
      <c r="D41" s="71"/>
      <c r="E41" s="71"/>
      <c r="F41" s="205"/>
      <c r="G41" s="16" t="str">
        <f>IF(OR(Table1[[#This Row],[English]]&lt;&gt;"",Table1[[#This Row],[Français]]&lt;&gt;""),Table1[[#This Row],[Français]]&amp;"//"&amp;Table1[[#This Row],[English]],"")</f>
        <v>Numéro d'entreprise légal//Legal Enterprise Identifier</v>
      </c>
      <c r="H41" s="206" t="str">
        <f>IF(C41&lt;&gt;"",IF(D41&lt;&gt;"",C41&amp;"--"&amp;D41,C41),"")</f>
        <v/>
      </c>
    </row>
    <row r="42" spans="1:8" ht="60">
      <c r="A42" s="10" t="s">
        <v>42</v>
      </c>
      <c r="B42" s="10" t="s">
        <v>43</v>
      </c>
      <c r="C42" s="165" t="s">
        <v>877</v>
      </c>
      <c r="D42" s="105" t="s">
        <v>835</v>
      </c>
      <c r="E42" s="105" t="s">
        <v>890</v>
      </c>
      <c r="F42" s="22"/>
      <c r="G42" s="23" t="str">
        <f>IF(OR(Table1[[#This Row],[English]]&lt;&gt;"",Table1[[#This Row],[Français]]&lt;&gt;""),Table1[[#This Row],[Français]]&amp;"//"&amp;Table1[[#This Row],[English]],"")</f>
        <v>Signataire(s), société //Signatories, company</v>
      </c>
      <c r="H42" s="13" t="str">
        <f t="shared" si="0"/>
        <v>Emmanuel Q. Vincent, B &amp; V Timber Company--Signature page</v>
      </c>
    </row>
    <row r="43" spans="1:8" ht="42" customHeight="1">
      <c r="A43" s="67" t="s">
        <v>44</v>
      </c>
      <c r="B43" s="67" t="s">
        <v>45</v>
      </c>
      <c r="C43" s="164" t="s">
        <v>836</v>
      </c>
      <c r="D43" s="76" t="s">
        <v>831</v>
      </c>
      <c r="E43" s="76" t="s">
        <v>832</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 --Cover page</v>
      </c>
    </row>
    <row r="44" spans="1:8" ht="135">
      <c r="A44" s="10" t="s">
        <v>46</v>
      </c>
      <c r="B44" s="10" t="s">
        <v>47</v>
      </c>
      <c r="C44" s="165" t="s">
        <v>901</v>
      </c>
      <c r="D44" s="10" t="s">
        <v>835</v>
      </c>
      <c r="E44" s="10" t="s">
        <v>891</v>
      </c>
      <c r="F44" s="22"/>
      <c r="G44" s="23" t="str">
        <f>IF(OR(Table1[[#This Row],[English]]&lt;&gt;"",Table1[[#This Row],[Français]]&lt;&gt;""),Table1[[#This Row],[Français]]&amp;"//"&amp;Table1[[#This Row],[English]],"")</f>
        <v>Signataire(s), Etat//Signatories, State</v>
      </c>
      <c r="H44" s="13" t="str">
        <f t="shared" si="0"/>
        <v>John T. Woods, Forestry Development Authority, Tom Downing, GEMAP Comptroller/Forestry Development Authority--Signature page</v>
      </c>
    </row>
    <row r="45" spans="1:8" ht="47"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174</v>
      </c>
      <c r="B46" s="61" t="s">
        <v>166</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11" t="s">
        <v>930</v>
      </c>
      <c r="D47" s="221" t="s">
        <v>831</v>
      </c>
      <c r="E47" s="221" t="s">
        <v>863</v>
      </c>
      <c r="F47" s="73"/>
      <c r="G47" s="74" t="str">
        <f>IF(OR(Table1[[#This Row],[English]]&lt;&gt;"",Table1[[#This Row],[Français]]&lt;&gt;""),Table1[[#This Row],[Français]]&amp;"//"&amp;Table1[[#This Row],[English]],"")</f>
        <v>Date de signature du contrat//Date of contract signature</v>
      </c>
      <c r="H47" s="70" t="str">
        <f t="shared" si="0"/>
        <v>27/06/2008--Cover page</v>
      </c>
    </row>
    <row r="48" spans="1:8" ht="30">
      <c r="A48" s="71" t="s">
        <v>52</v>
      </c>
      <c r="B48" s="67" t="s">
        <v>53</v>
      </c>
      <c r="C48" s="166">
        <v>2008</v>
      </c>
      <c r="D48" s="221" t="s">
        <v>831</v>
      </c>
      <c r="E48" s="221" t="s">
        <v>863</v>
      </c>
      <c r="F48" s="73"/>
      <c r="G48" s="74" t="str">
        <f>IF(OR(Table1[[#This Row],[English]]&lt;&gt;"",Table1[[#This Row],[Français]]&lt;&gt;""),Table1[[#This Row],[Français]]&amp;"//"&amp;Table1[[#This Row],[English]],"")</f>
        <v>Année de signature du contrat//Year of contract signature</v>
      </c>
      <c r="H48" s="70" t="str">
        <f t="shared" si="0"/>
        <v>2008--Cover page</v>
      </c>
    </row>
    <row r="49" spans="1:8" ht="27" customHeight="1">
      <c r="A49" s="67" t="s">
        <v>54</v>
      </c>
      <c r="B49" s="67" t="s">
        <v>55</v>
      </c>
      <c r="C49" s="164" t="s">
        <v>838</v>
      </c>
      <c r="D49" s="76" t="s">
        <v>837</v>
      </c>
      <c r="E49" s="71" t="s">
        <v>863</v>
      </c>
      <c r="F49" s="73"/>
      <c r="G49" s="74" t="str">
        <f>IF(OR(Table1[[#This Row],[English]]&lt;&gt;"",Table1[[#This Row],[Français]]&lt;&gt;""),Table1[[#This Row],[Français]]&amp;"//"&amp;Table1[[#This Row],[English]],"")</f>
        <v>Durée//Term</v>
      </c>
      <c r="H49" s="70" t="str">
        <f t="shared" si="0"/>
        <v>3 years--Cover page 2</v>
      </c>
    </row>
    <row r="50" spans="1:8" ht="45">
      <c r="A50" s="10" t="s">
        <v>56</v>
      </c>
      <c r="B50" s="10" t="s">
        <v>57</v>
      </c>
      <c r="C50" s="165" t="s">
        <v>839</v>
      </c>
      <c r="D50" s="10" t="s">
        <v>840</v>
      </c>
      <c r="E50" s="10" t="s">
        <v>864</v>
      </c>
      <c r="F50" s="22"/>
      <c r="G50" s="23" t="str">
        <f>IF(OR(Table1[[#This Row],[English]]&lt;&gt;"",Table1[[#This Row],[Français]]&lt;&gt;""),Table1[[#This Row],[Français]]&amp;"//"&amp;Table1[[#This Row],[English]],"")</f>
        <v xml:space="preserve">Conditions de renouvellement//Conditions for renewal </v>
      </c>
      <c r="H50" s="13" t="str">
        <f t="shared" si="0"/>
        <v>The contract is not renewable--Art. B2.2</v>
      </c>
    </row>
    <row r="51" spans="1:8" ht="42" customHeight="1">
      <c r="A51" s="71" t="s">
        <v>224</v>
      </c>
      <c r="B51" s="72" t="s">
        <v>854</v>
      </c>
      <c r="C51" s="164" t="s">
        <v>800</v>
      </c>
      <c r="D51" s="71" t="s">
        <v>841</v>
      </c>
      <c r="E51" s="71" t="s">
        <v>865</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Timber--Art. B2.1</v>
      </c>
    </row>
    <row r="52" spans="1:8" ht="42" customHeight="1">
      <c r="A52" s="119" t="s">
        <v>213</v>
      </c>
      <c r="B52" s="119" t="s">
        <v>212</v>
      </c>
      <c r="C52" s="181" t="s">
        <v>893</v>
      </c>
      <c r="D52" s="56" t="s">
        <v>834</v>
      </c>
      <c r="E52" s="56" t="s">
        <v>862</v>
      </c>
      <c r="F52" s="119"/>
      <c r="G52" s="126" t="str">
        <f>IF(OR(Table1[[#This Row],[English]]&lt;&gt;"",Table1[[#This Row],[Français]]&lt;&gt;""),Table1[[#This Row],[Français]]&amp;"//"&amp;Table1[[#This Row],[English]],"")</f>
        <v>Superficie de la concession//Size of the concession area</v>
      </c>
      <c r="H52" s="127" t="str">
        <f>IF(C52&lt;&gt;"",IF(D52&lt;&gt;"",C52&amp;"--"&amp;D52,C52),"")</f>
        <v>5,000 hectares--Art. A1</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188</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05" customHeight="1">
      <c r="A55" s="75" t="s">
        <v>59</v>
      </c>
      <c r="B55" s="67" t="s">
        <v>60</v>
      </c>
      <c r="C55" s="223" t="s">
        <v>931</v>
      </c>
      <c r="D55" s="155" t="s">
        <v>861</v>
      </c>
      <c r="E55" s="155" t="s">
        <v>866</v>
      </c>
      <c r="F55" s="68"/>
      <c r="G55" s="69" t="str">
        <f>IF(OR(Table1[[#This Row],[English]]&lt;&gt;"",Table1[[#This Row],[Français]]&lt;&gt;""),Table1[[#This Row],[Français]]&amp;"//"&amp;Table1[[#This Row],[English]],"")</f>
        <v>Convention de développement local//Local development agreement</v>
      </c>
      <c r="H55" s="70" t="str">
        <f t="shared" si="0"/>
        <v>B &amp; V Timber Company shall complete the Social Agreement(s) required under Forestry Development Authority Regulation 105-07, which, once attested to by the Forestry Development Authority, then becomes part of the contract and, if breached, is treated like a breach of the contract--Art. B3.1</v>
      </c>
    </row>
    <row r="56" spans="1:8" ht="87.75" customHeight="1">
      <c r="A56" s="10" t="s">
        <v>225</v>
      </c>
      <c r="B56" s="10" t="s">
        <v>61</v>
      </c>
      <c r="C56" s="165" t="s">
        <v>935</v>
      </c>
      <c r="D56" s="10" t="s">
        <v>925</v>
      </c>
      <c r="E56" s="10" t="s">
        <v>926</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B &amp; V Timber Company shall identify areas requiring special measures for the protection of cultural resources and describe these special protection measures in its annual operational plan. In addition, B &amp; V Timber Company shall protect these areas from damage or removal during its operations. The Forestry Development Authority may delay or interrupt operations under the contract, or modify the contract,  to prevent harm to cultural resources._x000D__x000D_--Arts. B6.34, B8.6(a)</v>
      </c>
    </row>
    <row r="57" spans="1:8" ht="45">
      <c r="A57" s="71" t="s">
        <v>228</v>
      </c>
      <c r="B57" s="67" t="s">
        <v>62</v>
      </c>
      <c r="C57" s="166"/>
      <c r="D57" s="155"/>
      <c r="E57" s="155"/>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52.5" customHeight="1">
      <c r="A58" s="10" t="s">
        <v>229</v>
      </c>
      <c r="B58" s="10" t="s">
        <v>63</v>
      </c>
      <c r="C58" s="165" t="s">
        <v>932</v>
      </c>
      <c r="D58" s="10" t="s">
        <v>842</v>
      </c>
      <c r="E58" s="10" t="s">
        <v>867</v>
      </c>
      <c r="F58" s="22"/>
      <c r="G58" s="23" t="str">
        <f>IF(OR(Table1[[#This Row],[English]]&lt;&gt;"",Table1[[#This Row],[Français]]&lt;&gt;""),Table1[[#This Row],[Français]]&amp;"//"&amp;Table1[[#This Row],[English]],"")</f>
        <v>Obligations liées a la formation des cadres locaux//Management training requirement for nationals</v>
      </c>
      <c r="H58" s="13" t="str">
        <f t="shared" si="0"/>
        <v>B &amp; V Timber Company shall comply with all training and employment obligations required by law or regulation--Art. B3.33</v>
      </c>
    </row>
    <row r="59" spans="1:8" ht="101.25" customHeight="1">
      <c r="A59" s="71" t="s">
        <v>226</v>
      </c>
      <c r="B59" s="67" t="s">
        <v>64</v>
      </c>
      <c r="C59" s="171" t="s">
        <v>894</v>
      </c>
      <c r="D59" s="71" t="s">
        <v>842</v>
      </c>
      <c r="E59" s="71" t="s">
        <v>867</v>
      </c>
      <c r="F59" s="73"/>
      <c r="G59" s="74" t="str">
        <f>IF(OR(Table1[[#This Row],[English]]&lt;&gt;"",Table1[[#This Row],[Français]]&lt;&gt;""),Table1[[#This Row],[Français]]&amp;"//"&amp;Table1[[#This Row],[English]],"")</f>
        <v>Obligations liées à l'emploi du personnel local//Local employment requirements</v>
      </c>
      <c r="H59" s="70" t="str">
        <f t="shared" si="0"/>
        <v>B &amp; V Timber Company shall give preference to competent and qualified ECOWAS (Economic Community of West African States) citizens in the selection of employees to conduct its operations under the contract, and shall not import unskilled labor from outside the ECOWAS nations --Art. B3.33</v>
      </c>
    </row>
    <row r="60" spans="1:8" ht="45.75" customHeight="1">
      <c r="A60" s="71" t="s">
        <v>227</v>
      </c>
      <c r="B60" s="67" t="s">
        <v>65</v>
      </c>
      <c r="C60" s="16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202</v>
      </c>
      <c r="B62" s="76" t="s">
        <v>203</v>
      </c>
      <c r="C62" s="17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855</v>
      </c>
      <c r="B63" s="132" t="s">
        <v>218</v>
      </c>
      <c r="C63" s="172"/>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153" customHeight="1">
      <c r="A64" s="124" t="s">
        <v>181</v>
      </c>
      <c r="B64" s="10" t="s">
        <v>180</v>
      </c>
      <c r="C64" s="165" t="s">
        <v>895</v>
      </c>
      <c r="D64" s="10" t="s">
        <v>915</v>
      </c>
      <c r="E64" s="10" t="s">
        <v>878</v>
      </c>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B &amp; V Timber Company shall follow internationally recognized, modern safety precautions in all activities and shall comply with written safety instructions supplied by the Government. B &amp; V Timber Company shall follow internationally recognized, modern measures for the protection of general health and safety of its employees and other persons with legal access to the contract area, and shall comply with written public health instructions issued by the Government.--Arts. B3.31, B3.32</v>
      </c>
    </row>
    <row r="65" spans="1:8" ht="83.25" customHeight="1">
      <c r="A65" s="83" t="s">
        <v>183</v>
      </c>
      <c r="B65" s="82" t="s">
        <v>182</v>
      </c>
      <c r="C65" s="174" t="s">
        <v>897</v>
      </c>
      <c r="D65" s="76" t="s">
        <v>843</v>
      </c>
      <c r="E65" s="76" t="s">
        <v>896</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B &amp; V Timber Company shall use all reasonable means to prevent encroachment by unauthorized persons into the contract area. However, B &amp; V Timber Company shall not employ or in any way use armed security guards for any purpose.--Art. B6.31</v>
      </c>
    </row>
    <row r="66" spans="1:8" ht="34" customHeight="1">
      <c r="A66" s="145" t="s">
        <v>185</v>
      </c>
      <c r="B66" s="146" t="s">
        <v>186</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405.75" customHeight="1">
      <c r="A67" s="123" t="s">
        <v>211</v>
      </c>
      <c r="B67" s="119" t="s">
        <v>210</v>
      </c>
      <c r="C67" s="181" t="s">
        <v>933</v>
      </c>
      <c r="D67" s="10" t="s">
        <v>916</v>
      </c>
      <c r="E67" s="10" t="s">
        <v>904</v>
      </c>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Rights for private land owners and the public are reserved by Chapters 11 and 12 of the National Forestry Reform Law of 2006, and B &amp; V Timber Company agrees to respect those rights. In addition, the Government reserves the right to, among other things, access or allow others to access the contract area for the purpose of exploring for or exploiting minerals or other substances or any reasonable investigation, provided B &amp; V Timber Company's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benefits) that are required for public purposes, or allow others to access the contract area for traditional and customary community uses of timber and forest products, provided B &amp; V Timber Company's operations and activities shall not be unduly interfered with or its rights prejudiced. B &amp; V Timber Company shall allow the Government and public to have access over the contract area, provided that the access does not amount to encroachment and does not interfere with its operations.--Arts. B2.11,  B4.23(b)</v>
      </c>
    </row>
    <row r="68" spans="1:8">
      <c r="A68" s="24"/>
      <c r="B68" s="24"/>
      <c r="C68" s="182"/>
      <c r="D68" s="195"/>
      <c r="E68" s="195"/>
      <c r="F68" s="15"/>
      <c r="G68" s="16" t="str">
        <f>IF(OR(Table1[[#This Row],[English]]&lt;&gt;"",Table1[[#This Row],[Français]]&lt;&gt;""),Table1[[#This Row],[Français]]&amp;"//"&amp;Table1[[#This Row],[English]],"")</f>
        <v/>
      </c>
      <c r="H68" s="25" t="str">
        <f t="shared" si="0"/>
        <v/>
      </c>
    </row>
    <row r="69" spans="1:8" ht="29" customHeight="1">
      <c r="A69" s="62" t="s">
        <v>68</v>
      </c>
      <c r="B69" s="26" t="s">
        <v>69</v>
      </c>
      <c r="C69" s="168"/>
      <c r="D69" s="157"/>
      <c r="E69" s="157"/>
      <c r="F69" s="18"/>
      <c r="G69" s="19" t="str">
        <f>IF(OR(Table1[[#This Row],[English]]&lt;&gt;"",Table1[[#This Row],[Français]]&lt;&gt;""),Table1[[#This Row],[Français]]&amp;"//"&amp;Table1[[#This Row],[English]],"")</f>
        <v>3. Obligations financières du détenteur du titre//3. Developer's financial obligations</v>
      </c>
      <c r="H69" s="20" t="str">
        <f t="shared" si="0"/>
        <v/>
      </c>
    </row>
    <row r="70" spans="1:8" ht="70" customHeight="1">
      <c r="A70" s="84" t="s">
        <v>70</v>
      </c>
      <c r="B70" s="85" t="s">
        <v>71</v>
      </c>
      <c r="C70" s="85" t="s">
        <v>923</v>
      </c>
      <c r="D70" s="151" t="s">
        <v>917</v>
      </c>
      <c r="E70" s="151" t="s">
        <v>898</v>
      </c>
      <c r="F70" s="86"/>
      <c r="G70" s="87" t="str">
        <f>IF(OR(Table1[[#This Row],[English]]&lt;&gt;"",Table1[[#This Row],[Français]]&lt;&gt;""),Table1[[#This Row],[Français]]&amp;"//"&amp;Table1[[#This Row],[English]],"")</f>
        <v>Taxe minière / redevance//Mining tax / royalty tax</v>
      </c>
      <c r="H70" s="88" t="str">
        <f t="shared" si="0"/>
        <v xml:space="preserve">B &amp; V Timber Company shall pay log stumpage fees to the Government in the amounts and at the times established by Part II of Forestry Development Authority Regulation 107-07, and shall pay log stumpage fees before exporting or processing the logs. In addition, log stumpage fees shall be paid for timber cut through mistake, timber damaged without negligence, timber unnecessarily damaged or negligently or willfully cut (in addition to other penalties), and merchantable logs damaged by careless felling or extraction (in addition to log export fee and any penalties).--Arts. B7.12, B7.21- B7.24   </v>
      </c>
    </row>
    <row r="71" spans="1:8" ht="36" customHeight="1">
      <c r="A71" s="84" t="s">
        <v>72</v>
      </c>
      <c r="B71" s="85" t="s">
        <v>73</v>
      </c>
      <c r="C71" s="176"/>
      <c r="D71" s="151"/>
      <c r="E71" s="151"/>
      <c r="F71" s="86"/>
      <c r="G71" s="87" t="str">
        <f>IF(OR(Table1[[#This Row],[English]]&lt;&gt;"",Table1[[#This Row],[Français]]&lt;&gt;""),Table1[[#This Row],[Français]]&amp;"//"&amp;Table1[[#This Row],[English]],"")</f>
        <v>Impôt sur les bénéfices: taux//Income tax: rate</v>
      </c>
      <c r="H71" s="88" t="str">
        <f t="shared" si="0"/>
        <v/>
      </c>
    </row>
    <row r="72" spans="1:8">
      <c r="A72" s="85" t="s">
        <v>219</v>
      </c>
      <c r="B72" s="85" t="s">
        <v>74</v>
      </c>
      <c r="C72" s="177"/>
      <c r="D72" s="160"/>
      <c r="E72" s="160"/>
      <c r="F72" s="86"/>
      <c r="G72" s="87" t="str">
        <f>IF(OR(Table1[[#This Row],[English]]&lt;&gt;"",Table1[[#This Row],[Français]]&lt;&gt;""),Table1[[#This Row],[Français]]&amp;"//"&amp;Table1[[#This Row],[English]],"")</f>
        <v>Impôt sur les bénéfices: exonération//Income tax: exemptions</v>
      </c>
      <c r="H72" s="88" t="str">
        <f t="shared" si="0"/>
        <v/>
      </c>
    </row>
    <row r="73" spans="1:8" ht="45">
      <c r="A73" s="85" t="s">
        <v>220</v>
      </c>
      <c r="B73" s="85" t="s">
        <v>75</v>
      </c>
      <c r="C73" s="177"/>
      <c r="D73" s="160"/>
      <c r="E73" s="160"/>
      <c r="F73" s="86"/>
      <c r="G73"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3" s="88" t="str">
        <f t="shared" si="0"/>
        <v/>
      </c>
    </row>
    <row r="74" spans="1:8" ht="45.75" customHeight="1">
      <c r="A74" s="106" t="s">
        <v>195</v>
      </c>
      <c r="B74" s="106" t="s">
        <v>856</v>
      </c>
      <c r="C74" s="178"/>
      <c r="D74" s="106"/>
      <c r="E74" s="106"/>
      <c r="F74" s="107"/>
      <c r="G74"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4" s="109" t="str">
        <f>IF(C74&lt;&gt;"",IF(D74&lt;&gt;"",C74&amp;"--"&amp;D74,C74),"")</f>
        <v/>
      </c>
    </row>
    <row r="75" spans="1:8" ht="34.5" customHeight="1">
      <c r="A75" s="106" t="s">
        <v>196</v>
      </c>
      <c r="B75" s="106" t="s">
        <v>857</v>
      </c>
      <c r="C75" s="178"/>
      <c r="D75" s="106"/>
      <c r="E75" s="106"/>
      <c r="F75" s="107"/>
      <c r="G75"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5" s="109" t="str">
        <f>IF(C75&lt;&gt;"",IF(D75&lt;&gt;"",C75&amp;"--"&amp;D75,C75),"")</f>
        <v/>
      </c>
    </row>
    <row r="76" spans="1:8" ht="30">
      <c r="A76" s="106" t="s">
        <v>858</v>
      </c>
      <c r="B76" s="106" t="s">
        <v>76</v>
      </c>
      <c r="C76" s="178"/>
      <c r="D76" s="106"/>
      <c r="E76" s="106"/>
      <c r="F76" s="107"/>
      <c r="G76" s="108" t="str">
        <f>IF(OR(Table1[[#This Row],[English]]&lt;&gt;"",Table1[[#This Row],[Français]]&lt;&gt;""),Table1[[#This Row],[Français]]&amp;"//"&amp;Table1[[#This Row],[English]],"")</f>
        <v>Contrat de Service - Frais du détenteur du titre défrayés (base de calcul)//Service Agreement - Fee to developer / contractor (basis for calculation)</v>
      </c>
      <c r="H76" s="109" t="str">
        <f>IF(C76&lt;&gt;"",IF(D76&lt;&gt;"",C76&amp;"--"&amp;D76,C76),"")</f>
        <v/>
      </c>
    </row>
    <row r="77" spans="1:8" ht="26" customHeight="1">
      <c r="A77" s="89" t="s">
        <v>230</v>
      </c>
      <c r="B77" s="89" t="s">
        <v>77</v>
      </c>
      <c r="C77" s="174"/>
      <c r="D77" s="89"/>
      <c r="E77" s="89"/>
      <c r="F77" s="90"/>
      <c r="G77" s="91" t="str">
        <f>IF(OR(Table1[[#This Row],[English]]&lt;&gt;"",Table1[[#This Row],[Français]]&lt;&gt;""),Table1[[#This Row],[Français]]&amp;"//"&amp;Table1[[#This Row],[English]],"")</f>
        <v>Impôt sur les Revenus des Valeurs Mobilières (IRVM)//Capital gains tax</v>
      </c>
      <c r="H77" s="92" t="str">
        <f t="shared" si="0"/>
        <v/>
      </c>
    </row>
    <row r="78" spans="1:8" ht="26" customHeight="1">
      <c r="A78" s="128" t="s">
        <v>198</v>
      </c>
      <c r="B78" s="128" t="s">
        <v>204</v>
      </c>
      <c r="C78" s="170"/>
      <c r="D78" s="27"/>
      <c r="E78" s="27"/>
      <c r="F78" s="129"/>
      <c r="G78" s="130" t="str">
        <f>IF(OR(Table1[[#This Row],[English]]&lt;&gt;"",Table1[[#This Row],[Français]]&lt;&gt;""),Table1[[#This Row],[Français]]&amp;"//"&amp;Table1[[#This Row],[English]],"")</f>
        <v>Retenue à la source sur les intérêts et/ou dividendes//Withholding tax on payment of interest and/or dividends</v>
      </c>
      <c r="H78" s="131" t="str">
        <f>IF(C78&lt;&gt;"",IF(D78&lt;&gt;"",C78&amp;"--"&amp;D78,C78),"")</f>
        <v/>
      </c>
    </row>
    <row r="79" spans="1:8">
      <c r="A79" s="27" t="s">
        <v>78</v>
      </c>
      <c r="B79" s="27" t="s">
        <v>79</v>
      </c>
      <c r="C79" s="173"/>
      <c r="D79" s="10"/>
      <c r="E79" s="10"/>
      <c r="F79" s="29"/>
      <c r="G79" s="30" t="str">
        <f>IF(OR(Table1[[#This Row],[English]]&lt;&gt;"",Table1[[#This Row],[Français]]&lt;&gt;""),Table1[[#This Row],[Français]]&amp;"//"&amp;Table1[[#This Row],[English]],"")</f>
        <v>Retenue à la source sur les salaires des nationaux//Witholding tax on national salaries</v>
      </c>
      <c r="H79" s="32" t="str">
        <f t="shared" si="0"/>
        <v/>
      </c>
    </row>
    <row r="80" spans="1:8">
      <c r="A80" s="27" t="s">
        <v>80</v>
      </c>
      <c r="B80" s="27" t="s">
        <v>81</v>
      </c>
      <c r="C80" s="192"/>
      <c r="D80" s="10"/>
      <c r="E80" s="10"/>
      <c r="F80" s="29"/>
      <c r="G80" s="30" t="str">
        <f>IF(OR(Table1[[#This Row],[English]]&lt;&gt;"",Table1[[#This Row],[Français]]&lt;&gt;""),Table1[[#This Row],[Français]]&amp;"//"&amp;Table1[[#This Row],[English]],"")</f>
        <v>Retenue à la source sur les salaires des expatriés//Witholding tax on expatriate salaries</v>
      </c>
      <c r="H80" s="32" t="str">
        <f t="shared" si="0"/>
        <v/>
      </c>
    </row>
    <row r="81" spans="1:8" ht="30">
      <c r="A81" s="27" t="s">
        <v>82</v>
      </c>
      <c r="B81" s="27" t="s">
        <v>83</v>
      </c>
      <c r="C81" s="192"/>
      <c r="D81" s="27"/>
      <c r="E81" s="27"/>
      <c r="F81" s="29"/>
      <c r="G81" s="30" t="str">
        <f>IF(OR(Table1[[#This Row],[English]]&lt;&gt;"",Table1[[#This Row],[Français]]&lt;&gt;""),Table1[[#This Row],[Français]]&amp;"//"&amp;Table1[[#This Row],[English]],"")</f>
        <v>Retenue à la source sur les prestations de service par des entreprises non résidentes//Witholding tax on services of non-resident companies</v>
      </c>
      <c r="H81" s="31" t="str">
        <f t="shared" si="0"/>
        <v/>
      </c>
    </row>
    <row r="82" spans="1:8">
      <c r="A82" s="128" t="s">
        <v>84</v>
      </c>
      <c r="B82" s="27" t="s">
        <v>85</v>
      </c>
      <c r="C82" s="192"/>
      <c r="D82" s="27"/>
      <c r="E82" s="27"/>
      <c r="F82" s="29"/>
      <c r="G82" s="30" t="str">
        <f>IF(OR(Table1[[#This Row],[English]]&lt;&gt;"",Table1[[#This Row],[Français]]&lt;&gt;""),Table1[[#This Row],[Français]]&amp;"//"&amp;Table1[[#This Row],[English]],"")</f>
        <v>Retenue à la source sur les loyers des immeubles//Witholding tax on rent</v>
      </c>
      <c r="H82" s="31" t="str">
        <f t="shared" si="0"/>
        <v/>
      </c>
    </row>
    <row r="83" spans="1:8">
      <c r="A83" s="27" t="s">
        <v>86</v>
      </c>
      <c r="B83" s="27" t="s">
        <v>87</v>
      </c>
      <c r="C83" s="179"/>
      <c r="D83" s="27"/>
      <c r="E83" s="27"/>
      <c r="F83" s="29"/>
      <c r="G83" s="30" t="str">
        <f>IF(OR(Table1[[#This Row],[English]]&lt;&gt;"",Table1[[#This Row],[Français]]&lt;&gt;""),Table1[[#This Row],[Français]]&amp;"//"&amp;Table1[[#This Row],[English]],"")</f>
        <v>Déductibilité des frais financiers//Deductibility of expenses</v>
      </c>
      <c r="H83" s="31" t="str">
        <f t="shared" si="0"/>
        <v/>
      </c>
    </row>
    <row r="84" spans="1:8">
      <c r="A84" s="33" t="s">
        <v>88</v>
      </c>
      <c r="B84" s="27" t="s">
        <v>89</v>
      </c>
      <c r="C84" s="179"/>
      <c r="D84" s="27"/>
      <c r="E84" s="27"/>
      <c r="F84" s="29"/>
      <c r="G84" s="30" t="str">
        <f>IF(OR(Table1[[#This Row],[English]]&lt;&gt;"",Table1[[#This Row],[Français]]&lt;&gt;""),Table1[[#This Row],[Français]]&amp;"//"&amp;Table1[[#This Row],[English]],"")</f>
        <v>Méthode d’évaluation de prix //Method for evaluating price</v>
      </c>
      <c r="H84" s="31" t="str">
        <f t="shared" si="0"/>
        <v/>
      </c>
    </row>
    <row r="85" spans="1:8">
      <c r="A85" s="27" t="s">
        <v>90</v>
      </c>
      <c r="B85" s="27" t="s">
        <v>91</v>
      </c>
      <c r="C85" s="179"/>
      <c r="D85" s="27"/>
      <c r="E85" s="27"/>
      <c r="F85" s="29"/>
      <c r="G85" s="30" t="str">
        <f>IF(OR(Table1[[#This Row],[English]]&lt;&gt;"",Table1[[#This Row],[Français]]&lt;&gt;""),Table1[[#This Row],[Français]]&amp;"//"&amp;Table1[[#This Row],[English]],"")</f>
        <v>Provision pour la reconstitution des gisements//Provisions for renewing reserves</v>
      </c>
      <c r="H85" s="31" t="str">
        <f t="shared" si="0"/>
        <v/>
      </c>
    </row>
    <row r="86" spans="1:8">
      <c r="A86" s="27" t="s">
        <v>92</v>
      </c>
      <c r="B86" s="27" t="s">
        <v>93</v>
      </c>
      <c r="C86" s="179"/>
      <c r="D86" s="27"/>
      <c r="E86" s="27"/>
      <c r="F86" s="29"/>
      <c r="G86" s="30" t="str">
        <f>IF(OR(Table1[[#This Row],[English]]&lt;&gt;"",Table1[[#This Row],[Français]]&lt;&gt;""),Table1[[#This Row],[Français]]&amp;"//"&amp;Table1[[#This Row],[English]],"")</f>
        <v>Crédit d'investissement//Investment credit</v>
      </c>
      <c r="H86" s="31" t="str">
        <f t="shared" si="0"/>
        <v/>
      </c>
    </row>
    <row r="87" spans="1:8" ht="17.25" customHeight="1">
      <c r="A87" s="27" t="s">
        <v>94</v>
      </c>
      <c r="B87" s="27" t="s">
        <v>95</v>
      </c>
      <c r="C87" s="180"/>
      <c r="D87" s="27"/>
      <c r="E87" s="27"/>
      <c r="F87" s="29"/>
      <c r="G87" s="30" t="str">
        <f>IF(OR(Table1[[#This Row],[English]]&lt;&gt;"",Table1[[#This Row],[Français]]&lt;&gt;""),Table1[[#This Row],[Français]]&amp;"//"&amp;Table1[[#This Row],[English]],"")</f>
        <v>Droits de douane en phase de recherche//Custom duties during exploration phase</v>
      </c>
      <c r="H87" s="31" t="str">
        <f t="shared" si="0"/>
        <v/>
      </c>
    </row>
    <row r="88" spans="1:8">
      <c r="A88" s="27" t="s">
        <v>96</v>
      </c>
      <c r="B88" s="27" t="s">
        <v>97</v>
      </c>
      <c r="C88" s="179"/>
      <c r="D88" s="27"/>
      <c r="E88" s="27"/>
      <c r="F88" s="29"/>
      <c r="G88" s="30" t="str">
        <f>IF(OR(Table1[[#This Row],[English]]&lt;&gt;"",Table1[[#This Row],[Français]]&lt;&gt;""),Table1[[#This Row],[Français]]&amp;"//"&amp;Table1[[#This Row],[English]],"")</f>
        <v>Droits de douane en phase de construction//Custom duties during construction phase</v>
      </c>
      <c r="H88" s="31" t="str">
        <f t="shared" si="0"/>
        <v/>
      </c>
    </row>
    <row r="89" spans="1:8">
      <c r="A89" s="27" t="s">
        <v>98</v>
      </c>
      <c r="B89" s="27" t="s">
        <v>214</v>
      </c>
      <c r="C89" s="179"/>
      <c r="D89" s="27"/>
      <c r="E89" s="27"/>
      <c r="F89" s="29"/>
      <c r="G89" s="30" t="str">
        <f>IF(OR(Table1[[#This Row],[English]]&lt;&gt;"",Table1[[#This Row],[Français]]&lt;&gt;""),Table1[[#This Row],[Français]]&amp;"//"&amp;Table1[[#This Row],[English]],"")</f>
        <v>Droits de douane en phase d'exploitation//Custum duties during operation phase</v>
      </c>
      <c r="H89" s="31" t="str">
        <f t="shared" si="0"/>
        <v/>
      </c>
    </row>
    <row r="90" spans="1:8">
      <c r="A90" s="27" t="s">
        <v>99</v>
      </c>
      <c r="B90" s="27" t="s">
        <v>100</v>
      </c>
      <c r="C90" s="179"/>
      <c r="D90" s="27"/>
      <c r="E90" s="27"/>
      <c r="F90" s="29"/>
      <c r="G90" s="30" t="str">
        <f>IF(OR(Table1[[#This Row],[English]]&lt;&gt;"",Table1[[#This Row],[Français]]&lt;&gt;""),Table1[[#This Row],[Français]]&amp;"//"&amp;Table1[[#This Row],[English]],"")</f>
        <v>Droits de douane pour le matériel de traitement//Custom duties on processing equipment</v>
      </c>
      <c r="H90" s="31" t="str">
        <f t="shared" si="0"/>
        <v/>
      </c>
    </row>
    <row r="91" spans="1:8">
      <c r="A91" s="27" t="s">
        <v>101</v>
      </c>
      <c r="B91" s="27" t="s">
        <v>102</v>
      </c>
      <c r="C91" s="179"/>
      <c r="D91" s="27"/>
      <c r="E91" s="27"/>
      <c r="F91" s="29"/>
      <c r="G91" s="30" t="str">
        <f>IF(OR(Table1[[#This Row],[English]]&lt;&gt;"",Table1[[#This Row],[Français]]&lt;&gt;""),Table1[[#This Row],[Français]]&amp;"//"&amp;Table1[[#This Row],[English]],"")</f>
        <v>Droits de douane pour le matériel de transformation//Custom duties on transformation equipment</v>
      </c>
      <c r="H91" s="31" t="str">
        <f t="shared" si="0"/>
        <v/>
      </c>
    </row>
    <row r="92" spans="1:8">
      <c r="A92" s="27" t="s">
        <v>103</v>
      </c>
      <c r="B92" s="27" t="s">
        <v>104</v>
      </c>
      <c r="C92" s="179"/>
      <c r="D92" s="27"/>
      <c r="E92" s="27"/>
      <c r="F92" s="29"/>
      <c r="G92" s="30" t="str">
        <f>IF(OR(Table1[[#This Row],[English]]&lt;&gt;"",Table1[[#This Row],[Français]]&lt;&gt;""),Table1[[#This Row],[Français]]&amp;"//"&amp;Table1[[#This Row],[English]],"")</f>
        <v>Droits de douane pour le matériel de transport//Custom duties on transportation equipment</v>
      </c>
      <c r="H92" s="31" t="str">
        <f t="shared" si="0"/>
        <v/>
      </c>
    </row>
    <row r="93" spans="1:8">
      <c r="A93" s="27" t="s">
        <v>105</v>
      </c>
      <c r="B93" s="27" t="s">
        <v>106</v>
      </c>
      <c r="C93" s="179"/>
      <c r="D93" s="27"/>
      <c r="E93" s="27"/>
      <c r="F93" s="29"/>
      <c r="G93" s="30" t="str">
        <f>IF(OR(Table1[[#This Row],[English]]&lt;&gt;"",Table1[[#This Row],[Français]]&lt;&gt;""),Table1[[#This Row],[Français]]&amp;"//"&amp;Table1[[#This Row],[English]],"")</f>
        <v>TVA//VAT</v>
      </c>
      <c r="H93" s="31" t="str">
        <f t="shared" si="0"/>
        <v/>
      </c>
    </row>
    <row r="94" spans="1:8" ht="50" customHeight="1">
      <c r="A94" s="27" t="s">
        <v>107</v>
      </c>
      <c r="B94" s="27" t="s">
        <v>859</v>
      </c>
      <c r="C94" s="179"/>
      <c r="D94" s="27"/>
      <c r="E94" s="27"/>
      <c r="F94" s="29"/>
      <c r="G94" s="30" t="str">
        <f>IF(OR(Table1[[#This Row],[English]]&lt;&gt;"",Table1[[#This Row],[Français]]&lt;&gt;""),Table1[[#This Row],[Français]]&amp;"//"&amp;Table1[[#This Row],[English]],"")</f>
        <v xml:space="preserve">Droits fixes d'octroi et de renouvellement des permis//Fixed fee for grant and renewal of license </v>
      </c>
      <c r="H94" s="31" t="str">
        <f t="shared" si="0"/>
        <v/>
      </c>
    </row>
    <row r="95" spans="1:8">
      <c r="A95" s="27" t="s">
        <v>108</v>
      </c>
      <c r="B95" s="27" t="s">
        <v>109</v>
      </c>
      <c r="C95" s="179"/>
      <c r="D95" s="27"/>
      <c r="E95" s="27"/>
      <c r="F95" s="29"/>
      <c r="G95" s="30" t="str">
        <f>IF(OR(Table1[[#This Row],[English]]&lt;&gt;"",Table1[[#This Row],[Français]]&lt;&gt;""),Table1[[#This Row],[Français]]&amp;"//"&amp;Table1[[#This Row],[English]],"")</f>
        <v>Part patronale des cotisations de sécurité sociale//Social security contributions by employer</v>
      </c>
      <c r="H95" s="31" t="str">
        <f t="shared" ref="H95:H143" si="2">IF(C95&lt;&gt;"",IF(D95&lt;&gt;"",C95&amp;"--"&amp;D95,C95),"")</f>
        <v/>
      </c>
    </row>
    <row r="96" spans="1:8" ht="170.25" customHeight="1">
      <c r="A96" s="128" t="s">
        <v>110</v>
      </c>
      <c r="B96" s="128" t="s">
        <v>111</v>
      </c>
      <c r="C96" s="181" t="s">
        <v>924</v>
      </c>
      <c r="D96" s="27" t="s">
        <v>918</v>
      </c>
      <c r="E96" s="27" t="s">
        <v>899</v>
      </c>
      <c r="F96" s="225"/>
      <c r="G96" s="130" t="str">
        <f>IF(OR(Table1[[#This Row],[English]]&lt;&gt;"",Table1[[#This Row],[Français]]&lt;&gt;""),Table1[[#This Row],[Français]]&amp;"//"&amp;Table1[[#This Row],[English]],"")</f>
        <v>Redevances superficiaires//Surface fees</v>
      </c>
      <c r="H96" s="131" t="str">
        <f t="shared" si="2"/>
        <v>The land rental bid is US$ 20.00 per hectare per year. The land rental bid payment is calculated annually according to a specific formula described in the contract. B &amp; V Timber Company shall first pay it prior to felling any trees and, after that, every year on the anniversary of the contract signing date. B &amp; V Timber Company shall also pay forest product fees as required by Forestry Development Authority Regulation 107-07, including the following annual fees: contract administration, area, coupe inspection, and forest product fees.--Arts. A4, B7.11, B7.13 - B7.14</v>
      </c>
    </row>
    <row r="97" spans="1:8">
      <c r="A97" s="27" t="s">
        <v>112</v>
      </c>
      <c r="B97" s="27" t="s">
        <v>113</v>
      </c>
      <c r="C97" s="179"/>
      <c r="D97" s="27"/>
      <c r="E97" s="27"/>
      <c r="F97" s="29"/>
      <c r="G97" s="30" t="str">
        <f>IF(OR(Table1[[#This Row],[English]]&lt;&gt;"",Table1[[#This Row],[Français]]&lt;&gt;""),Table1[[#This Row],[Français]]&amp;"//"&amp;Table1[[#This Row],[English]],"")</f>
        <v>Obligations communautaires ou sous-nationales//Community and regional obligations</v>
      </c>
      <c r="H97" s="31" t="str">
        <f t="shared" si="2"/>
        <v/>
      </c>
    </row>
    <row r="98" spans="1:8" ht="29" customHeight="1">
      <c r="A98" s="27" t="s">
        <v>194</v>
      </c>
      <c r="B98" s="27" t="s">
        <v>167</v>
      </c>
      <c r="C98" s="181"/>
      <c r="D98" s="10"/>
      <c r="E98" s="27"/>
      <c r="F98" s="29"/>
      <c r="G98" s="52" t="str">
        <f>IF(OR(Table1[[#This Row],[English]]&lt;&gt;"",Table1[[#This Row],[Français]]&lt;&gt;""),Table1[[#This Row],[Français]]&amp;"//"&amp;Table1[[#This Row],[English]],"")</f>
        <v>Crédits de carbone//Carbon credits</v>
      </c>
      <c r="H98" s="53" t="str">
        <f>IF(C98&lt;&gt;"",IF(D98&lt;&gt;"",C98&amp;"--"&amp;D98,C98),"")</f>
        <v/>
      </c>
    </row>
    <row r="99" spans="1:8">
      <c r="A99" s="85" t="s">
        <v>114</v>
      </c>
      <c r="B99" s="89" t="s">
        <v>115</v>
      </c>
      <c r="C99" s="177"/>
      <c r="D99" s="160"/>
      <c r="E99" s="160"/>
      <c r="F99" s="86"/>
      <c r="G99" s="87" t="str">
        <f>IF(OR(Table1[[#This Row],[English]]&lt;&gt;"",Table1[[#This Row],[Français]]&lt;&gt;""),Table1[[#This Row],[Français]]&amp;"//"&amp;Table1[[#This Row],[English]],"")</f>
        <v>Primes//Bonuses</v>
      </c>
      <c r="H99" s="88" t="str">
        <f t="shared" si="2"/>
        <v/>
      </c>
    </row>
    <row r="100" spans="1:8" ht="31.5" customHeight="1">
      <c r="A100" s="85" t="s">
        <v>116</v>
      </c>
      <c r="B100" s="89" t="s">
        <v>117</v>
      </c>
      <c r="C100" s="176"/>
      <c r="D100" s="151"/>
      <c r="E100" s="151"/>
      <c r="F100" s="86"/>
      <c r="G100" s="87" t="str">
        <f>IF(OR(Table1[[#This Row],[English]]&lt;&gt;"",Table1[[#This Row],[Français]]&lt;&gt;""),Table1[[#This Row],[Français]]&amp;"//"&amp;Table1[[#This Row],[English]],"")</f>
        <v>Participation de l'Etat//State participation</v>
      </c>
      <c r="H100" s="88" t="str">
        <f t="shared" si="2"/>
        <v/>
      </c>
    </row>
    <row r="101" spans="1:8">
      <c r="A101" s="85" t="s">
        <v>118</v>
      </c>
      <c r="B101" s="85" t="s">
        <v>119</v>
      </c>
      <c r="C101" s="177"/>
      <c r="D101" s="160"/>
      <c r="E101" s="160"/>
      <c r="F101" s="86"/>
      <c r="G101" s="87" t="str">
        <f>IF(OR(Table1[[#This Row],[English]]&lt;&gt;"",Table1[[#This Row],[Français]]&lt;&gt;""),Table1[[#This Row],[Français]]&amp;"//"&amp;Table1[[#This Row],[English]],"")</f>
        <v>Exonérations non-précisées ailleurs//Other exemptions</v>
      </c>
      <c r="H101" s="88" t="str">
        <f t="shared" si="2"/>
        <v/>
      </c>
    </row>
    <row r="102" spans="1:8" ht="39.75" customHeight="1">
      <c r="A102" s="104" t="s">
        <v>192</v>
      </c>
      <c r="B102" s="104" t="s">
        <v>191</v>
      </c>
      <c r="C102" s="176"/>
      <c r="D102" s="89"/>
      <c r="E102" s="89"/>
      <c r="F102" s="86"/>
      <c r="G102" s="87" t="str">
        <f>IF(OR(Table1[[#This Row],[English]]&lt;&gt;"",Table1[[#This Row],[Français]]&lt;&gt;""),Table1[[#This Row],[Français]]&amp;"//"&amp;Table1[[#This Row],[English]],"")</f>
        <v>Modes d'audit à l'égard des obligations financières du détenteur du titre//Audit mechanisms - financial obligations</v>
      </c>
      <c r="H102" s="88" t="str">
        <f t="shared" si="2"/>
        <v/>
      </c>
    </row>
    <row r="103" spans="1:8" ht="21.75" customHeight="1">
      <c r="A103" s="85" t="s">
        <v>120</v>
      </c>
      <c r="B103" s="85" t="s">
        <v>121</v>
      </c>
      <c r="C103" s="203"/>
      <c r="D103" s="151"/>
      <c r="E103" s="151"/>
      <c r="F103" s="86"/>
      <c r="G103" s="87" t="str">
        <f>IF(OR(Table1[[#This Row],[English]]&lt;&gt;"",Table1[[#This Row],[Français]]&lt;&gt;""),Table1[[#This Row],[Français]]&amp;"//"&amp;Table1[[#This Row],[English]],"")</f>
        <v>Restrictions sur les transactions avec les parties liées//Restrictions on transactions with affiliated parties</v>
      </c>
      <c r="H103" s="88" t="str">
        <f>IF(C103&lt;&gt;"",IF(D103&lt;&gt;"",C103&amp;"--"&amp;D103,C103),"")</f>
        <v/>
      </c>
    </row>
    <row r="104" spans="1:8" ht="27.75" customHeight="1">
      <c r="A104" s="83" t="s">
        <v>173</v>
      </c>
      <c r="B104" s="82" t="s">
        <v>171</v>
      </c>
      <c r="C104" s="176"/>
      <c r="D104" s="89"/>
      <c r="E104" s="151"/>
      <c r="F104" s="86"/>
      <c r="G104" s="87" t="str">
        <f>IF(OR(Table1[[#This Row],[English]]&lt;&gt;"",Table1[[#This Row],[Français]]&lt;&gt;""),Table1[[#This Row],[Français]]&amp;"//"&amp;Table1[[#This Row],[English]],"")</f>
        <v>Autre - [le nom de catégorie]//Other - [Name of Category]</v>
      </c>
      <c r="H104" s="88" t="str">
        <f t="shared" si="2"/>
        <v/>
      </c>
    </row>
    <row r="105" spans="1:8">
      <c r="A105" s="153"/>
      <c r="B105" s="34"/>
      <c r="C105" s="197"/>
      <c r="D105" s="152"/>
      <c r="E105" s="152"/>
      <c r="F105" s="15"/>
      <c r="G105" s="16" t="str">
        <f>IF(OR(Table1[[#This Row],[English]]&lt;&gt;"",Table1[[#This Row],[Français]]&lt;&gt;""),Table1[[#This Row],[Français]]&amp;"//"&amp;Table1[[#This Row],[English]],"")</f>
        <v/>
      </c>
      <c r="H105" s="35" t="str">
        <f t="shared" si="2"/>
        <v/>
      </c>
    </row>
    <row r="106" spans="1:8" ht="30">
      <c r="A106" s="62" t="s">
        <v>187</v>
      </c>
      <c r="B106" s="63" t="s">
        <v>122</v>
      </c>
      <c r="C106" s="168"/>
      <c r="D106" s="157"/>
      <c r="E106" s="157"/>
      <c r="F106" s="18"/>
      <c r="G106" s="19" t="str">
        <f>IF(OR(Table1[[#This Row],[English]]&lt;&gt;"",Table1[[#This Row],[Français]]&lt;&gt;""),Table1[[#This Row],[Français]]&amp;"//"&amp;Table1[[#This Row],[English]],"")</f>
        <v>4. Dispositions environnementales //4. Environmental provisions</v>
      </c>
      <c r="H106" s="20" t="str">
        <f t="shared" si="2"/>
        <v/>
      </c>
    </row>
    <row r="107" spans="1:8" ht="74.25" customHeight="1">
      <c r="A107" s="93" t="s">
        <v>207</v>
      </c>
      <c r="B107" s="93" t="s">
        <v>215</v>
      </c>
      <c r="C107" s="164" t="s">
        <v>934</v>
      </c>
      <c r="D107" s="71" t="s">
        <v>900</v>
      </c>
      <c r="E107" s="71" t="s">
        <v>879</v>
      </c>
      <c r="F107" s="222"/>
      <c r="G107"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7" s="70" t="str">
        <f t="shared" si="2"/>
        <v>The Forestry Development Authority may delay or interrupt operations under the contract, or modify the contract, to ensure consistency with the Environmental Impact Assessment and related documents, or to conduct additional environmental analysis  --Art. B8.6(a)</v>
      </c>
    </row>
    <row r="108" spans="1:8" ht="30">
      <c r="A108" s="124" t="s">
        <v>209</v>
      </c>
      <c r="B108" s="124" t="s">
        <v>208</v>
      </c>
      <c r="C108" s="183"/>
      <c r="D108" s="10"/>
      <c r="E108" s="10"/>
      <c r="F108" s="142"/>
      <c r="G108"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8" s="144" t="str">
        <f t="shared" si="2"/>
        <v/>
      </c>
    </row>
    <row r="109" spans="1:8" ht="251.25" customHeight="1">
      <c r="A109" s="94" t="s">
        <v>221</v>
      </c>
      <c r="B109" s="95" t="s">
        <v>176</v>
      </c>
      <c r="C109" s="174" t="s">
        <v>936</v>
      </c>
      <c r="D109" s="82" t="s">
        <v>881</v>
      </c>
      <c r="E109" s="94" t="s">
        <v>868</v>
      </c>
      <c r="F109" s="224"/>
      <c r="G109"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09" s="98" t="str">
        <f>IF(C109&lt;&gt;"",IF(D109&lt;&gt;"",C109&amp;"--"&amp;D109,C109),"")</f>
        <v>Subject to the written approval of the Government and the negotiated Social Agreement (as called for under Forestry Development Authority Regulation 105-07) and such conditions as the Government or the Social Agreement may impose, B &amp; V Timber Company may use free of charge any water found within the contract area or in the public domain within 5 kilometers of the contract area provided that it does not deprive any lands, tribes, villages, towns, houses, or watering places for animals of a reasonable supply of water insofar as such water has, through custom, been used for such lands, tribes, villages, towns, houses, or animals. B &amp; V Timber Company shall not interfere with the rights of water enjoyed by persons under the Land and Native Right Ordinance. B &amp; V Timber Company's use of water must in no way result in environmental damage or create other hazards.--Art. B4.3</v>
      </c>
    </row>
    <row r="110" spans="1:8" ht="409">
      <c r="A110" s="118" t="s">
        <v>206</v>
      </c>
      <c r="B110" s="118" t="s">
        <v>205</v>
      </c>
      <c r="C110" s="181" t="s">
        <v>937</v>
      </c>
      <c r="D110" s="56" t="s">
        <v>919</v>
      </c>
      <c r="E110" s="196" t="s">
        <v>914</v>
      </c>
      <c r="F110" s="120"/>
      <c r="G110"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0" s="122" t="str">
        <f>IF(C110&lt;&gt;"",IF(D110&lt;&gt;"",C110&amp;"--"&amp;D110,C110),"")</f>
        <v>B &amp; V Timber Company shall conduct its operations in a manner that promotes the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 &amp; V Timber Company shall conduct all operations and activities so as to avoid waste and loss of natural resources and to protect natural resources from damage. It shall conduct all operations and activities so as to prevent pollution and contamination of the environment. B &amp; V Timber Company shall harvest trees in a manner that avoids unnecessary damage and waste, and unnecessary damage to young growth and other trees. It shall identify in the annual operational plan areas requiring special measures for the protection of plants and animals, and protect these areas from damage or removal during operations. B &amp; V Timber Company shall comply with all requirements for watercourse protection in the Liberia Code of Forest Harvesting Practices, and conduct all operations so as to reasonably minimize soil erosion, and prevent pollution of air, soil, and water. The Forestry Development Authority may delay or interrupt operations under the contract, or modify the contract, to prevent environmental degradation or resource damage, including harm to habitat, plants, or animals.--Arts. B3.4, B6.3, B6.32, B6.34 - B6.37, B8.6(a)(i)</v>
      </c>
    </row>
    <row r="111" spans="1:8" ht="45" customHeight="1">
      <c r="A111" s="83" t="s">
        <v>232</v>
      </c>
      <c r="B111" s="82"/>
      <c r="C111" s="164"/>
      <c r="D111" s="76"/>
      <c r="E111" s="76"/>
      <c r="F111" s="68"/>
      <c r="G111" s="69" t="str">
        <f>IF(OR(Table1[[#This Row],[English]]&lt;&gt;"",Table1[[#This Row],[Français]]&lt;&gt;""),Table1[[#This Row],[Français]]&amp;"//"&amp;Table1[[#This Row],[English]],"")</f>
        <v>Autre - [Responsabilité environnementale]//</v>
      </c>
      <c r="H111" s="70" t="str">
        <f t="shared" si="2"/>
        <v/>
      </c>
    </row>
    <row r="112" spans="1:8">
      <c r="A112" s="37"/>
      <c r="B112" s="38"/>
      <c r="C112" s="184"/>
      <c r="D112" s="199"/>
      <c r="E112" s="199"/>
      <c r="F112" s="15"/>
      <c r="G112" s="16" t="str">
        <f>IF(OR(Table1[[#This Row],[English]]&lt;&gt;"",Table1[[#This Row],[Français]]&lt;&gt;""),Table1[[#This Row],[Français]]&amp;"//"&amp;Table1[[#This Row],[English]],"")</f>
        <v/>
      </c>
      <c r="H112" s="17" t="str">
        <f t="shared" si="2"/>
        <v/>
      </c>
    </row>
    <row r="113" spans="1:8" ht="45">
      <c r="A113" s="62" t="s">
        <v>179</v>
      </c>
      <c r="B113" s="18" t="s">
        <v>123</v>
      </c>
      <c r="C113" s="168"/>
      <c r="D113" s="157"/>
      <c r="E113" s="157"/>
      <c r="F113" s="18"/>
      <c r="G113" s="19" t="str">
        <f>IF(OR(Table1[[#This Row],[English]]&lt;&gt;"",Table1[[#This Row],[Français]]&lt;&gt;""),Table1[[#This Row],[Français]]&amp;"//"&amp;Table1[[#This Row],[English]],"")</f>
        <v>5. Dispositions relatives aux opérations et à l’infrastructure//5. Operational provisions</v>
      </c>
      <c r="H113" s="20" t="str">
        <f t="shared" si="2"/>
        <v/>
      </c>
    </row>
    <row r="114" spans="1:8" ht="45">
      <c r="A114" s="55" t="s">
        <v>177</v>
      </c>
      <c r="B114" s="64" t="s">
        <v>178</v>
      </c>
      <c r="C114" s="185"/>
      <c r="D114" s="65"/>
      <c r="E114" s="64"/>
      <c r="F114" s="64"/>
      <c r="G114" s="66" t="str">
        <f>IF(OR(Table1[[#This Row],[English]]&lt;&gt;"",Table1[[#This Row],[Français]]&lt;&gt;""),Table1[[#This Row],[Français]]&amp;"//"&amp;Table1[[#This Row],[English]],"")</f>
        <v>L'étude de faisabilité et le plan d'affaires//Feasibility studies and requirement of business plan</v>
      </c>
      <c r="H114" s="53" t="str">
        <f>IF(C114&lt;&gt;"",IF(D114&lt;&gt;"",C114&amp;"--"&amp;D114,C114),"")</f>
        <v/>
      </c>
    </row>
    <row r="115" spans="1:8" ht="27.75" customHeight="1">
      <c r="A115" s="93" t="s">
        <v>124</v>
      </c>
      <c r="B115" s="99" t="s">
        <v>125</v>
      </c>
      <c r="C115" s="164"/>
      <c r="D115" s="76"/>
      <c r="E115" s="76"/>
      <c r="F115" s="68"/>
      <c r="G115" s="69" t="str">
        <f>IF(OR(Table1[[#This Row],[English]]&lt;&gt;"",Table1[[#This Row],[Français]]&lt;&gt;""),Table1[[#This Row],[Français]]&amp;"//"&amp;Table1[[#This Row],[English]],"")</f>
        <v>Obligations de travaux, d'investissements//Work and investment commitments</v>
      </c>
      <c r="H115" s="70" t="str">
        <f t="shared" si="2"/>
        <v/>
      </c>
    </row>
    <row r="116" spans="1:8">
      <c r="A116" s="36" t="s">
        <v>126</v>
      </c>
      <c r="B116" s="36" t="s">
        <v>127</v>
      </c>
      <c r="C116" s="186"/>
      <c r="D116" s="10"/>
      <c r="E116" s="10"/>
      <c r="F116" s="11"/>
      <c r="G116" s="12" t="str">
        <f>IF(OR(Table1[[#This Row],[English]]&lt;&gt;"",Table1[[#This Row],[Français]]&lt;&gt;""),Table1[[#This Row],[Français]]&amp;"//"&amp;Table1[[#This Row],[English]],"")</f>
        <v>Rétrocession//Transfer of risk</v>
      </c>
      <c r="H116" s="13" t="str">
        <f t="shared" si="2"/>
        <v/>
      </c>
    </row>
    <row r="117" spans="1:8" ht="171" customHeight="1">
      <c r="A117" s="67" t="s">
        <v>128</v>
      </c>
      <c r="B117" s="67" t="s">
        <v>129</v>
      </c>
      <c r="C117" s="164" t="s">
        <v>903</v>
      </c>
      <c r="D117" s="71" t="s">
        <v>920</v>
      </c>
      <c r="E117" s="71" t="s">
        <v>902</v>
      </c>
      <c r="F117" s="68"/>
      <c r="G117" s="69" t="str">
        <f>IF(OR(Table1[[#This Row],[English]]&lt;&gt;"",Table1[[#This Row],[Français]]&lt;&gt;""),Table1[[#This Row],[Français]]&amp;"//"&amp;Table1[[#This Row],[English]],"")</f>
        <v>Construction et entretien d'infrastructure//Construction and maintenance of infrastructure</v>
      </c>
      <c r="H117" s="70" t="str">
        <f t="shared" si="2"/>
        <v>B &amp; V Timber Company is granted rights concerning construction of infrastructure by Section 18.8 of the National Forestry Reform Law of 2006, and shall comply with all laws governing construction, maintenance, and the use of improvements. Certain improvements require authorization from the Government. B &amp; V Timber Company shall ensure that all infrastructure and works installed in relation to the contract comply with the Liberia Code of Forest Harvesting Practices. B &amp; V Timber Company is responsible for repairing all road damage for 3 years from the date of the Government's approval of the completed construction or maintenance of the road or until the contract terminates.--Arts. B4.21 - B4.22, Art. B6.14</v>
      </c>
    </row>
    <row r="118" spans="1:8" ht="15" customHeight="1">
      <c r="A118" s="10" t="s">
        <v>199</v>
      </c>
      <c r="B118" s="10" t="s">
        <v>130</v>
      </c>
      <c r="C118" s="173"/>
      <c r="D118" s="10"/>
      <c r="E118" s="10"/>
      <c r="F118" s="11"/>
      <c r="G118" s="12" t="str">
        <f>IF(OR(Table1[[#This Row],[English]]&lt;&gt;"",Table1[[#This Row],[Français]]&lt;&gt;""),Table1[[#This Row],[Français]]&amp;"//"&amp;Table1[[#This Row],[English]],"")</f>
        <v>Commercialisation et accès gouvernemental à la production //Marketing of output and state access to output</v>
      </c>
      <c r="H118" s="13" t="str">
        <f t="shared" si="2"/>
        <v/>
      </c>
    </row>
    <row r="119" spans="1:8" ht="63" customHeight="1">
      <c r="A119" s="113" t="s">
        <v>131</v>
      </c>
      <c r="B119" s="114" t="s">
        <v>132</v>
      </c>
      <c r="C119" s="187" t="s">
        <v>921</v>
      </c>
      <c r="D119" s="112" t="s">
        <v>850</v>
      </c>
      <c r="E119" s="112" t="s">
        <v>870</v>
      </c>
      <c r="F119" s="115"/>
      <c r="G119" s="116" t="str">
        <f>IF(OR(Table1[[#This Row],[English]]&lt;&gt;"",Table1[[#This Row],[Français]]&lt;&gt;""),Table1[[#This Row],[Français]]&amp;"//"&amp;Table1[[#This Row],[English]],"")</f>
        <v>Utilisation d’infrastructure par les tiers//Third party use of infrastructure</v>
      </c>
      <c r="H119" s="117" t="str">
        <f t="shared" si="2"/>
        <v>B &amp; V Timber Company shall allow the Government and public to use, free of charge, any roads constructed or maintained, provided the use does not interfere with operations--Art. B4.23</v>
      </c>
    </row>
    <row r="120" spans="1:8">
      <c r="A120" s="39" t="s">
        <v>133</v>
      </c>
      <c r="B120" s="33" t="s">
        <v>134</v>
      </c>
      <c r="C120" s="165"/>
      <c r="D120" s="10"/>
      <c r="E120" s="10"/>
      <c r="F120" s="11"/>
      <c r="G120" s="12" t="str">
        <f>IF(OR(Table1[[#This Row],[English]]&lt;&gt;"",Table1[[#This Row],[Français]]&lt;&gt;""),Table1[[#This Row],[Français]]&amp;"//"&amp;Table1[[#This Row],[English]],"")</f>
        <v>Financement d’infrastructure//Financing of infrastructure</v>
      </c>
      <c r="H120" s="13" t="str">
        <f t="shared" si="2"/>
        <v/>
      </c>
    </row>
    <row r="121" spans="1:8" ht="59.25" customHeight="1">
      <c r="A121" s="39" t="s">
        <v>135</v>
      </c>
      <c r="B121" s="33" t="s">
        <v>136</v>
      </c>
      <c r="C121" s="165" t="s">
        <v>874</v>
      </c>
      <c r="D121" s="10" t="s">
        <v>849</v>
      </c>
      <c r="E121" s="10" t="s">
        <v>871</v>
      </c>
      <c r="F121" s="11"/>
      <c r="G121" s="12" t="str">
        <f>IF(OR(Table1[[#This Row],[English]]&lt;&gt;"",Table1[[#This Row],[Français]]&lt;&gt;""),Table1[[#This Row],[Français]]&amp;"//"&amp;Table1[[#This Row],[English]],"")</f>
        <v>Propriété d’infrastructure//Ownership of infrastructure</v>
      </c>
      <c r="H121" s="13" t="str">
        <f t="shared" si="2"/>
        <v>All infrastructure shall revert to the Government upon termination of the contract and shall be left in safe running order--Art. B4.24</v>
      </c>
    </row>
    <row r="122" spans="1:8">
      <c r="A122" s="28" t="s">
        <v>193</v>
      </c>
      <c r="B122" s="27" t="s">
        <v>190</v>
      </c>
      <c r="C122" s="179"/>
      <c r="D122" s="27"/>
      <c r="E122" s="27"/>
      <c r="F122" s="29"/>
      <c r="G122" s="30" t="str">
        <f>IF(OR(Table1[[#This Row],[English]]&lt;&gt;"",Table1[[#This Row],[Français]]&lt;&gt;""),Table1[[#This Row],[Français]]&amp;"//"&amp;Table1[[#This Row],[English]],"")</f>
        <v>Modes d'audit à l'égard des dispositions opérationnelles//Audit mechanisms - operational obligations</v>
      </c>
      <c r="H122" s="31" t="str">
        <f t="shared" si="2"/>
        <v/>
      </c>
    </row>
    <row r="123" spans="1:8">
      <c r="A123" s="54" t="s">
        <v>175</v>
      </c>
      <c r="B123" s="55" t="s">
        <v>168</v>
      </c>
      <c r="C123" s="181"/>
      <c r="D123" s="56"/>
      <c r="E123" s="196"/>
      <c r="F123" s="54"/>
      <c r="G123" s="52" t="str">
        <f>IF(OR(Table1[[#This Row],[English]]&lt;&gt;"",Table1[[#This Row],[Français]]&lt;&gt;""),Table1[[#This Row],[Français]]&amp;"//"&amp;Table1[[#This Row],[English]],"")</f>
        <v>Activité de beneficiation/ valeur ajoutée//Value addition/downstream activities</v>
      </c>
      <c r="H123" s="53" t="str">
        <f>IF(C123&lt;&gt;"",IF(D123&lt;&gt;"",C123&amp;"--"&amp;D123,C123),"")</f>
        <v/>
      </c>
    </row>
    <row r="124" spans="1:8" ht="398.25" customHeight="1">
      <c r="A124" s="137" t="s">
        <v>222</v>
      </c>
      <c r="B124" s="138" t="s">
        <v>169</v>
      </c>
      <c r="C124" s="188" t="s">
        <v>882</v>
      </c>
      <c r="D124" s="136" t="s">
        <v>883</v>
      </c>
      <c r="E124" s="137" t="s">
        <v>884</v>
      </c>
      <c r="F124" s="139"/>
      <c r="G124"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4" s="141" t="str">
        <f>IF(C124&lt;&gt;"",IF(D124&lt;&gt;"",C124&amp;"--"&amp;D124,C124),"")</f>
        <v>B &amp; V Timber Company shall use public land outside the contract area only with written approval from the Forestry Development Authority. The Forestry Development Authority shall not unreasonably deny the right to use such land. B &amp; V Timber Company may use private lands with the permission of the land owner. If B &amp; V Timber Company does not obtain the permission of the land owner, use and compensation of private lands is governed by Chapter 11 of the Forestry Reform Law of 2006 and the Forestry Development Authority Regulation 110-07. With or without permission of the land owner, B &amp; V Timber Company shall not seek a use, lease, right-of-way, or easement that substantially interferes with the operations of another previously issued forest management contract or timber sale contract. B &amp; V Timber Company also shall not interfere with any good faith exercise of third-party rights to timber or forest products, including customary rights, without permission of the third party. If B &amp; V Timber Company uses private lands without permission of the land owner, the use must be necessary for B &amp; V Timber Company’s activities and operations under the contract. --Arts. B4.12, B4.14</v>
      </c>
    </row>
    <row r="125" spans="1:8" ht="24.75" customHeight="1">
      <c r="A125" s="83" t="s">
        <v>173</v>
      </c>
      <c r="B125" s="204" t="s">
        <v>171</v>
      </c>
      <c r="C125" s="174"/>
      <c r="D125" s="82"/>
      <c r="E125" s="94"/>
      <c r="F125" s="96"/>
      <c r="G125" s="97" t="str">
        <f>IF(OR(Table1[[#This Row],[English]]&lt;&gt;"",Table1[[#This Row],[Français]]&lt;&gt;""),Table1[[#This Row],[Français]]&amp;"//"&amp;Table1[[#This Row],[English]],"")</f>
        <v>Autre - [le nom de catégorie]//Other - [Name of Category]</v>
      </c>
      <c r="H125" s="98" t="str">
        <f>IF(C125&lt;&gt;"",IF(D125&lt;&gt;"",C125&amp;"--"&amp;D125,C125),"")</f>
        <v/>
      </c>
    </row>
    <row r="126" spans="1:8" ht="27" customHeight="1">
      <c r="A126" s="200"/>
      <c r="B126" s="40"/>
      <c r="C126" s="201"/>
      <c r="D126" s="202"/>
      <c r="E126" s="202"/>
      <c r="F126" s="15"/>
      <c r="G126" s="16" t="str">
        <f>IF(OR(Table1[[#This Row],[English]]&lt;&gt;"",Table1[[#This Row],[Français]]&lt;&gt;""),Table1[[#This Row],[Français]]&amp;"//"&amp;Table1[[#This Row],[English]],"")</f>
        <v/>
      </c>
      <c r="H126" s="17" t="str">
        <f t="shared" si="2"/>
        <v/>
      </c>
    </row>
    <row r="127" spans="1:8" ht="30">
      <c r="A127" s="21" t="s">
        <v>137</v>
      </c>
      <c r="B127" s="21" t="s">
        <v>138</v>
      </c>
      <c r="C127" s="168"/>
      <c r="D127" s="157"/>
      <c r="E127" s="157"/>
      <c r="F127" s="18"/>
      <c r="G127" s="19" t="str">
        <f>IF(OR(Table1[[#This Row],[English]]&lt;&gt;"",Table1[[#This Row],[Français]]&lt;&gt;""),Table1[[#This Row],[Français]]&amp;"//"&amp;Table1[[#This Row],[English]],"")</f>
        <v>6. Dispositions diverses//6. Miscellaneous provisions</v>
      </c>
      <c r="H127" s="20" t="str">
        <f t="shared" si="2"/>
        <v/>
      </c>
    </row>
    <row r="128" spans="1:8" ht="37" customHeight="1">
      <c r="A128" s="99" t="s">
        <v>139</v>
      </c>
      <c r="B128" s="93" t="s">
        <v>140</v>
      </c>
      <c r="C128" s="164" t="s">
        <v>844</v>
      </c>
      <c r="D128" s="71" t="s">
        <v>845</v>
      </c>
      <c r="E128" s="71" t="s">
        <v>872</v>
      </c>
      <c r="F128" s="68"/>
      <c r="G128" s="69" t="str">
        <f>IF(OR(Table1[[#This Row],[English]]&lt;&gt;"",Table1[[#This Row],[Français]]&lt;&gt;""),Table1[[#This Row],[Français]]&amp;"//"&amp;Table1[[#This Row],[English]],"")</f>
        <v>Loi applicable en cas des différends//Governing law in case of dispute</v>
      </c>
      <c r="H128" s="70" t="str">
        <f t="shared" si="2"/>
        <v>The contract is governed by the laws of the Republic of Liberia--Art. B3.51</v>
      </c>
    </row>
    <row r="129" spans="1:8" ht="231.75" customHeight="1">
      <c r="A129" s="99" t="s">
        <v>141</v>
      </c>
      <c r="B129" s="85" t="s">
        <v>142</v>
      </c>
      <c r="C129" s="164" t="s">
        <v>906</v>
      </c>
      <c r="D129" s="76" t="s">
        <v>885</v>
      </c>
      <c r="E129" s="76" t="s">
        <v>905</v>
      </c>
      <c r="F129" s="68"/>
      <c r="G129" s="69" t="str">
        <f>IF(OR(Table1[[#This Row],[English]]&lt;&gt;"",Table1[[#This Row],[Français]]&lt;&gt;""),Table1[[#This Row],[Français]]&amp;"//"&amp;Table1[[#This Row],[English]],"")</f>
        <v>Arbitrage et règlement des différends//Arbitration and dispute resolution</v>
      </c>
      <c r="H129" s="70" t="str">
        <f t="shared" si="2"/>
        <v>Failure by B &amp; V Timber Company to submit a claim (a written demand seeking the payment of money, adjustment or interpretation of contract terms, or other relief, under or relating to this contract) for resolution within 60 days of the disputed action by the Forestry Development Authority of Liberia shall relinquish the Forestry Development Authority of any and all obligations related to the dispute. Claims arising under the contract shall be decided by the contracting officer of the Forestry Development Authority. The decision of the contracting officer shall be final and conclusive if, within 45 days from receipt, B &amp; V Timber Company fails to appeal the decision to an appropriate Liberian court.--Arts. B1.0, B8.3</v>
      </c>
    </row>
    <row r="130" spans="1:8" ht="118.5" customHeight="1">
      <c r="A130" s="99" t="s">
        <v>143</v>
      </c>
      <c r="B130" s="93" t="s">
        <v>144</v>
      </c>
      <c r="C130" s="176"/>
      <c r="D130" s="71"/>
      <c r="E130" s="71"/>
      <c r="F130" s="68"/>
      <c r="G130" s="69" t="str">
        <f>IF(OR(Table1[[#This Row],[English]]&lt;&gt;"",Table1[[#This Row],[Français]]&lt;&gt;""),Table1[[#This Row],[Français]]&amp;"//"&amp;Table1[[#This Row],[English]],"")</f>
        <v>Clause de stabilisation//Stabilization clause</v>
      </c>
      <c r="H130" s="70" t="str">
        <f t="shared" si="2"/>
        <v/>
      </c>
    </row>
    <row r="131" spans="1:8" ht="120.75" customHeight="1">
      <c r="A131" s="36" t="s">
        <v>145</v>
      </c>
      <c r="B131" s="10" t="s">
        <v>146</v>
      </c>
      <c r="C131" s="165" t="s">
        <v>938</v>
      </c>
      <c r="D131" s="10" t="s">
        <v>848</v>
      </c>
      <c r="E131" s="10" t="s">
        <v>873</v>
      </c>
      <c r="F131" s="11"/>
      <c r="G131" s="12" t="str">
        <f>IF(OR(Table1[[#This Row],[English]]&lt;&gt;"",Table1[[#This Row],[Français]]&lt;&gt;""),Table1[[#This Row],[Français]]&amp;"//"&amp;Table1[[#This Row],[English]],"")</f>
        <v>Cession / transfert//Assignment / transfer</v>
      </c>
      <c r="H131" s="13" t="str">
        <f t="shared" si="2"/>
        <v>B &amp; V Timber Company shall not assign or transfer this contract or any interests, rights, privileges or obligations under the contract without prior written approval from the Forestry Development Authority of Liberia. The Forestry Development Authority shall not consent to any assignment or transfer, except in compliance with Forestry Development Authority Regulation 104-07, Section 71.--Art. B2.3</v>
      </c>
    </row>
    <row r="132" spans="1:8" ht="388.5" customHeight="1">
      <c r="A132" s="36" t="s">
        <v>223</v>
      </c>
      <c r="B132" s="10" t="s">
        <v>147</v>
      </c>
      <c r="C132" s="165" t="s">
        <v>939</v>
      </c>
      <c r="D132" s="10" t="s">
        <v>847</v>
      </c>
      <c r="E132" s="10" t="s">
        <v>869</v>
      </c>
      <c r="F132" s="11"/>
      <c r="G132" s="12" t="str">
        <f>IF(OR(Table1[[#This Row],[English]]&lt;&gt;"",Table1[[#This Row],[Français]]&lt;&gt;""),Table1[[#This Row],[Français]]&amp;"//"&amp;Table1[[#This Row],[English]],"")</f>
        <v>Annulation / Résiliation //Cancellation / termination</v>
      </c>
      <c r="H132" s="13" t="str">
        <f t="shared" si="2"/>
        <v>The contract may be terminated if B &amp; V Timber Company commits any of the breaches described in the contract and is unable to or fails to satisfactorily remedy the breach. The breaches described in the contract include: (d) abandoning operations for a period of 1 year or more, (e) significantly failing to meet the requirements of an approved annual operational plan, (f) assigning to a third-party rights held under the contract without the consent of the Forestry Development Authority of Liberia, (i) failing to meet any Monetary Obligations, including payments of bids or fees to the Government or payments to local communities, in a timely fashion, (k) engaging in a pattern of activity that demonstrates flagrant disregard for the terms of the contract, including causing serious environmental degradation or resource damage, (m) failing to comply with any provisions of law or regulations, (o) intentionally removing any timber, forest products (flora, fauna, and micro-organisms with social or economic benefits) or natural resources not provided for in the contract without written approval from the Government, (q) being convicted for violation of criminal statutes or civil standards, or other regulations for environmental protection, or (r) if it or its senior officers are convicted for violation of criminal statutes, civil standards, or any other offense indicating a lack of business integrity or honesty that seriously and directly affects the responsibility of B &amp; V Timber Company, (ii) including payment of a bribe, and (v) human rights violations.--Art. B8.72</v>
      </c>
    </row>
    <row r="133" spans="1:8" ht="300">
      <c r="A133" s="33" t="s">
        <v>148</v>
      </c>
      <c r="B133" s="33" t="s">
        <v>149</v>
      </c>
      <c r="C133" s="165" t="s">
        <v>940</v>
      </c>
      <c r="D133" s="10" t="s">
        <v>907</v>
      </c>
      <c r="E133" s="10" t="s">
        <v>908</v>
      </c>
      <c r="F133" s="11"/>
      <c r="G133" s="12" t="str">
        <f>IF(OR(Table1[[#This Row],[English]]&lt;&gt;"",Table1[[#This Row],[Français]]&lt;&gt;""),Table1[[#This Row],[Français]]&amp;"//"&amp;Table1[[#This Row],[English]],"")</f>
        <v>Indemnisation//Indemnification</v>
      </c>
      <c r="H133" s="13" t="str">
        <f t="shared" si="2"/>
        <v>B &amp; V Timber Company shall at all times indemnify and hold the Government harmless from all claims and liabilities for the death or injury to persons or damage to property arising out of B &amp; V Timber Company's operations or as a result of B &amp; V Timber Company's failure to comply with a law or regulation--Art. B3.56</v>
      </c>
    </row>
    <row r="134" spans="1:8" ht="69" customHeight="1">
      <c r="A134" s="100" t="s">
        <v>150</v>
      </c>
      <c r="B134" s="76" t="s">
        <v>151</v>
      </c>
      <c r="C134" s="176" t="s">
        <v>910</v>
      </c>
      <c r="D134" s="71" t="s">
        <v>886</v>
      </c>
      <c r="E134" s="71" t="s">
        <v>909</v>
      </c>
      <c r="F134" s="68"/>
      <c r="G134" s="69" t="str">
        <f>IF(OR(Table1[[#This Row],[English]]&lt;&gt;"",Table1[[#This Row],[Français]]&lt;&gt;""),Table1[[#This Row],[Français]]&amp;"//"&amp;Table1[[#This Row],[English]],"")</f>
        <v>Confidentialité//Confidentiality</v>
      </c>
      <c r="H134" s="70" t="str">
        <f t="shared" si="2"/>
        <v>The parties understand that Section 18.15 of the National Forestry Reform Law of 2006 guarantees to the public free access to all documents and information related to this contract and its administration, subject only to limited exceptions--Art. B5.55</v>
      </c>
    </row>
    <row r="135" spans="1:8">
      <c r="A135" s="100" t="s">
        <v>152</v>
      </c>
      <c r="B135" s="76" t="s">
        <v>153</v>
      </c>
      <c r="C135" s="176" t="s">
        <v>749</v>
      </c>
      <c r="D135" s="71"/>
      <c r="E135" s="71"/>
      <c r="F135" s="68"/>
      <c r="G135" s="69" t="str">
        <f>IF(OR(Table1[[#This Row],[English]]&lt;&gt;"",Table1[[#This Row],[Français]]&lt;&gt;""),Table1[[#This Row],[Français]]&amp;"//"&amp;Table1[[#This Row],[English]],"")</f>
        <v>Langue//Language</v>
      </c>
      <c r="H135" s="70" t="str">
        <f>IF(C135&lt;&gt;"",IF(D135&lt;&gt;"",C135&amp;"--"&amp;D135,C135),"")</f>
        <v>ENG</v>
      </c>
    </row>
    <row r="136" spans="1:8" ht="201" customHeight="1">
      <c r="A136" s="10" t="s">
        <v>231</v>
      </c>
      <c r="B136" s="10" t="s">
        <v>184</v>
      </c>
      <c r="C136" s="165" t="s">
        <v>922</v>
      </c>
      <c r="D136" s="10" t="s">
        <v>887</v>
      </c>
      <c r="E136" s="10" t="s">
        <v>911</v>
      </c>
      <c r="F136" s="11"/>
      <c r="G136" s="42" t="str">
        <f>IF(OR(Table1[[#This Row],[English]]&lt;&gt;"",Table1[[#This Row],[Français]]&lt;&gt;""),Table1[[#This Row],[Français]]&amp;"//"&amp;Table1[[#This Row],[English]],"")</f>
        <v>Obligations de reporting et autres méthodes de contrôle de la conformité//Reporting Requirements and other methods of monitoring compliance</v>
      </c>
      <c r="H136" s="51" t="str">
        <f>IF(C136&lt;&gt;"",IF(D136&lt;&gt;"",C136&amp;"--"&amp;D136,C136),"")</f>
        <v>B &amp; V Timber Company consents to the Government or a designated representative conducting reasonable inspections of the contract area and premises, as well as other offices of B &amp; V Timber Company, to confirm compliance with this contract and applicable laws. B &amp; V Timber Company shall keep records to demonstrate compliance with the contract during the duration of the contract and for 5 years after the contract terminates. It shall provide a written report within 90 days after completing operations under each annual operation plan, and keep the contracting officer informed as to its operations and other contractual activities.--Arts. B5.3, B5.51 - B5.53</v>
      </c>
    </row>
    <row r="137" spans="1:8" ht="227.25" customHeight="1">
      <c r="A137" s="124" t="s">
        <v>217</v>
      </c>
      <c r="B137" s="124" t="s">
        <v>216</v>
      </c>
      <c r="C137" s="165" t="s">
        <v>912</v>
      </c>
      <c r="D137" s="10" t="s">
        <v>846</v>
      </c>
      <c r="E137" s="10" t="s">
        <v>913</v>
      </c>
      <c r="F137" s="11"/>
      <c r="G137" s="12" t="str">
        <f>IF(OR(Table1[[#This Row],[English]]&lt;&gt;"",Table1[[#This Row],[Français]]&lt;&gt;""),Table1[[#This Row],[Français]]&amp;"//"&amp;Table1[[#This Row],[English]],"")</f>
        <v>Clause de hardship ou force majeure//Hardship clause or force majeure</v>
      </c>
      <c r="H137" s="13" t="str">
        <f t="shared" si="2"/>
        <v>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it does not include the wet season. Failure by either party to fulfill terms and conditions of the contract as a result of force majeure, other than B &amp; V Timber Company's monetary obligations that accrued before force majeure began, is not a breach of the contract. Any party that fails to perform obligations as a result of force majeure shall take all reasonable steps to make good and resume compliance with those obligations.--Art. B8.5</v>
      </c>
    </row>
    <row r="138" spans="1:8">
      <c r="A138" s="10" t="s">
        <v>172</v>
      </c>
      <c r="B138" s="124" t="s">
        <v>170</v>
      </c>
      <c r="C138" s="193"/>
      <c r="D138" s="33"/>
      <c r="E138" s="33"/>
      <c r="F138" s="41"/>
      <c r="G138" s="42" t="str">
        <f>IF(OR(Table1[[#This Row],[English]]&lt;&gt;"",Table1[[#This Row],[Français]]&lt;&gt;""),Table1[[#This Row],[Français]]&amp;"//"&amp;Table1[[#This Row],[English]],"")</f>
        <v>Expropriation//Expropriation / nationalization</v>
      </c>
      <c r="H138" s="43" t="str">
        <f t="shared" si="2"/>
        <v/>
      </c>
    </row>
    <row r="139" spans="1:8">
      <c r="A139" s="83" t="s">
        <v>173</v>
      </c>
      <c r="B139" s="82" t="s">
        <v>171</v>
      </c>
      <c r="C139" s="189"/>
      <c r="D139" s="198"/>
      <c r="E139" s="161"/>
      <c r="F139" s="101"/>
      <c r="G139" s="102" t="str">
        <f>IF(OR(Table1[[#This Row],[English]]&lt;&gt;"",Table1[[#This Row],[Français]]&lt;&gt;""),Table1[[#This Row],[Français]]&amp;"//"&amp;Table1[[#This Row],[English]],"")</f>
        <v>Autre - [le nom de catégorie]//Other - [Name of Category]</v>
      </c>
      <c r="H139" s="103" t="str">
        <f>IF(C139&lt;&gt;"",IF(D139&lt;&gt;"",C139&amp;"--"&amp;D139,C139),"")</f>
        <v/>
      </c>
    </row>
    <row r="140" spans="1:8">
      <c r="A140" s="44"/>
      <c r="B140" s="14"/>
      <c r="C140" s="194"/>
      <c r="D140" s="156"/>
      <c r="E140" s="156"/>
      <c r="F140" s="15"/>
      <c r="G140" s="16" t="str">
        <f>IF(OR(Table1[[#This Row],[English]]&lt;&gt;"",Table1[[#This Row],[Français]]&lt;&gt;""),Table1[[#This Row],[Français]]&amp;"//"&amp;Table1[[#This Row],[English]],"")</f>
        <v/>
      </c>
      <c r="H140" s="17" t="str">
        <f t="shared" si="2"/>
        <v/>
      </c>
    </row>
    <row r="141" spans="1:8" ht="30">
      <c r="A141" s="21" t="s">
        <v>154</v>
      </c>
      <c r="B141" s="21" t="s">
        <v>155</v>
      </c>
      <c r="C141" s="190"/>
      <c r="D141" s="162"/>
      <c r="E141" s="162"/>
      <c r="F141" s="21"/>
      <c r="G141" s="45" t="str">
        <f>IF(OR(Table1[[#This Row],[English]]&lt;&gt;"",Table1[[#This Row],[Français]]&lt;&gt;""),Table1[[#This Row],[Français]]&amp;"//"&amp;Table1[[#This Row],[English]],"")</f>
        <v>III. Notes sur le document//III. Document notes</v>
      </c>
      <c r="H141" s="46" t="str">
        <f t="shared" si="2"/>
        <v/>
      </c>
    </row>
    <row r="142" spans="1:8">
      <c r="A142" s="10" t="s">
        <v>156</v>
      </c>
      <c r="B142" s="10" t="s">
        <v>860</v>
      </c>
      <c r="C142" s="191"/>
      <c r="D142" s="33"/>
      <c r="E142" s="33"/>
      <c r="F142" s="41"/>
      <c r="G142" s="42" t="str">
        <f>IF(OR(Table1[[#This Row],[English]]&lt;&gt;"",Table1[[#This Row],[Français]]&lt;&gt;""),Table1[[#This Row],[Français]]&amp;"//"&amp;Table1[[#This Row],[English]],"")</f>
        <v>Pages Manquantes de la copie//Pages missing from copy</v>
      </c>
      <c r="H142" s="43" t="str">
        <f t="shared" si="2"/>
        <v/>
      </c>
    </row>
    <row r="143" spans="1:8" ht="30">
      <c r="A143" s="10" t="s">
        <v>158</v>
      </c>
      <c r="B143" s="10" t="s">
        <v>159</v>
      </c>
      <c r="C143" s="165"/>
      <c r="D143" s="10"/>
      <c r="E143" s="10"/>
      <c r="F143" s="22"/>
      <c r="G143" s="23" t="str">
        <f>IF(OR(Table1[[#This Row],[English]]&lt;&gt;"",Table1[[#This Row],[Français]]&lt;&gt;""),Table1[[#This Row],[Français]]&amp;"//"&amp;Table1[[#This Row],[English]],"")</f>
        <v>Annexes Manquantes de la copie//Annexes missing from copy</v>
      </c>
      <c r="H143" s="13" t="str">
        <f t="shared" si="2"/>
        <v/>
      </c>
    </row>
    <row r="147" spans="1:8">
      <c r="A147"/>
      <c r="B147"/>
      <c r="C147"/>
      <c r="D147"/>
      <c r="G147"/>
      <c r="H147"/>
    </row>
    <row r="148" spans="1:8">
      <c r="A148"/>
      <c r="B148"/>
      <c r="C148"/>
      <c r="D148"/>
      <c r="G148"/>
      <c r="H148"/>
    </row>
    <row r="149" spans="1:8">
      <c r="A149"/>
      <c r="B149"/>
      <c r="C149"/>
      <c r="D149"/>
      <c r="G149"/>
      <c r="H149"/>
    </row>
    <row r="150" spans="1:8">
      <c r="A150"/>
      <c r="B150"/>
      <c r="C150"/>
      <c r="D150"/>
      <c r="G150"/>
      <c r="H150"/>
    </row>
  </sheetData>
  <mergeCells count="3">
    <mergeCell ref="B16:C16"/>
    <mergeCell ref="G16:H16"/>
    <mergeCell ref="C12:D12"/>
  </mergeCells>
  <phoneticPr fontId="16" type="noConversion"/>
  <dataValidations count="3">
    <dataValidation type="list" allowBlank="1" showInputMessage="1" showErrorMessage="1" sqref="C19">
      <formula1>countries</formula1>
    </dataValidation>
    <dataValidation type="list" allowBlank="1" showInputMessage="1" showErrorMessage="1" sqref="C51">
      <formula1>resources</formula1>
    </dataValidation>
    <dataValidation type="list" allowBlank="1" showInputMessage="1" showErrorMessage="1" sqref="C135">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workbookViewId="0">
      <selection activeCell="B2" sqref="B2"/>
    </sheetView>
  </sheetViews>
  <sheetFormatPr baseColWidth="10" defaultColWidth="8.6640625" defaultRowHeight="16" x14ac:dyDescent="0"/>
  <cols>
    <col min="1" max="1" width="30.5" customWidth="1"/>
    <col min="2" max="2" width="31.83203125" style="215" customWidth="1"/>
    <col min="3" max="3" width="23" bestFit="1" customWidth="1"/>
  </cols>
  <sheetData>
    <row r="1" spans="1:2" ht="15">
      <c r="A1" s="49" t="s">
        <v>160</v>
      </c>
      <c r="B1" s="214" t="s">
        <v>161</v>
      </c>
    </row>
    <row r="2" spans="1:2">
      <c r="A2" s="212" t="s">
        <v>742</v>
      </c>
      <c r="B2" s="215" t="str">
        <f>IF(Categories!C135&lt;&gt;"",Categories!C135,"ENG")</f>
        <v>ENG</v>
      </c>
    </row>
    <row r="3" spans="1:2">
      <c r="A3" s="50" t="s">
        <v>236</v>
      </c>
      <c r="B3" s="216" t="str">
        <f>IF(Categories!C19&lt;&gt;"",Categories!C19,"")</f>
        <v>Liberia</v>
      </c>
    </row>
    <row r="4" spans="1:2">
      <c r="A4" s="50" t="s">
        <v>728</v>
      </c>
      <c r="B4" s="216" t="str">
        <f>IF(Categories!C19&lt;&gt;"",VLOOKUP(Categories!C19,picklists!A2:B248,2,FALSE), "")</f>
        <v>LBR</v>
      </c>
    </row>
    <row r="5" spans="1:2">
      <c r="A5" t="s">
        <v>730</v>
      </c>
      <c r="B5" s="215" t="str">
        <f>IF(Categories!C51&lt;&gt;"",Categories!C51,"")</f>
        <v>Timber</v>
      </c>
    </row>
    <row r="6" spans="1:2">
      <c r="A6" s="50" t="s">
        <v>162</v>
      </c>
      <c r="B6" s="216" t="e">
        <f>IF(Categories!C27&lt;&gt;"",VLOOKUP(Categories!C27,picklists!I3:J26,IF(B2="ENG",1,IF(B2="FRE",2,1)),FALSE),"")</f>
        <v>#N/A</v>
      </c>
    </row>
    <row r="7" spans="1:2">
      <c r="A7" s="50" t="s">
        <v>163</v>
      </c>
      <c r="B7" s="215" t="str">
        <f>IF(Categories!C47&lt;&gt;"",Categories!C47,"")</f>
        <v>27/06/2008</v>
      </c>
    </row>
    <row r="8" spans="1:2">
      <c r="A8" t="s">
        <v>164</v>
      </c>
      <c r="B8" s="215">
        <f>IF(Categories!C48&lt;&gt;"",Categories!C48,"")</f>
        <v>2008</v>
      </c>
    </row>
    <row r="9" spans="1:2">
      <c r="A9" t="s">
        <v>165</v>
      </c>
      <c r="B9" s="215" t="str">
        <f>IF(Categories!C49&lt;&gt;"",Categories!C49,"")</f>
        <v>3 years</v>
      </c>
    </row>
    <row r="10" spans="1:2" ht="15">
      <c r="A10" s="231" t="s">
        <v>738</v>
      </c>
      <c r="B10" s="231"/>
    </row>
    <row r="11" spans="1:2">
      <c r="A11" s="210" t="s">
        <v>12</v>
      </c>
      <c r="B11" s="215" t="str">
        <f>IF(Categories!C20&lt;&gt;"",Categories!C20,"")</f>
        <v>B &amp; V Timber Company</v>
      </c>
    </row>
    <row r="12" spans="1:2">
      <c r="A12" s="210" t="s">
        <v>234</v>
      </c>
      <c r="B12" s="215" t="str">
        <f>IF(Categories!C21&lt;&gt;"",Categories!C21,"")</f>
        <v/>
      </c>
    </row>
    <row r="13" spans="1:2">
      <c r="A13" s="210" t="s">
        <v>14</v>
      </c>
      <c r="B13" s="215" t="str">
        <f>IF(Categories!C22&lt;&gt;"",Categories!C22,"")</f>
        <v>Vincent Compound, Brewerville, Montserrado County, Liberia</v>
      </c>
    </row>
    <row r="14" spans="1:2">
      <c r="A14" s="210" t="s">
        <v>16</v>
      </c>
      <c r="B14" s="215" t="str">
        <f>IF(Categories!C23&lt;&gt;"",Categories!C23,"")</f>
        <v/>
      </c>
    </row>
    <row r="15" spans="1:2">
      <c r="A15" s="210" t="s">
        <v>739</v>
      </c>
      <c r="B15" s="215" t="str">
        <f>IF(Categories!C24&lt;&gt;"",Categories!C24,"")</f>
        <v/>
      </c>
    </row>
    <row r="16" spans="1:2">
      <c r="A16" s="210" t="s">
        <v>234</v>
      </c>
      <c r="B16" s="215" t="str">
        <f>IF(Categories!C25&lt;&gt;"",Categories!C25,"")</f>
        <v/>
      </c>
    </row>
    <row r="17" spans="1:2">
      <c r="A17" s="210" t="s">
        <v>19</v>
      </c>
      <c r="B17" s="215" t="str">
        <f>IF(Categories!C26&lt;&gt;"",Categories!C26,"")</f>
        <v/>
      </c>
    </row>
    <row r="18" spans="1:2">
      <c r="A18" s="210" t="s">
        <v>22</v>
      </c>
      <c r="B18" s="215" t="str">
        <f>IF(Categories!C28&lt;&gt;"",Categories!C28,"")</f>
        <v>Area A-6</v>
      </c>
    </row>
    <row r="19" spans="1:2" ht="30">
      <c r="A19" s="210" t="s">
        <v>23</v>
      </c>
      <c r="B19" s="215" t="str">
        <f>IF(Categories!C29&lt;&gt;"",Categories!C29,"")</f>
        <v/>
      </c>
    </row>
    <row r="20" spans="1:2">
      <c r="A20" s="210" t="s">
        <v>740</v>
      </c>
      <c r="B20" s="215" t="str">
        <f>IF(Categories!C30&lt;&gt;"",Categories!C30,"")</f>
        <v>Gbarpolu and Bong Counties. The contract area lies within Latitudes 7°6'0'' - 7°9'36'' North of the equator and Longitudes 10°12'36'' - 10°18'36'' West of the Greenwich meridian</v>
      </c>
    </row>
    <row r="21" spans="1:2">
      <c r="A21" s="210" t="s">
        <v>25</v>
      </c>
      <c r="B21" s="215" t="str">
        <f>IF(Categories!C31&lt;&gt;"",Categories!C31,"")</f>
        <v/>
      </c>
    </row>
    <row r="22" spans="1:2">
      <c r="A22" s="210" t="s">
        <v>27</v>
      </c>
      <c r="B22" s="215" t="str">
        <f>IF(Categories!C32&lt;&gt;"",Categories!C32,"")</f>
        <v/>
      </c>
    </row>
    <row r="23" spans="1:2">
      <c r="A23" s="210" t="s">
        <v>29</v>
      </c>
      <c r="B23" s="215" t="str">
        <f>IF(Categories!C33&lt;&gt;"",Categories!C33,"")</f>
        <v/>
      </c>
    </row>
    <row r="24" spans="1:2">
      <c r="A24" s="210" t="s">
        <v>31</v>
      </c>
      <c r="B24" s="215" t="str">
        <f>IF(Categories!C34&lt;&gt;"",Categories!C34,"")</f>
        <v/>
      </c>
    </row>
    <row r="25" spans="1:2">
      <c r="A25" s="210" t="s">
        <v>741</v>
      </c>
      <c r="B25" s="215" t="str">
        <f>IF(B24&lt;&gt;"",YEAR(B24),"")</f>
        <v/>
      </c>
    </row>
    <row r="26" spans="1:2">
      <c r="A26" s="210" t="s">
        <v>33</v>
      </c>
      <c r="B26" s="215" t="str">
        <f>IF(Categories!C35&lt;&gt;"",Categories!C35,"")</f>
        <v/>
      </c>
    </row>
    <row r="27" spans="1:2">
      <c r="A27" s="210" t="s">
        <v>35</v>
      </c>
      <c r="B27" s="215" t="str">
        <f>IF(Categories!C36&lt;&gt;"",Categories!C36,"")</f>
        <v/>
      </c>
    </row>
    <row r="28" spans="1:2" ht="45">
      <c r="A28" s="210" t="s">
        <v>41</v>
      </c>
      <c r="B28" s="215" t="str">
        <f>IF(Categories!C40&lt;&gt;"",Categories!C40,"")</f>
        <v>B &amp; V Timber Company</v>
      </c>
    </row>
    <row r="29" spans="1:2">
      <c r="A29" s="210" t="s">
        <v>234</v>
      </c>
      <c r="B29" s="215" t="str">
        <f>IF(Categories!C41&lt;&gt;"",Categories!C41,"")</f>
        <v/>
      </c>
    </row>
    <row r="30" spans="1:2">
      <c r="A30" s="210" t="s">
        <v>43</v>
      </c>
      <c r="B30" s="215" t="str">
        <f>IF(Categories!C42&lt;&gt;"",Categories!C42,"")</f>
        <v>Emmanuel Q. Vincent, B &amp; V Timber Company</v>
      </c>
    </row>
    <row r="31" spans="1:2" ht="30">
      <c r="A31" s="210" t="s">
        <v>45</v>
      </c>
      <c r="B31" s="215" t="str">
        <f>IF(Categories!C43&lt;&gt;"",Categories!C43,"")</f>
        <v xml:space="preserve">Forestry Development Authority </v>
      </c>
    </row>
    <row r="32" spans="1:2">
      <c r="A32" s="210" t="s">
        <v>47</v>
      </c>
      <c r="B32" s="215" t="str">
        <f>IF(Categories!C44&lt;&gt;"",Categories!C44,"")</f>
        <v>John T. Woods, Forestry Development Authority, Tom Downing, GEMAP Comptroller/Forestry Development Authority</v>
      </c>
    </row>
    <row r="33" spans="1:2" ht="30">
      <c r="A33" s="210" t="s">
        <v>49</v>
      </c>
      <c r="B33" s="215" t="str">
        <f>IF(Categories!C45&lt;&gt;"",Categories!C45,"")</f>
        <v/>
      </c>
    </row>
    <row r="34" spans="1:2" ht="30">
      <c r="A34" s="210" t="s">
        <v>166</v>
      </c>
      <c r="B34" s="215" t="str">
        <f>IF(Categories!C46&lt;&gt;"",Categories!C46,"")</f>
        <v/>
      </c>
    </row>
    <row r="35" spans="1:2">
      <c r="A35" s="210" t="s">
        <v>57</v>
      </c>
      <c r="B35" s="215" t="str">
        <f>IF(Categories!C50&lt;&gt;"",Categories!C50,"")</f>
        <v>The contract is not renewable</v>
      </c>
    </row>
    <row r="36" spans="1:2">
      <c r="A36" s="210" t="s">
        <v>212</v>
      </c>
      <c r="B36" s="215" t="str">
        <f>IF(Categories!C52&lt;&gt;"",Categories!C52,"")</f>
        <v>5,000 hectares</v>
      </c>
    </row>
    <row r="37" spans="1:2">
      <c r="A37" s="213" t="s">
        <v>157</v>
      </c>
      <c r="B37" s="215" t="str">
        <f>IF(Categories!C142&lt;&gt;"",Categories!C142,"")</f>
        <v/>
      </c>
    </row>
    <row r="38" spans="1:2">
      <c r="A38" s="213" t="s">
        <v>159</v>
      </c>
      <c r="B38" s="215" t="str">
        <f>IF(Categories!C143&lt;&gt;"",Categories!C143,"")</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236</v>
      </c>
      <c r="B1" t="s">
        <v>237</v>
      </c>
      <c r="D1" t="s">
        <v>729</v>
      </c>
      <c r="H1" t="s">
        <v>731</v>
      </c>
      <c r="I1" t="s">
        <v>731</v>
      </c>
      <c r="L1" t="s">
        <v>742</v>
      </c>
    </row>
    <row r="2" spans="1:13">
      <c r="A2" t="s">
        <v>238</v>
      </c>
      <c r="B2" t="s">
        <v>239</v>
      </c>
      <c r="D2" t="str">
        <f>IF(Metadata!B2="ENG",E2,F2)</f>
        <v>Aluminium</v>
      </c>
      <c r="E2" t="s">
        <v>812</v>
      </c>
      <c r="F2" t="s">
        <v>813</v>
      </c>
      <c r="H2" t="str">
        <f>IF(Metadata!B2="ENG",I2,J2)</f>
        <v>Amodiation contract</v>
      </c>
      <c r="I2" t="s">
        <v>807</v>
      </c>
      <c r="J2" t="s">
        <v>808</v>
      </c>
      <c r="L2" t="s">
        <v>749</v>
      </c>
      <c r="M2" t="s">
        <v>751</v>
      </c>
    </row>
    <row r="3" spans="1:13">
      <c r="A3" t="s">
        <v>240</v>
      </c>
      <c r="B3" t="s">
        <v>241</v>
      </c>
      <c r="D3" t="str">
        <f>IF(Metadata!B2="ENG",E3,F3)</f>
        <v>Base metals</v>
      </c>
      <c r="E3" t="s">
        <v>762</v>
      </c>
      <c r="F3" t="s">
        <v>830</v>
      </c>
      <c r="H3" t="str">
        <f>IF(Metadata!B2="ENG",I3,J3)</f>
        <v>Concession</v>
      </c>
      <c r="I3" s="209" t="s">
        <v>733</v>
      </c>
      <c r="J3" s="209" t="s">
        <v>733</v>
      </c>
      <c r="L3" t="s">
        <v>750</v>
      </c>
      <c r="M3" t="s">
        <v>748</v>
      </c>
    </row>
    <row r="4" spans="1:13">
      <c r="A4" t="s">
        <v>242</v>
      </c>
      <c r="B4" t="s">
        <v>243</v>
      </c>
      <c r="D4" t="str">
        <f>IF(Metadata!B2="ENG",E4,F4)</f>
        <v>Bauxite</v>
      </c>
      <c r="E4" s="217" t="s">
        <v>763</v>
      </c>
      <c r="F4" s="217" t="s">
        <v>763</v>
      </c>
      <c r="H4" t="str">
        <f>IF(Metadata!B2="ENG",I4,J4)</f>
        <v>Convention</v>
      </c>
      <c r="I4" t="s">
        <v>752</v>
      </c>
      <c r="J4" t="s">
        <v>752</v>
      </c>
    </row>
    <row r="5" spans="1:13">
      <c r="A5" t="s">
        <v>244</v>
      </c>
      <c r="B5" t="s">
        <v>245</v>
      </c>
      <c r="D5" t="str">
        <f>IF(Metadata!B2="ENG",E5,F5)</f>
        <v>Coal</v>
      </c>
      <c r="E5" t="s">
        <v>764</v>
      </c>
      <c r="F5" t="s">
        <v>765</v>
      </c>
      <c r="H5" t="str">
        <f>IF(Metadata!B2="ENG",I5,J5)</f>
        <v>Exploration Permit/License</v>
      </c>
      <c r="I5" s="209" t="s">
        <v>732</v>
      </c>
      <c r="J5" t="s">
        <v>743</v>
      </c>
    </row>
    <row r="6" spans="1:13" ht="30">
      <c r="A6" t="s">
        <v>246</v>
      </c>
      <c r="B6" t="s">
        <v>247</v>
      </c>
      <c r="D6" t="str">
        <f>IF(Metadata!B2="ENG",E6,F6)</f>
        <v>Cobalt</v>
      </c>
      <c r="E6" t="s">
        <v>766</v>
      </c>
      <c r="F6" t="s">
        <v>766</v>
      </c>
      <c r="H6" t="str">
        <f>IF(Metadata!B2="ENG",I6,J6)</f>
        <v>Exploitation Permit/License</v>
      </c>
      <c r="I6" s="209" t="s">
        <v>753</v>
      </c>
      <c r="J6" t="s">
        <v>754</v>
      </c>
    </row>
    <row r="7" spans="1:13" ht="30">
      <c r="A7" t="s">
        <v>248</v>
      </c>
      <c r="B7" t="s">
        <v>249</v>
      </c>
      <c r="D7" t="str">
        <f>IF(Metadata!B2="ENG",E7,F7)</f>
        <v>Copper</v>
      </c>
      <c r="E7" t="s">
        <v>767</v>
      </c>
      <c r="F7" t="s">
        <v>819</v>
      </c>
      <c r="H7" t="str">
        <f>IF(Metadata!B2="ENG",I7,J7)</f>
        <v>Forestry Concession Contract</v>
      </c>
      <c r="I7" s="209" t="s">
        <v>760</v>
      </c>
      <c r="J7" t="s">
        <v>761</v>
      </c>
    </row>
    <row r="8" spans="1:13">
      <c r="A8" t="s">
        <v>250</v>
      </c>
      <c r="B8" t="s">
        <v>251</v>
      </c>
      <c r="D8" t="str">
        <f>IF(Metadata!B2="ENG",E8,F8)</f>
        <v>Crude oil</v>
      </c>
      <c r="E8" t="s">
        <v>768</v>
      </c>
      <c r="F8" t="s">
        <v>769</v>
      </c>
      <c r="H8" t="str">
        <f>IF(Metadata!B2="ENG",I8,J8)</f>
        <v>Investment Agreement</v>
      </c>
      <c r="I8" s="209" t="s">
        <v>755</v>
      </c>
      <c r="J8" t="s">
        <v>802</v>
      </c>
    </row>
    <row r="9" spans="1:13" ht="30">
      <c r="A9" t="s">
        <v>252</v>
      </c>
      <c r="B9" t="s">
        <v>253</v>
      </c>
      <c r="D9" t="str">
        <f>IF(Metadata!B2="ENG",E9,F9)</f>
        <v>Diamonds</v>
      </c>
      <c r="E9" t="s">
        <v>770</v>
      </c>
      <c r="F9" t="s">
        <v>820</v>
      </c>
      <c r="H9" t="str">
        <f>IF(Metadata!B2="ENG",I9,J9)</f>
        <v>Investment Incentive Contract</v>
      </c>
      <c r="I9" s="209" t="s">
        <v>756</v>
      </c>
      <c r="J9" t="s">
        <v>803</v>
      </c>
    </row>
    <row r="10" spans="1:13">
      <c r="A10" t="s">
        <v>254</v>
      </c>
      <c r="B10" t="s">
        <v>255</v>
      </c>
      <c r="D10" t="str">
        <f>IF(Metadata!B2="ENG",E10,F10)</f>
        <v>Gas</v>
      </c>
      <c r="E10" t="s">
        <v>771</v>
      </c>
      <c r="F10" t="s">
        <v>772</v>
      </c>
      <c r="H10" t="str">
        <f>IF(Metadata!B2="ENG",I10,J10)</f>
        <v>Joint Venture Contract</v>
      </c>
      <c r="I10" t="s">
        <v>757</v>
      </c>
      <c r="J10" t="s">
        <v>804</v>
      </c>
      <c r="K10" s="220"/>
    </row>
    <row r="11" spans="1:13">
      <c r="A11" t="s">
        <v>256</v>
      </c>
      <c r="B11" t="s">
        <v>257</v>
      </c>
      <c r="D11" t="str">
        <f>IF(Metadata!B2="ENG",E11,F11)</f>
        <v>Gold</v>
      </c>
      <c r="E11" t="s">
        <v>773</v>
      </c>
      <c r="F11" t="s">
        <v>774</v>
      </c>
      <c r="H11" t="str">
        <f>IF(Metadata!B2="ENG",I11,J11)</f>
        <v>Lease</v>
      </c>
      <c r="I11" t="s">
        <v>736</v>
      </c>
      <c r="J11" t="s">
        <v>746</v>
      </c>
    </row>
    <row r="12" spans="1:13" ht="30">
      <c r="A12" t="s">
        <v>258</v>
      </c>
      <c r="B12" t="s">
        <v>259</v>
      </c>
      <c r="D12" t="str">
        <f>IF(Metadata!B2="ENG",E12,F12)</f>
        <v>Iron ore</v>
      </c>
      <c r="E12" t="s">
        <v>775</v>
      </c>
      <c r="F12" t="s">
        <v>811</v>
      </c>
      <c r="H12" t="str">
        <f>IF(Metadata!B2="ENG",I12,J12)</f>
        <v>Production Sharing Agreement</v>
      </c>
      <c r="I12" s="209" t="s">
        <v>737</v>
      </c>
      <c r="J12" t="s">
        <v>744</v>
      </c>
    </row>
    <row r="13" spans="1:13" ht="45">
      <c r="A13" t="s">
        <v>260</v>
      </c>
      <c r="B13" t="s">
        <v>261</v>
      </c>
      <c r="D13" t="str">
        <f>IF(Metadata!B2="ENG",E13,F13)</f>
        <v>Lapis lazuli</v>
      </c>
      <c r="E13" t="s">
        <v>776</v>
      </c>
      <c r="F13" t="s">
        <v>816</v>
      </c>
      <c r="H13" t="str">
        <f>IF(Metadata!B2="ENG",I13,J13)</f>
        <v>Operating Agreement between Private Companies</v>
      </c>
      <c r="I13" s="209" t="s">
        <v>758</v>
      </c>
      <c r="J13" t="s">
        <v>805</v>
      </c>
    </row>
    <row r="14" spans="1:13">
      <c r="A14" t="s">
        <v>262</v>
      </c>
      <c r="B14" t="s">
        <v>263</v>
      </c>
      <c r="D14" t="str">
        <f>IF(Metadata!B2="ENG",E14,F14)</f>
        <v>Lead</v>
      </c>
      <c r="E14" t="s">
        <v>777</v>
      </c>
      <c r="F14" t="s">
        <v>817</v>
      </c>
      <c r="H14" t="str">
        <f>IF(Metadata!B2="ENG",I14,J14)</f>
        <v>Options contract</v>
      </c>
      <c r="I14" s="209" t="s">
        <v>809</v>
      </c>
      <c r="J14" t="s">
        <v>810</v>
      </c>
    </row>
    <row r="15" spans="1:13">
      <c r="A15" t="s">
        <v>264</v>
      </c>
      <c r="B15" t="s">
        <v>265</v>
      </c>
      <c r="D15" t="str">
        <f>IF(Metadata!B2="ENG",E15,F15)</f>
        <v>Lithium</v>
      </c>
      <c r="E15" t="s">
        <v>778</v>
      </c>
      <c r="F15" t="s">
        <v>778</v>
      </c>
      <c r="H15" t="str">
        <f>IF(Metadata!B2="ENG",I15,J15)</f>
        <v>Profit Sharing Contract</v>
      </c>
      <c r="I15" s="209" t="s">
        <v>759</v>
      </c>
      <c r="J15" t="s">
        <v>806</v>
      </c>
    </row>
    <row r="16" spans="1:13">
      <c r="A16" t="s">
        <v>266</v>
      </c>
      <c r="B16" t="s">
        <v>267</v>
      </c>
      <c r="D16" t="str">
        <f>IF(Metadata!B2="ENG",E16,F16)</f>
        <v>Manganese</v>
      </c>
      <c r="E16" t="s">
        <v>779</v>
      </c>
      <c r="F16" t="s">
        <v>818</v>
      </c>
      <c r="H16" t="str">
        <f>IF(Metadata!B2="ENG",I16,J16)</f>
        <v>Service Contract</v>
      </c>
      <c r="I16" s="209" t="s">
        <v>734</v>
      </c>
      <c r="J16" t="s">
        <v>745</v>
      </c>
    </row>
    <row r="17" spans="1:10">
      <c r="A17" t="s">
        <v>268</v>
      </c>
      <c r="B17" t="s">
        <v>269</v>
      </c>
      <c r="D17" t="str">
        <f>IF(Metadata!B2="ENG",E17,F17)</f>
        <v>Molybdenum</v>
      </c>
      <c r="E17" t="s">
        <v>814</v>
      </c>
      <c r="F17" t="s">
        <v>815</v>
      </c>
      <c r="H17" t="str">
        <f>IF(Metadata!B2="ENG",I17,J17)</f>
        <v>Other</v>
      </c>
      <c r="I17" s="209" t="s">
        <v>735</v>
      </c>
      <c r="J17" t="s">
        <v>747</v>
      </c>
    </row>
    <row r="18" spans="1:10">
      <c r="A18" t="s">
        <v>270</v>
      </c>
      <c r="B18" t="s">
        <v>271</v>
      </c>
      <c r="D18" t="str">
        <f>IF(Metadata!B2="ENG",E18,F18)</f>
        <v>Nickel</v>
      </c>
      <c r="E18" t="s">
        <v>780</v>
      </c>
      <c r="F18" t="s">
        <v>780</v>
      </c>
      <c r="H18">
        <f>IF(Metadata!B2="ENG",I18,J18)</f>
        <v>0</v>
      </c>
    </row>
    <row r="19" spans="1:10">
      <c r="A19" t="s">
        <v>272</v>
      </c>
      <c r="B19" t="s">
        <v>273</v>
      </c>
      <c r="D19" t="str">
        <f>IF(Metadata!B2="ENG",E19,F19)</f>
        <v>Phosphate rock</v>
      </c>
      <c r="E19" t="s">
        <v>781</v>
      </c>
      <c r="F19" t="s">
        <v>821</v>
      </c>
      <c r="H19">
        <f>IF(Metadata!B2="ENG",I19,J19)</f>
        <v>0</v>
      </c>
    </row>
    <row r="20" spans="1:10">
      <c r="A20" t="s">
        <v>274</v>
      </c>
      <c r="B20" t="s">
        <v>275</v>
      </c>
      <c r="D20" t="str">
        <f>IF(Metadata!B2="ENG",E20,F20)</f>
        <v>Platinum Group Metals</v>
      </c>
      <c r="E20" t="s">
        <v>782</v>
      </c>
      <c r="F20" t="s">
        <v>822</v>
      </c>
      <c r="H20">
        <f>IF(Metadata!B2="ENG",I20,J20)</f>
        <v>0</v>
      </c>
    </row>
    <row r="21" spans="1:10">
      <c r="A21" t="s">
        <v>276</v>
      </c>
      <c r="B21" t="s">
        <v>277</v>
      </c>
      <c r="D21" t="str">
        <f>IF(Metadata!B2="ENG",E21,F21)</f>
        <v>Precious stones</v>
      </c>
      <c r="E21" t="s">
        <v>783</v>
      </c>
      <c r="F21" t="s">
        <v>823</v>
      </c>
      <c r="H21">
        <f>IF(Metadata!B2="ENG",I21,J21)</f>
        <v>0</v>
      </c>
    </row>
    <row r="22" spans="1:10">
      <c r="A22" t="s">
        <v>278</v>
      </c>
      <c r="B22" t="s">
        <v>279</v>
      </c>
      <c r="D22" t="str">
        <f>IF(Metadata!B2="ENG",E22,F22)</f>
        <v>Quartz</v>
      </c>
      <c r="E22" t="s">
        <v>784</v>
      </c>
      <c r="F22" t="s">
        <v>784</v>
      </c>
      <c r="H22">
        <f>IF(Metadata!B2="ENG",I22,J22)</f>
        <v>0</v>
      </c>
    </row>
    <row r="23" spans="1:10">
      <c r="A23" t="s">
        <v>280</v>
      </c>
      <c r="B23" t="s">
        <v>281</v>
      </c>
      <c r="D23" t="str">
        <f>IF(Metadata!B2="ENG",E23,F23)</f>
        <v>Semi-precious stones</v>
      </c>
      <c r="E23" t="s">
        <v>785</v>
      </c>
      <c r="F23" t="s">
        <v>824</v>
      </c>
      <c r="H23">
        <f>IF(Metadata!B2="ENG",I23,J23)</f>
        <v>0</v>
      </c>
    </row>
    <row r="24" spans="1:10">
      <c r="A24" t="s">
        <v>282</v>
      </c>
      <c r="B24" t="s">
        <v>283</v>
      </c>
      <c r="D24" t="str">
        <f>IF(Metadata!B2="ENG",E24,F24)</f>
        <v>Silver</v>
      </c>
      <c r="E24" t="s">
        <v>786</v>
      </c>
      <c r="F24" t="s">
        <v>825</v>
      </c>
      <c r="H24">
        <f>IF(Metadata!B2="ENG",I24,J24)</f>
        <v>0</v>
      </c>
    </row>
    <row r="25" spans="1:10">
      <c r="A25" t="s">
        <v>284</v>
      </c>
      <c r="B25" t="s">
        <v>285</v>
      </c>
      <c r="D25" t="str">
        <f>IF(Metadata!B2="ENG",E25,F25)</f>
        <v>Titanium</v>
      </c>
      <c r="E25" t="s">
        <v>787</v>
      </c>
      <c r="F25" t="s">
        <v>826</v>
      </c>
      <c r="H25">
        <f>IF(Metadata!B2="ENG",I25,J25)</f>
        <v>0</v>
      </c>
    </row>
    <row r="26" spans="1:10">
      <c r="A26" t="s">
        <v>286</v>
      </c>
      <c r="B26" t="s">
        <v>287</v>
      </c>
      <c r="D26" t="str">
        <f>IF(Metadata!B2="ENG",E26,F26)</f>
        <v>Uranium</v>
      </c>
      <c r="E26" t="s">
        <v>788</v>
      </c>
      <c r="F26" t="s">
        <v>788</v>
      </c>
      <c r="H26">
        <f>IF(Metadata!B2="ENG",I26,J26)</f>
        <v>0</v>
      </c>
    </row>
    <row r="27" spans="1:10">
      <c r="A27" t="s">
        <v>288</v>
      </c>
      <c r="B27" t="s">
        <v>289</v>
      </c>
      <c r="D27" t="str">
        <f>IF(Metadata!B2="ENG",E27,F27)</f>
        <v>Zinc</v>
      </c>
      <c r="E27" t="s">
        <v>789</v>
      </c>
      <c r="F27" t="s">
        <v>789</v>
      </c>
      <c r="H27">
        <f>IF(Metadata!B2="ENG",I27,J27)</f>
        <v>0</v>
      </c>
    </row>
    <row r="28" spans="1:10">
      <c r="A28" t="s">
        <v>290</v>
      </c>
      <c r="B28" t="s">
        <v>291</v>
      </c>
      <c r="D28" t="str">
        <f>IF(Metadata!B2="ENG",E28,F28)</f>
        <v>Citrus</v>
      </c>
      <c r="E28" t="s">
        <v>790</v>
      </c>
      <c r="F28" t="s">
        <v>790</v>
      </c>
      <c r="H28">
        <f>IF(Metadata!B2="ENG",I28,J28)</f>
        <v>0</v>
      </c>
    </row>
    <row r="29" spans="1:10">
      <c r="A29" t="s">
        <v>292</v>
      </c>
      <c r="B29" t="s">
        <v>293</v>
      </c>
      <c r="D29" t="str">
        <f>IF(Metadata!B2="ENG",E29,F29)</f>
        <v>Food crops</v>
      </c>
      <c r="E29" t="s">
        <v>791</v>
      </c>
      <c r="F29" t="s">
        <v>792</v>
      </c>
      <c r="H29">
        <f>IF(Metadata!B2="ENG",I29,J29)</f>
        <v>0</v>
      </c>
    </row>
    <row r="30" spans="1:10">
      <c r="A30" t="s">
        <v>294</v>
      </c>
      <c r="B30" t="s">
        <v>295</v>
      </c>
      <c r="D30" t="str">
        <f>IF(Metadata!B2="ENG",E30,F30)</f>
        <v>Hydrocarbons</v>
      </c>
      <c r="E30" t="s">
        <v>793</v>
      </c>
      <c r="F30" t="s">
        <v>827</v>
      </c>
      <c r="H30">
        <f>IF(Metadata!B2="ENG",I30,J30)</f>
        <v>0</v>
      </c>
    </row>
    <row r="31" spans="1:10">
      <c r="A31" t="s">
        <v>296</v>
      </c>
      <c r="B31" t="s">
        <v>297</v>
      </c>
      <c r="D31" t="str">
        <f>IF(Metadata!B2="ENG",E31,F31)</f>
        <v>Palm oil</v>
      </c>
      <c r="E31" t="s">
        <v>794</v>
      </c>
      <c r="F31" t="s">
        <v>795</v>
      </c>
      <c r="H31">
        <f>IF(Metadata!B2="ENG",I31,J31)</f>
        <v>0</v>
      </c>
    </row>
    <row r="32" spans="1:10">
      <c r="A32" t="s">
        <v>298</v>
      </c>
      <c r="B32" t="s">
        <v>299</v>
      </c>
      <c r="D32" t="str">
        <f>IF(Metadata!B2="ENG",E32,F32)</f>
        <v>Rubber</v>
      </c>
      <c r="E32" t="s">
        <v>796</v>
      </c>
      <c r="F32" t="s">
        <v>828</v>
      </c>
      <c r="H32">
        <f>IF(Metadata!B2="ENG",I32,J32)</f>
        <v>0</v>
      </c>
    </row>
    <row r="33" spans="1:8">
      <c r="A33" t="s">
        <v>300</v>
      </c>
      <c r="B33" t="s">
        <v>301</v>
      </c>
      <c r="D33" t="str">
        <f>IF(Metadata!B2="ENG",E33,F33)</f>
        <v>Soy</v>
      </c>
      <c r="E33" t="s">
        <v>797</v>
      </c>
      <c r="F33" t="s">
        <v>829</v>
      </c>
      <c r="H33">
        <f>IF(Metadata!B2="ENG",I33,J33)</f>
        <v>0</v>
      </c>
    </row>
    <row r="34" spans="1:8">
      <c r="A34" t="s">
        <v>302</v>
      </c>
      <c r="B34" t="s">
        <v>303</v>
      </c>
      <c r="D34" t="str">
        <f>IF(Metadata!B2="ENG",E34,F34)</f>
        <v>Sugar</v>
      </c>
      <c r="E34" t="s">
        <v>798</v>
      </c>
      <c r="F34" t="s">
        <v>799</v>
      </c>
      <c r="H34">
        <f>IF(Metadata!B2="ENG",I34,J34)</f>
        <v>0</v>
      </c>
    </row>
    <row r="35" spans="1:8">
      <c r="A35" t="s">
        <v>304</v>
      </c>
      <c r="B35" t="s">
        <v>305</v>
      </c>
      <c r="D35" t="str">
        <f>IF(Metadata!B2="ENG",E35,F35)</f>
        <v>Timber</v>
      </c>
      <c r="E35" t="s">
        <v>800</v>
      </c>
      <c r="F35" t="s">
        <v>801</v>
      </c>
      <c r="H35">
        <f>IF(Metadata!B2="ENG",I35,J35)</f>
        <v>0</v>
      </c>
    </row>
    <row r="36" spans="1:8">
      <c r="A36" t="s">
        <v>306</v>
      </c>
      <c r="B36" t="s">
        <v>307</v>
      </c>
      <c r="D36">
        <f>IF(Metadata!B2="ENG",E36,F36)</f>
        <v>0</v>
      </c>
      <c r="H36">
        <f>IF(Metadata!B2="ENG",I36,J36)</f>
        <v>0</v>
      </c>
    </row>
    <row r="37" spans="1:8">
      <c r="A37" t="s">
        <v>308</v>
      </c>
      <c r="B37" t="s">
        <v>309</v>
      </c>
      <c r="D37">
        <f>IF(Metadata!B2="ENG",E37,F37)</f>
        <v>0</v>
      </c>
      <c r="H37">
        <f>IF(Metadata!B2="ENG",I37,J37)</f>
        <v>0</v>
      </c>
    </row>
    <row r="38" spans="1:8">
      <c r="A38" t="s">
        <v>310</v>
      </c>
      <c r="B38" t="s">
        <v>311</v>
      </c>
      <c r="D38">
        <f>IF(Metadata!B2="ENG",E38,F38)</f>
        <v>0</v>
      </c>
      <c r="H38">
        <f>IF(Metadata!B2="ENG",I38,J38)</f>
        <v>0</v>
      </c>
    </row>
    <row r="39" spans="1:8">
      <c r="A39" t="s">
        <v>312</v>
      </c>
      <c r="B39" t="s">
        <v>313</v>
      </c>
      <c r="D39">
        <f>IF(Metadata!B2="ENG",E39,F39)</f>
        <v>0</v>
      </c>
      <c r="H39">
        <f>IF(Metadata!B2="ENG",I39,J39)</f>
        <v>0</v>
      </c>
    </row>
    <row r="40" spans="1:8">
      <c r="A40" t="s">
        <v>314</v>
      </c>
      <c r="B40" t="s">
        <v>315</v>
      </c>
      <c r="D40">
        <f>IF(Metadata!B2="ENG",E40,F40)</f>
        <v>0</v>
      </c>
      <c r="H40">
        <f>IF(Metadata!B2="ENG",I40,J40)</f>
        <v>0</v>
      </c>
    </row>
    <row r="41" spans="1:8">
      <c r="A41" t="s">
        <v>316</v>
      </c>
      <c r="B41" t="s">
        <v>317</v>
      </c>
      <c r="D41">
        <f>IF(Metadata!B2="ENG",E41,F41)</f>
        <v>0</v>
      </c>
      <c r="H41">
        <f>IF(Metadata!B2="ENG",I41,J41)</f>
        <v>0</v>
      </c>
    </row>
    <row r="42" spans="1:8">
      <c r="A42" t="s">
        <v>318</v>
      </c>
      <c r="B42" t="s">
        <v>319</v>
      </c>
      <c r="D42">
        <f>IF(Metadata!B2="ENG",E42,F42)</f>
        <v>0</v>
      </c>
      <c r="H42">
        <f>IF(Metadata!B2="ENG",I42,J42)</f>
        <v>0</v>
      </c>
    </row>
    <row r="43" spans="1:8">
      <c r="A43" t="s">
        <v>320</v>
      </c>
      <c r="B43" t="s">
        <v>321</v>
      </c>
      <c r="D43">
        <f>IF(Metadata!B2="ENG",E43,F43)</f>
        <v>0</v>
      </c>
      <c r="H43">
        <f>IF(Metadata!B2="ENG",I43,J43)</f>
        <v>0</v>
      </c>
    </row>
    <row r="44" spans="1:8">
      <c r="A44" t="s">
        <v>322</v>
      </c>
      <c r="B44" t="s">
        <v>323</v>
      </c>
      <c r="D44">
        <f>IF(Metadata!B2="ENG",E44,F44)</f>
        <v>0</v>
      </c>
      <c r="H44">
        <f>IF(Metadata!B2="ENG",I44,J44)</f>
        <v>0</v>
      </c>
    </row>
    <row r="45" spans="1:8">
      <c r="A45" t="s">
        <v>324</v>
      </c>
      <c r="B45" t="s">
        <v>325</v>
      </c>
      <c r="D45">
        <f>IF(Metadata!B2="ENG",E45,F45)</f>
        <v>0</v>
      </c>
      <c r="H45">
        <f>IF(Metadata!B2="ENG",I45,J45)</f>
        <v>0</v>
      </c>
    </row>
    <row r="46" spans="1:8">
      <c r="A46" t="s">
        <v>326</v>
      </c>
      <c r="B46" t="s">
        <v>327</v>
      </c>
      <c r="D46">
        <f>IF(Metadata!B2="ENG",E46,F46)</f>
        <v>0</v>
      </c>
      <c r="H46">
        <f>IF(Metadata!B2="ENG",I46,J46)</f>
        <v>0</v>
      </c>
    </row>
    <row r="47" spans="1:8">
      <c r="A47" t="s">
        <v>328</v>
      </c>
      <c r="B47" t="s">
        <v>329</v>
      </c>
      <c r="D47">
        <f>IF(Metadata!B2="ENG",E47,F47)</f>
        <v>0</v>
      </c>
      <c r="H47">
        <f>IF(Metadata!B2="ENG",I47,J47)</f>
        <v>0</v>
      </c>
    </row>
    <row r="48" spans="1:8">
      <c r="A48" t="s">
        <v>330</v>
      </c>
      <c r="B48" t="s">
        <v>331</v>
      </c>
      <c r="D48">
        <f>IF(Metadata!B2="ENG",E48,F48)</f>
        <v>0</v>
      </c>
      <c r="H48">
        <f>IF(Metadata!B2="ENG",I48,J48)</f>
        <v>0</v>
      </c>
    </row>
    <row r="49" spans="1:8">
      <c r="A49" t="s">
        <v>332</v>
      </c>
      <c r="B49" t="s">
        <v>333</v>
      </c>
      <c r="D49">
        <f>IF(Metadata!B2="ENG",E49,F49)</f>
        <v>0</v>
      </c>
      <c r="H49">
        <f>IF(Metadata!B2="ENG",I49,J49)</f>
        <v>0</v>
      </c>
    </row>
    <row r="50" spans="1:8">
      <c r="A50" t="s">
        <v>334</v>
      </c>
      <c r="B50" t="s">
        <v>335</v>
      </c>
      <c r="D50">
        <f>IF(Metadata!B2="ENG",E50,F50)</f>
        <v>0</v>
      </c>
      <c r="H50">
        <f>IF(Metadata!B2="ENG",I50,J50)</f>
        <v>0</v>
      </c>
    </row>
    <row r="51" spans="1:8">
      <c r="A51" t="s">
        <v>336</v>
      </c>
      <c r="B51" t="s">
        <v>337</v>
      </c>
      <c r="D51">
        <f>IF(Metadata!B2="ENG",E51,F51)</f>
        <v>0</v>
      </c>
      <c r="H51">
        <f>IF(Metadata!B2="ENG",I51,J51)</f>
        <v>0</v>
      </c>
    </row>
    <row r="52" spans="1:8">
      <c r="A52" t="s">
        <v>338</v>
      </c>
      <c r="B52" t="s">
        <v>339</v>
      </c>
      <c r="D52">
        <f>IF(Metadata!B2="ENG",E52,F52)</f>
        <v>0</v>
      </c>
      <c r="H52">
        <f>IF(Metadata!B2="ENG",I52,J52)</f>
        <v>0</v>
      </c>
    </row>
    <row r="53" spans="1:8">
      <c r="A53" t="s">
        <v>340</v>
      </c>
      <c r="B53" t="s">
        <v>341</v>
      </c>
      <c r="D53">
        <f>IF(Metadata!B2="ENG",E53,F53)</f>
        <v>0</v>
      </c>
      <c r="H53">
        <f>IF(Metadata!B2="ENG",I53,J53)</f>
        <v>0</v>
      </c>
    </row>
    <row r="54" spans="1:8">
      <c r="A54" t="s">
        <v>342</v>
      </c>
      <c r="B54" t="s">
        <v>343</v>
      </c>
      <c r="D54">
        <f>IF(Metadata!B2="ENG",E54,F54)</f>
        <v>0</v>
      </c>
      <c r="H54">
        <f>IF(Metadata!B2="ENG",I54,J54)</f>
        <v>0</v>
      </c>
    </row>
    <row r="55" spans="1:8">
      <c r="A55" t="s">
        <v>344</v>
      </c>
      <c r="B55" t="s">
        <v>345</v>
      </c>
      <c r="D55">
        <f>IF(Metadata!B2="ENG",E55,F55)</f>
        <v>0</v>
      </c>
      <c r="H55">
        <f>IF(Metadata!B2="ENG",I55,J55)</f>
        <v>0</v>
      </c>
    </row>
    <row r="56" spans="1:8">
      <c r="A56" t="s">
        <v>346</v>
      </c>
      <c r="B56" t="s">
        <v>347</v>
      </c>
      <c r="D56">
        <f>IF(Metadata!B2="ENG",E56,F56)</f>
        <v>0</v>
      </c>
      <c r="H56">
        <f>IF(Metadata!B2="ENG",I56,J56)</f>
        <v>0</v>
      </c>
    </row>
    <row r="57" spans="1:8">
      <c r="A57" t="s">
        <v>348</v>
      </c>
      <c r="B57" t="s">
        <v>349</v>
      </c>
      <c r="D57">
        <f>IF(Metadata!B2="ENG",E57,F57)</f>
        <v>0</v>
      </c>
      <c r="H57">
        <f>IF(Metadata!B2="ENG",I57,J57)</f>
        <v>0</v>
      </c>
    </row>
    <row r="58" spans="1:8">
      <c r="A58" t="s">
        <v>350</v>
      </c>
      <c r="B58" t="s">
        <v>351</v>
      </c>
      <c r="D58">
        <f>IF(Metadata!B2="ENG",E58,F58)</f>
        <v>0</v>
      </c>
      <c r="H58">
        <f>IF(Metadata!B2="ENG",I58,J58)</f>
        <v>0</v>
      </c>
    </row>
    <row r="59" spans="1:8">
      <c r="A59" t="s">
        <v>352</v>
      </c>
      <c r="B59" t="s">
        <v>353</v>
      </c>
      <c r="D59">
        <f>IF(Metadata!B2="ENG",E59,F59)</f>
        <v>0</v>
      </c>
      <c r="H59">
        <f>IF(Metadata!B2="ENG",I59,J59)</f>
        <v>0</v>
      </c>
    </row>
    <row r="60" spans="1:8">
      <c r="A60" t="s">
        <v>354</v>
      </c>
      <c r="B60" t="s">
        <v>355</v>
      </c>
      <c r="D60">
        <f>IF(Metadata!B2="ENG",E60,F60)</f>
        <v>0</v>
      </c>
      <c r="H60">
        <f>IF(Metadata!B2="ENG",I60,J60)</f>
        <v>0</v>
      </c>
    </row>
    <row r="61" spans="1:8">
      <c r="A61" t="s">
        <v>356</v>
      </c>
      <c r="B61" t="s">
        <v>357</v>
      </c>
      <c r="D61">
        <f>IF(Metadata!B2="ENG",E61,F61)</f>
        <v>0</v>
      </c>
      <c r="H61">
        <f>IF(Metadata!B2="ENG",I61,J61)</f>
        <v>0</v>
      </c>
    </row>
    <row r="62" spans="1:8">
      <c r="A62" t="s">
        <v>358</v>
      </c>
      <c r="B62" t="s">
        <v>359</v>
      </c>
    </row>
    <row r="63" spans="1:8">
      <c r="A63" t="s">
        <v>360</v>
      </c>
      <c r="B63" t="s">
        <v>361</v>
      </c>
    </row>
    <row r="64" spans="1:8">
      <c r="A64" t="s">
        <v>362</v>
      </c>
      <c r="B64" t="s">
        <v>363</v>
      </c>
    </row>
    <row r="65" spans="1:2">
      <c r="A65" t="s">
        <v>364</v>
      </c>
      <c r="B65" t="s">
        <v>365</v>
      </c>
    </row>
    <row r="66" spans="1:2">
      <c r="A66" t="s">
        <v>366</v>
      </c>
      <c r="B66" t="s">
        <v>367</v>
      </c>
    </row>
    <row r="67" spans="1:2">
      <c r="A67" t="s">
        <v>368</v>
      </c>
      <c r="B67" t="s">
        <v>369</v>
      </c>
    </row>
    <row r="68" spans="1:2">
      <c r="A68" t="s">
        <v>370</v>
      </c>
      <c r="B68" t="s">
        <v>371</v>
      </c>
    </row>
    <row r="69" spans="1:2">
      <c r="A69" t="s">
        <v>372</v>
      </c>
      <c r="B69" t="s">
        <v>373</v>
      </c>
    </row>
    <row r="70" spans="1:2">
      <c r="A70" t="s">
        <v>374</v>
      </c>
      <c r="B70" t="s">
        <v>375</v>
      </c>
    </row>
    <row r="71" spans="1:2">
      <c r="A71" t="s">
        <v>376</v>
      </c>
      <c r="B71" t="s">
        <v>377</v>
      </c>
    </row>
    <row r="72" spans="1:2">
      <c r="A72" t="s">
        <v>378</v>
      </c>
      <c r="B72" t="s">
        <v>379</v>
      </c>
    </row>
    <row r="73" spans="1:2">
      <c r="A73" t="s">
        <v>380</v>
      </c>
      <c r="B73" t="s">
        <v>381</v>
      </c>
    </row>
    <row r="74" spans="1:2">
      <c r="A74" t="s">
        <v>382</v>
      </c>
      <c r="B74" t="s">
        <v>383</v>
      </c>
    </row>
    <row r="75" spans="1:2">
      <c r="A75" t="s">
        <v>384</v>
      </c>
      <c r="B75" t="s">
        <v>385</v>
      </c>
    </row>
    <row r="76" spans="1:2">
      <c r="A76" t="s">
        <v>386</v>
      </c>
      <c r="B76" t="s">
        <v>387</v>
      </c>
    </row>
    <row r="77" spans="1:2">
      <c r="A77" t="s">
        <v>388</v>
      </c>
      <c r="B77" t="s">
        <v>389</v>
      </c>
    </row>
    <row r="78" spans="1:2">
      <c r="A78" t="s">
        <v>390</v>
      </c>
      <c r="B78" t="s">
        <v>391</v>
      </c>
    </row>
    <row r="79" spans="1:2">
      <c r="A79" t="s">
        <v>392</v>
      </c>
      <c r="B79" t="s">
        <v>393</v>
      </c>
    </row>
    <row r="80" spans="1:2">
      <c r="A80" t="s">
        <v>394</v>
      </c>
      <c r="B80" t="s">
        <v>395</v>
      </c>
    </row>
    <row r="81" spans="1:2">
      <c r="A81" t="s">
        <v>396</v>
      </c>
      <c r="B81" t="s">
        <v>397</v>
      </c>
    </row>
    <row r="82" spans="1:2">
      <c r="A82" t="s">
        <v>398</v>
      </c>
      <c r="B82" t="s">
        <v>399</v>
      </c>
    </row>
    <row r="83" spans="1:2">
      <c r="A83" t="s">
        <v>400</v>
      </c>
      <c r="B83" t="s">
        <v>401</v>
      </c>
    </row>
    <row r="84" spans="1:2">
      <c r="A84" t="s">
        <v>402</v>
      </c>
      <c r="B84" t="s">
        <v>403</v>
      </c>
    </row>
    <row r="85" spans="1:2">
      <c r="A85" t="s">
        <v>404</v>
      </c>
      <c r="B85" t="s">
        <v>405</v>
      </c>
    </row>
    <row r="86" spans="1:2">
      <c r="A86" t="s">
        <v>406</v>
      </c>
      <c r="B86" t="s">
        <v>407</v>
      </c>
    </row>
    <row r="87" spans="1:2">
      <c r="A87" t="s">
        <v>408</v>
      </c>
      <c r="B87" t="s">
        <v>409</v>
      </c>
    </row>
    <row r="88" spans="1:2">
      <c r="A88" t="s">
        <v>410</v>
      </c>
      <c r="B88" t="s">
        <v>411</v>
      </c>
    </row>
    <row r="89" spans="1:2">
      <c r="A89" t="s">
        <v>412</v>
      </c>
      <c r="B89" t="s">
        <v>413</v>
      </c>
    </row>
    <row r="90" spans="1:2">
      <c r="A90" t="s">
        <v>414</v>
      </c>
      <c r="B90" t="s">
        <v>415</v>
      </c>
    </row>
    <row r="91" spans="1:2">
      <c r="A91" t="s">
        <v>416</v>
      </c>
      <c r="B91" t="s">
        <v>417</v>
      </c>
    </row>
    <row r="92" spans="1:2">
      <c r="A92" t="s">
        <v>418</v>
      </c>
      <c r="B92" t="s">
        <v>419</v>
      </c>
    </row>
    <row r="93" spans="1:2">
      <c r="A93" t="s">
        <v>420</v>
      </c>
      <c r="B93" t="s">
        <v>421</v>
      </c>
    </row>
    <row r="94" spans="1:2">
      <c r="A94" t="s">
        <v>422</v>
      </c>
      <c r="B94" t="s">
        <v>423</v>
      </c>
    </row>
    <row r="95" spans="1:2">
      <c r="A95" t="s">
        <v>424</v>
      </c>
      <c r="B95" t="s">
        <v>425</v>
      </c>
    </row>
    <row r="96" spans="1:2">
      <c r="A96" t="s">
        <v>426</v>
      </c>
      <c r="B96" t="s">
        <v>106</v>
      </c>
    </row>
    <row r="97" spans="1:2">
      <c r="A97" t="s">
        <v>427</v>
      </c>
      <c r="B97" t="s">
        <v>428</v>
      </c>
    </row>
    <row r="98" spans="1:2">
      <c r="A98" t="s">
        <v>429</v>
      </c>
      <c r="B98" t="s">
        <v>430</v>
      </c>
    </row>
    <row r="99" spans="1:2">
      <c r="A99" t="s">
        <v>431</v>
      </c>
      <c r="B99" t="s">
        <v>432</v>
      </c>
    </row>
    <row r="100" spans="1:2">
      <c r="A100" t="s">
        <v>433</v>
      </c>
      <c r="B100" t="s">
        <v>434</v>
      </c>
    </row>
    <row r="101" spans="1:2">
      <c r="A101" t="s">
        <v>435</v>
      </c>
      <c r="B101" t="s">
        <v>436</v>
      </c>
    </row>
    <row r="102" spans="1:2">
      <c r="A102" t="s">
        <v>437</v>
      </c>
      <c r="B102" t="s">
        <v>438</v>
      </c>
    </row>
    <row r="103" spans="1:2">
      <c r="A103" t="s">
        <v>439</v>
      </c>
      <c r="B103" t="s">
        <v>440</v>
      </c>
    </row>
    <row r="104" spans="1:2">
      <c r="A104" t="s">
        <v>441</v>
      </c>
      <c r="B104" t="s">
        <v>442</v>
      </c>
    </row>
    <row r="105" spans="1:2">
      <c r="A105" t="s">
        <v>443</v>
      </c>
      <c r="B105" t="s">
        <v>444</v>
      </c>
    </row>
    <row r="106" spans="1:2">
      <c r="A106" t="s">
        <v>445</v>
      </c>
      <c r="B106" t="s">
        <v>446</v>
      </c>
    </row>
    <row r="107" spans="1:2">
      <c r="A107" t="s">
        <v>447</v>
      </c>
      <c r="B107" t="s">
        <v>448</v>
      </c>
    </row>
    <row r="108" spans="1:2">
      <c r="A108" t="s">
        <v>449</v>
      </c>
      <c r="B108" t="s">
        <v>450</v>
      </c>
    </row>
    <row r="109" spans="1:2">
      <c r="A109" t="s">
        <v>451</v>
      </c>
      <c r="B109" t="s">
        <v>452</v>
      </c>
    </row>
    <row r="110" spans="1:2">
      <c r="A110" t="s">
        <v>453</v>
      </c>
      <c r="B110" t="s">
        <v>454</v>
      </c>
    </row>
    <row r="111" spans="1:2">
      <c r="A111" t="s">
        <v>455</v>
      </c>
      <c r="B111" t="s">
        <v>456</v>
      </c>
    </row>
    <row r="112" spans="1:2">
      <c r="A112" t="s">
        <v>457</v>
      </c>
      <c r="B112" t="s">
        <v>458</v>
      </c>
    </row>
    <row r="113" spans="1:2">
      <c r="A113" t="s">
        <v>459</v>
      </c>
      <c r="B113" t="s">
        <v>460</v>
      </c>
    </row>
    <row r="114" spans="1:2">
      <c r="A114" t="s">
        <v>461</v>
      </c>
      <c r="B114" t="s">
        <v>462</v>
      </c>
    </row>
    <row r="115" spans="1:2">
      <c r="A115" t="s">
        <v>463</v>
      </c>
      <c r="B115" t="s">
        <v>464</v>
      </c>
    </row>
    <row r="116" spans="1:2">
      <c r="A116" t="s">
        <v>465</v>
      </c>
      <c r="B116" t="s">
        <v>466</v>
      </c>
    </row>
    <row r="117" spans="1:2">
      <c r="A117" t="s">
        <v>467</v>
      </c>
      <c r="B117" t="s">
        <v>468</v>
      </c>
    </row>
    <row r="118" spans="1:2">
      <c r="A118" t="s">
        <v>469</v>
      </c>
      <c r="B118" t="s">
        <v>470</v>
      </c>
    </row>
    <row r="119" spans="1:2">
      <c r="A119" t="s">
        <v>471</v>
      </c>
      <c r="B119" t="s">
        <v>472</v>
      </c>
    </row>
    <row r="120" spans="1:2">
      <c r="A120" t="s">
        <v>473</v>
      </c>
      <c r="B120" t="s">
        <v>474</v>
      </c>
    </row>
    <row r="121" spans="1:2">
      <c r="A121" t="s">
        <v>475</v>
      </c>
      <c r="B121" t="s">
        <v>476</v>
      </c>
    </row>
    <row r="122" spans="1:2">
      <c r="A122" t="s">
        <v>477</v>
      </c>
      <c r="B122" t="s">
        <v>478</v>
      </c>
    </row>
    <row r="123" spans="1:2">
      <c r="A123" t="s">
        <v>479</v>
      </c>
      <c r="B123" t="s">
        <v>480</v>
      </c>
    </row>
    <row r="124" spans="1:2">
      <c r="A124" t="s">
        <v>481</v>
      </c>
      <c r="B124" t="s">
        <v>482</v>
      </c>
    </row>
    <row r="125" spans="1:2">
      <c r="A125" t="s">
        <v>483</v>
      </c>
      <c r="B125" t="s">
        <v>484</v>
      </c>
    </row>
    <row r="126" spans="1:2">
      <c r="A126" t="s">
        <v>485</v>
      </c>
      <c r="B126" t="s">
        <v>486</v>
      </c>
    </row>
    <row r="127" spans="1:2">
      <c r="A127" t="s">
        <v>487</v>
      </c>
      <c r="B127" t="s">
        <v>488</v>
      </c>
    </row>
    <row r="128" spans="1:2">
      <c r="A128" t="s">
        <v>489</v>
      </c>
      <c r="B128" t="s">
        <v>490</v>
      </c>
    </row>
    <row r="129" spans="1:2">
      <c r="A129" t="s">
        <v>491</v>
      </c>
      <c r="B129" t="s">
        <v>492</v>
      </c>
    </row>
    <row r="130" spans="1:2">
      <c r="A130" t="s">
        <v>493</v>
      </c>
      <c r="B130" t="s">
        <v>494</v>
      </c>
    </row>
    <row r="131" spans="1:2">
      <c r="A131" t="s">
        <v>495</v>
      </c>
      <c r="B131" t="s">
        <v>496</v>
      </c>
    </row>
    <row r="132" spans="1:2">
      <c r="A132" t="s">
        <v>497</v>
      </c>
      <c r="B132" t="s">
        <v>498</v>
      </c>
    </row>
    <row r="133" spans="1:2">
      <c r="A133" t="s">
        <v>499</v>
      </c>
      <c r="B133" t="s">
        <v>500</v>
      </c>
    </row>
    <row r="134" spans="1:2">
      <c r="A134" t="s">
        <v>501</v>
      </c>
      <c r="B134" t="s">
        <v>502</v>
      </c>
    </row>
    <row r="135" spans="1:2">
      <c r="A135" t="s">
        <v>503</v>
      </c>
      <c r="B135" t="s">
        <v>504</v>
      </c>
    </row>
    <row r="136" spans="1:2">
      <c r="A136" t="s">
        <v>505</v>
      </c>
      <c r="B136" t="s">
        <v>506</v>
      </c>
    </row>
    <row r="137" spans="1:2">
      <c r="A137" t="s">
        <v>507</v>
      </c>
      <c r="B137" t="s">
        <v>508</v>
      </c>
    </row>
    <row r="138" spans="1:2">
      <c r="A138" t="s">
        <v>509</v>
      </c>
      <c r="B138" t="s">
        <v>510</v>
      </c>
    </row>
    <row r="139" spans="1:2">
      <c r="A139" t="s">
        <v>511</v>
      </c>
      <c r="B139" t="s">
        <v>512</v>
      </c>
    </row>
    <row r="140" spans="1:2">
      <c r="A140" t="s">
        <v>513</v>
      </c>
      <c r="B140" t="s">
        <v>514</v>
      </c>
    </row>
    <row r="141" spans="1:2">
      <c r="A141" t="s">
        <v>515</v>
      </c>
      <c r="B141" t="s">
        <v>516</v>
      </c>
    </row>
    <row r="142" spans="1:2">
      <c r="A142" t="s">
        <v>517</v>
      </c>
      <c r="B142" t="s">
        <v>518</v>
      </c>
    </row>
    <row r="143" spans="1:2">
      <c r="A143" t="s">
        <v>519</v>
      </c>
      <c r="B143" t="s">
        <v>520</v>
      </c>
    </row>
    <row r="144" spans="1:2">
      <c r="A144" t="s">
        <v>521</v>
      </c>
      <c r="B144" t="s">
        <v>522</v>
      </c>
    </row>
    <row r="145" spans="1:2">
      <c r="A145" t="s">
        <v>523</v>
      </c>
      <c r="B145" t="s">
        <v>524</v>
      </c>
    </row>
    <row r="146" spans="1:2">
      <c r="A146" t="s">
        <v>525</v>
      </c>
      <c r="B146" t="s">
        <v>526</v>
      </c>
    </row>
    <row r="147" spans="1:2">
      <c r="A147" t="s">
        <v>527</v>
      </c>
      <c r="B147" t="s">
        <v>528</v>
      </c>
    </row>
    <row r="148" spans="1:2">
      <c r="A148" t="s">
        <v>529</v>
      </c>
      <c r="B148" t="s">
        <v>530</v>
      </c>
    </row>
    <row r="149" spans="1:2">
      <c r="A149" t="s">
        <v>531</v>
      </c>
      <c r="B149" t="s">
        <v>532</v>
      </c>
    </row>
    <row r="150" spans="1:2">
      <c r="A150" t="s">
        <v>533</v>
      </c>
      <c r="B150" t="s">
        <v>534</v>
      </c>
    </row>
    <row r="151" spans="1:2">
      <c r="A151" t="s">
        <v>535</v>
      </c>
      <c r="B151" t="s">
        <v>536</v>
      </c>
    </row>
    <row r="152" spans="1:2">
      <c r="A152" t="s">
        <v>537</v>
      </c>
      <c r="B152" t="s">
        <v>538</v>
      </c>
    </row>
    <row r="153" spans="1:2">
      <c r="A153" t="s">
        <v>539</v>
      </c>
      <c r="B153" t="s">
        <v>540</v>
      </c>
    </row>
    <row r="154" spans="1:2">
      <c r="A154" t="s">
        <v>541</v>
      </c>
      <c r="B154" t="s">
        <v>542</v>
      </c>
    </row>
    <row r="155" spans="1:2">
      <c r="A155" t="s">
        <v>543</v>
      </c>
      <c r="B155" t="s">
        <v>544</v>
      </c>
    </row>
    <row r="156" spans="1:2">
      <c r="A156" t="s">
        <v>545</v>
      </c>
      <c r="B156" t="s">
        <v>546</v>
      </c>
    </row>
    <row r="157" spans="1:2">
      <c r="A157" t="s">
        <v>547</v>
      </c>
      <c r="B157" t="s">
        <v>548</v>
      </c>
    </row>
    <row r="158" spans="1:2">
      <c r="A158" t="s">
        <v>549</v>
      </c>
      <c r="B158" t="s">
        <v>550</v>
      </c>
    </row>
    <row r="159" spans="1:2">
      <c r="A159" t="s">
        <v>551</v>
      </c>
      <c r="B159" t="s">
        <v>552</v>
      </c>
    </row>
    <row r="160" spans="1:2">
      <c r="A160" t="s">
        <v>553</v>
      </c>
      <c r="B160" t="s">
        <v>554</v>
      </c>
    </row>
    <row r="161" spans="1:2">
      <c r="A161" t="s">
        <v>555</v>
      </c>
      <c r="B161" t="s">
        <v>556</v>
      </c>
    </row>
    <row r="162" spans="1:2">
      <c r="A162" t="s">
        <v>557</v>
      </c>
      <c r="B162" t="s">
        <v>558</v>
      </c>
    </row>
    <row r="163" spans="1:2">
      <c r="A163" t="s">
        <v>559</v>
      </c>
      <c r="B163" t="s">
        <v>560</v>
      </c>
    </row>
    <row r="164" spans="1:2">
      <c r="A164" t="s">
        <v>561</v>
      </c>
      <c r="B164" t="s">
        <v>562</v>
      </c>
    </row>
    <row r="165" spans="1:2">
      <c r="A165" t="s">
        <v>563</v>
      </c>
      <c r="B165" t="s">
        <v>564</v>
      </c>
    </row>
    <row r="166" spans="1:2">
      <c r="A166" t="s">
        <v>565</v>
      </c>
      <c r="B166" t="s">
        <v>566</v>
      </c>
    </row>
    <row r="167" spans="1:2">
      <c r="A167" t="s">
        <v>567</v>
      </c>
      <c r="B167" t="s">
        <v>568</v>
      </c>
    </row>
    <row r="168" spans="1:2">
      <c r="A168" t="s">
        <v>569</v>
      </c>
      <c r="B168" t="s">
        <v>570</v>
      </c>
    </row>
    <row r="169" spans="1:2">
      <c r="A169" t="s">
        <v>571</v>
      </c>
      <c r="B169" t="s">
        <v>572</v>
      </c>
    </row>
    <row r="170" spans="1:2">
      <c r="A170" t="s">
        <v>573</v>
      </c>
      <c r="B170" t="s">
        <v>574</v>
      </c>
    </row>
    <row r="171" spans="1:2">
      <c r="A171" t="s">
        <v>575</v>
      </c>
      <c r="B171" t="s">
        <v>576</v>
      </c>
    </row>
    <row r="172" spans="1:2">
      <c r="A172" t="s">
        <v>577</v>
      </c>
      <c r="B172" t="s">
        <v>578</v>
      </c>
    </row>
    <row r="173" spans="1:2">
      <c r="A173" t="s">
        <v>579</v>
      </c>
      <c r="B173" t="s">
        <v>580</v>
      </c>
    </row>
    <row r="174" spans="1:2">
      <c r="A174" t="s">
        <v>581</v>
      </c>
      <c r="B174" t="s">
        <v>582</v>
      </c>
    </row>
    <row r="175" spans="1:2">
      <c r="A175" t="s">
        <v>583</v>
      </c>
      <c r="B175" t="s">
        <v>584</v>
      </c>
    </row>
    <row r="176" spans="1:2">
      <c r="A176" t="s">
        <v>585</v>
      </c>
      <c r="B176" t="s">
        <v>586</v>
      </c>
    </row>
    <row r="177" spans="1:2">
      <c r="A177" t="s">
        <v>587</v>
      </c>
      <c r="B177" t="s">
        <v>588</v>
      </c>
    </row>
    <row r="178" spans="1:2">
      <c r="A178" t="s">
        <v>589</v>
      </c>
      <c r="B178" t="s">
        <v>590</v>
      </c>
    </row>
    <row r="179" spans="1:2">
      <c r="A179" t="s">
        <v>591</v>
      </c>
      <c r="B179" t="s">
        <v>592</v>
      </c>
    </row>
    <row r="180" spans="1:2">
      <c r="A180" t="s">
        <v>593</v>
      </c>
      <c r="B180" t="s">
        <v>594</v>
      </c>
    </row>
    <row r="181" spans="1:2">
      <c r="A181" t="s">
        <v>595</v>
      </c>
      <c r="B181" t="s">
        <v>596</v>
      </c>
    </row>
    <row r="182" spans="1:2">
      <c r="A182" t="s">
        <v>597</v>
      </c>
      <c r="B182" t="s">
        <v>598</v>
      </c>
    </row>
    <row r="183" spans="1:2">
      <c r="A183" t="s">
        <v>599</v>
      </c>
      <c r="B183" t="s">
        <v>600</v>
      </c>
    </row>
    <row r="184" spans="1:2">
      <c r="A184" t="s">
        <v>601</v>
      </c>
      <c r="B184" t="s">
        <v>289</v>
      </c>
    </row>
    <row r="185" spans="1:2">
      <c r="A185" t="s">
        <v>602</v>
      </c>
      <c r="B185" t="s">
        <v>603</v>
      </c>
    </row>
    <row r="186" spans="1:2">
      <c r="A186" t="s">
        <v>604</v>
      </c>
      <c r="B186" t="s">
        <v>605</v>
      </c>
    </row>
    <row r="187" spans="1:2">
      <c r="A187" t="s">
        <v>606</v>
      </c>
      <c r="B187" t="s">
        <v>607</v>
      </c>
    </row>
    <row r="188" spans="1:2">
      <c r="A188" t="s">
        <v>608</v>
      </c>
      <c r="B188" t="s">
        <v>609</v>
      </c>
    </row>
    <row r="189" spans="1:2">
      <c r="A189" t="s">
        <v>610</v>
      </c>
      <c r="B189" t="s">
        <v>611</v>
      </c>
    </row>
    <row r="190" spans="1:2">
      <c r="A190" t="s">
        <v>612</v>
      </c>
      <c r="B190" t="s">
        <v>613</v>
      </c>
    </row>
    <row r="191" spans="1:2">
      <c r="A191" t="s">
        <v>614</v>
      </c>
      <c r="B191" t="s">
        <v>615</v>
      </c>
    </row>
    <row r="192" spans="1:2">
      <c r="A192" t="s">
        <v>616</v>
      </c>
      <c r="B192" t="s">
        <v>617</v>
      </c>
    </row>
    <row r="193" spans="1:2">
      <c r="A193" t="s">
        <v>618</v>
      </c>
      <c r="B193" t="s">
        <v>619</v>
      </c>
    </row>
    <row r="194" spans="1:2">
      <c r="A194" t="s">
        <v>620</v>
      </c>
      <c r="B194" t="s">
        <v>621</v>
      </c>
    </row>
    <row r="195" spans="1:2">
      <c r="A195" t="s">
        <v>622</v>
      </c>
      <c r="B195" t="s">
        <v>623</v>
      </c>
    </row>
    <row r="196" spans="1:2">
      <c r="A196" t="s">
        <v>624</v>
      </c>
      <c r="B196" t="s">
        <v>625</v>
      </c>
    </row>
    <row r="197" spans="1:2">
      <c r="A197" t="s">
        <v>626</v>
      </c>
      <c r="B197" t="s">
        <v>627</v>
      </c>
    </row>
    <row r="198" spans="1:2">
      <c r="A198" t="s">
        <v>628</v>
      </c>
      <c r="B198" t="s">
        <v>629</v>
      </c>
    </row>
    <row r="199" spans="1:2">
      <c r="A199" t="s">
        <v>630</v>
      </c>
      <c r="B199" t="s">
        <v>631</v>
      </c>
    </row>
    <row r="200" spans="1:2">
      <c r="A200" t="s">
        <v>632</v>
      </c>
      <c r="B200" t="s">
        <v>633</v>
      </c>
    </row>
    <row r="201" spans="1:2">
      <c r="A201" t="s">
        <v>634</v>
      </c>
      <c r="B201" t="s">
        <v>289</v>
      </c>
    </row>
    <row r="202" spans="1:2">
      <c r="A202" t="s">
        <v>635</v>
      </c>
      <c r="B202" t="s">
        <v>636</v>
      </c>
    </row>
    <row r="203" spans="1:2">
      <c r="A203" t="s">
        <v>637</v>
      </c>
      <c r="B203" t="s">
        <v>638</v>
      </c>
    </row>
    <row r="204" spans="1:2">
      <c r="A204" t="s">
        <v>639</v>
      </c>
      <c r="B204" t="s">
        <v>640</v>
      </c>
    </row>
    <row r="205" spans="1:2">
      <c r="A205" t="s">
        <v>641</v>
      </c>
      <c r="B205" t="s">
        <v>642</v>
      </c>
    </row>
    <row r="206" spans="1:2">
      <c r="A206" t="s">
        <v>643</v>
      </c>
      <c r="B206" t="s">
        <v>644</v>
      </c>
    </row>
    <row r="207" spans="1:2">
      <c r="A207" t="s">
        <v>645</v>
      </c>
      <c r="B207" t="s">
        <v>644</v>
      </c>
    </row>
    <row r="208" spans="1:2">
      <c r="A208" t="s">
        <v>646</v>
      </c>
      <c r="B208" t="s">
        <v>647</v>
      </c>
    </row>
    <row r="209" spans="1:2">
      <c r="A209" t="s">
        <v>648</v>
      </c>
      <c r="B209" t="s">
        <v>649</v>
      </c>
    </row>
    <row r="210" spans="1:2">
      <c r="A210" t="s">
        <v>650</v>
      </c>
      <c r="B210" t="s">
        <v>651</v>
      </c>
    </row>
    <row r="211" spans="1:2">
      <c r="A211" t="s">
        <v>652</v>
      </c>
      <c r="B211" t="s">
        <v>653</v>
      </c>
    </row>
    <row r="212" spans="1:2">
      <c r="A212" t="s">
        <v>654</v>
      </c>
      <c r="B212" t="s">
        <v>655</v>
      </c>
    </row>
    <row r="213" spans="1:2">
      <c r="A213" t="s">
        <v>656</v>
      </c>
      <c r="B213" t="s">
        <v>657</v>
      </c>
    </row>
    <row r="214" spans="1:2">
      <c r="A214" t="s">
        <v>658</v>
      </c>
      <c r="B214" t="s">
        <v>659</v>
      </c>
    </row>
    <row r="215" spans="1:2">
      <c r="A215" t="s">
        <v>660</v>
      </c>
      <c r="B215" t="s">
        <v>661</v>
      </c>
    </row>
    <row r="216" spans="1:2">
      <c r="A216" t="s">
        <v>662</v>
      </c>
      <c r="B216" t="s">
        <v>663</v>
      </c>
    </row>
    <row r="217" spans="1:2">
      <c r="A217" t="s">
        <v>664</v>
      </c>
      <c r="B217" t="s">
        <v>665</v>
      </c>
    </row>
    <row r="218" spans="1:2">
      <c r="A218" t="s">
        <v>666</v>
      </c>
      <c r="B218" t="s">
        <v>667</v>
      </c>
    </row>
    <row r="219" spans="1:2">
      <c r="A219" t="s">
        <v>668</v>
      </c>
      <c r="B219" t="s">
        <v>669</v>
      </c>
    </row>
    <row r="220" spans="1:2">
      <c r="A220" t="s">
        <v>670</v>
      </c>
      <c r="B220" t="s">
        <v>671</v>
      </c>
    </row>
    <row r="221" spans="1:2">
      <c r="A221" t="s">
        <v>672</v>
      </c>
      <c r="B221" t="s">
        <v>673</v>
      </c>
    </row>
    <row r="222" spans="1:2">
      <c r="A222" t="s">
        <v>674</v>
      </c>
      <c r="B222" t="s">
        <v>675</v>
      </c>
    </row>
    <row r="223" spans="1:2">
      <c r="A223" t="s">
        <v>676</v>
      </c>
      <c r="B223" t="s">
        <v>677</v>
      </c>
    </row>
    <row r="224" spans="1:2">
      <c r="A224" t="s">
        <v>678</v>
      </c>
      <c r="B224" t="s">
        <v>679</v>
      </c>
    </row>
    <row r="225" spans="1:2">
      <c r="A225" t="s">
        <v>680</v>
      </c>
      <c r="B225" t="s">
        <v>681</v>
      </c>
    </row>
    <row r="226" spans="1:2">
      <c r="A226" t="s">
        <v>682</v>
      </c>
      <c r="B226" t="s">
        <v>683</v>
      </c>
    </row>
    <row r="227" spans="1:2">
      <c r="A227" t="s">
        <v>684</v>
      </c>
      <c r="B227" t="s">
        <v>685</v>
      </c>
    </row>
    <row r="228" spans="1:2">
      <c r="A228" t="s">
        <v>686</v>
      </c>
      <c r="B228" t="s">
        <v>687</v>
      </c>
    </row>
    <row r="229" spans="1:2">
      <c r="A229" t="s">
        <v>688</v>
      </c>
      <c r="B229" t="s">
        <v>689</v>
      </c>
    </row>
    <row r="230" spans="1:2">
      <c r="A230" t="s">
        <v>690</v>
      </c>
      <c r="B230" t="s">
        <v>691</v>
      </c>
    </row>
    <row r="231" spans="1:2">
      <c r="A231" t="s">
        <v>692</v>
      </c>
      <c r="B231" t="s">
        <v>693</v>
      </c>
    </row>
    <row r="232" spans="1:2">
      <c r="A232" t="s">
        <v>694</v>
      </c>
      <c r="B232" t="s">
        <v>695</v>
      </c>
    </row>
    <row r="233" spans="1:2">
      <c r="A233" t="s">
        <v>696</v>
      </c>
      <c r="B233" t="s">
        <v>697</v>
      </c>
    </row>
    <row r="234" spans="1:2">
      <c r="A234" t="s">
        <v>698</v>
      </c>
      <c r="B234" t="s">
        <v>699</v>
      </c>
    </row>
    <row r="235" spans="1:2">
      <c r="A235" t="s">
        <v>700</v>
      </c>
      <c r="B235" t="s">
        <v>701</v>
      </c>
    </row>
    <row r="236" spans="1:2">
      <c r="A236" t="s">
        <v>702</v>
      </c>
      <c r="B236" t="s">
        <v>703</v>
      </c>
    </row>
    <row r="237" spans="1:2">
      <c r="A237" t="s">
        <v>704</v>
      </c>
      <c r="B237" t="s">
        <v>705</v>
      </c>
    </row>
    <row r="238" spans="1:2">
      <c r="A238" t="s">
        <v>706</v>
      </c>
      <c r="B238" t="s">
        <v>707</v>
      </c>
    </row>
    <row r="239" spans="1:2">
      <c r="A239" t="s">
        <v>708</v>
      </c>
      <c r="B239" t="s">
        <v>709</v>
      </c>
    </row>
    <row r="240" spans="1:2">
      <c r="A240" t="s">
        <v>710</v>
      </c>
      <c r="B240" t="s">
        <v>711</v>
      </c>
    </row>
    <row r="241" spans="1:2">
      <c r="A241" t="s">
        <v>712</v>
      </c>
      <c r="B241" t="s">
        <v>713</v>
      </c>
    </row>
    <row r="242" spans="1:2">
      <c r="A242" t="s">
        <v>714</v>
      </c>
      <c r="B242" t="s">
        <v>715</v>
      </c>
    </row>
    <row r="243" spans="1:2">
      <c r="A243" t="s">
        <v>716</v>
      </c>
      <c r="B243" t="s">
        <v>717</v>
      </c>
    </row>
    <row r="244" spans="1:2">
      <c r="A244" t="s">
        <v>718</v>
      </c>
      <c r="B244" t="s">
        <v>719</v>
      </c>
    </row>
    <row r="245" spans="1:2">
      <c r="A245" t="s">
        <v>720</v>
      </c>
      <c r="B245" t="s">
        <v>721</v>
      </c>
    </row>
    <row r="246" spans="1:2">
      <c r="A246" t="s">
        <v>722</v>
      </c>
      <c r="B246" t="s">
        <v>723</v>
      </c>
    </row>
    <row r="247" spans="1:2">
      <c r="A247" t="s">
        <v>724</v>
      </c>
      <c r="B247" t="s">
        <v>725</v>
      </c>
    </row>
    <row r="248" spans="1:2">
      <c r="A248" t="s">
        <v>726</v>
      </c>
      <c r="B248" t="s">
        <v>727</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Kaitlin</cp:lastModifiedBy>
  <cp:lastPrinted>2014-02-01T19:00:50Z</cp:lastPrinted>
  <dcterms:created xsi:type="dcterms:W3CDTF">2013-09-30T16:43:43Z</dcterms:created>
  <dcterms:modified xsi:type="dcterms:W3CDTF">2015-09-27T18:07:26Z</dcterms:modified>
</cp:coreProperties>
</file>