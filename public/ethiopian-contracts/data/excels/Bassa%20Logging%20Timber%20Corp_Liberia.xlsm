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jpg" ContentType="image/jpe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codeName="{7A2D7E96-6E34-419A-AE5F-296B3A7E7977}"/>
  <workbookPr showInkAnnotation="0" codeName="ThisWorkbook" autoCompressPictures="0"/>
  <bookViews>
    <workbookView xWindow="5240" yWindow="-20940" windowWidth="21840" windowHeight="20480" tabRatio="500" activeTab="1"/>
  </bookViews>
  <sheets>
    <sheet name="Categories" sheetId="1" r:id="rId1"/>
    <sheet name="Metadata" sheetId="2" r:id="rId2"/>
    <sheet name="picklists" sheetId="3" r:id="rId3"/>
  </sheets>
  <definedNames>
    <definedName name="countries">picklists!$A$2:$A$248</definedName>
    <definedName name="language">picklists!$L$2:$L$3</definedName>
    <definedName name="license_type">picklists!$H$2:$H$61</definedName>
    <definedName name="resources">picklists!$D$3:$D$61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8" i="2" l="1"/>
  <c r="B2" i="2"/>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D17" i="3"/>
  <c r="D18" i="3"/>
  <c r="H17" i="3"/>
  <c r="H19" i="3"/>
  <c r="H18" i="3"/>
  <c r="H16" i="3"/>
  <c r="H15" i="3"/>
  <c r="H14" i="3"/>
  <c r="H13" i="3"/>
  <c r="H12" i="3"/>
  <c r="H11" i="3"/>
  <c r="H10" i="3"/>
  <c r="H9" i="3"/>
  <c r="H8" i="3"/>
  <c r="H7" i="3"/>
  <c r="H6" i="3"/>
  <c r="H5" i="3"/>
  <c r="H4" i="3"/>
  <c r="H3" i="3"/>
  <c r="H2" i="3"/>
  <c r="D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B3" i="2"/>
  <c r="B4" i="2"/>
  <c r="C48" i="1"/>
  <c r="B9" i="2"/>
  <c r="B11" i="2"/>
  <c r="B12" i="2"/>
  <c r="B13" i="2"/>
  <c r="B14" i="2"/>
  <c r="B15" i="2"/>
  <c r="B16" i="2"/>
  <c r="B17" i="2"/>
  <c r="B18" i="2"/>
  <c r="B19" i="2"/>
  <c r="B20" i="2"/>
  <c r="B21" i="2"/>
  <c r="B22" i="2"/>
  <c r="C33" i="1"/>
  <c r="B23" i="2"/>
  <c r="B24" i="2"/>
  <c r="B25" i="2"/>
  <c r="B26" i="2"/>
  <c r="B27" i="2"/>
  <c r="B28" i="2"/>
  <c r="B29" i="2"/>
  <c r="B30" i="2"/>
  <c r="B31" i="2"/>
  <c r="D33" i="3"/>
  <c r="D32" i="3"/>
  <c r="D31" i="3"/>
  <c r="D30" i="3"/>
  <c r="D29" i="3"/>
  <c r="D28" i="3"/>
  <c r="D27" i="3"/>
  <c r="D26" i="3"/>
  <c r="D25" i="3"/>
  <c r="D24" i="3"/>
  <c r="D23" i="3"/>
  <c r="D22" i="3"/>
  <c r="D21" i="3"/>
  <c r="D20" i="3"/>
  <c r="D19" i="3"/>
  <c r="D16" i="3"/>
  <c r="D15" i="3"/>
  <c r="D14" i="3"/>
  <c r="D13" i="3"/>
  <c r="D12" i="3"/>
  <c r="D11" i="3"/>
  <c r="D10" i="3"/>
  <c r="D9" i="3"/>
  <c r="D8" i="3"/>
  <c r="D7" i="3"/>
  <c r="D6" i="3"/>
  <c r="D5" i="3"/>
  <c r="D4" i="3"/>
  <c r="D3" i="3"/>
  <c r="B38" i="2"/>
  <c r="B37" i="2"/>
  <c r="G18" i="1"/>
  <c r="B36" i="2"/>
  <c r="B35" i="2"/>
  <c r="B34" i="2"/>
  <c r="B33" i="2"/>
  <c r="B32" i="2"/>
  <c r="H25" i="1"/>
  <c r="G25" i="1"/>
  <c r="H41" i="1"/>
  <c r="G41" i="1"/>
  <c r="G21" i="1"/>
  <c r="H21" i="1"/>
  <c r="G52" i="1"/>
  <c r="H52" i="1"/>
  <c r="G67" i="1"/>
  <c r="H67" i="1"/>
  <c r="G110" i="1"/>
  <c r="H110" i="1"/>
  <c r="G78" i="1"/>
  <c r="H78" i="1"/>
  <c r="G66" i="1"/>
  <c r="H66" i="1"/>
  <c r="G114" i="1"/>
  <c r="H114" i="1"/>
  <c r="G65" i="1"/>
  <c r="H65" i="1"/>
  <c r="G139" i="1"/>
  <c r="H139" i="1"/>
  <c r="G136" i="1"/>
  <c r="H136" i="1"/>
  <c r="G125" i="1"/>
  <c r="H125" i="1"/>
  <c r="G109" i="1"/>
  <c r="H109" i="1"/>
  <c r="G124" i="1"/>
  <c r="H124" i="1"/>
  <c r="G123" i="1"/>
  <c r="H123" i="1"/>
  <c r="G98" i="1"/>
  <c r="H98" i="1"/>
  <c r="G64" i="1"/>
  <c r="H64" i="1"/>
  <c r="G63" i="1"/>
  <c r="H63" i="1"/>
  <c r="G46" i="1"/>
  <c r="H46" i="1"/>
  <c r="H143" i="1"/>
  <c r="G143" i="1"/>
  <c r="H142" i="1"/>
  <c r="G142" i="1"/>
  <c r="H141" i="1"/>
  <c r="G141" i="1"/>
  <c r="H140" i="1"/>
  <c r="G140" i="1"/>
  <c r="H138" i="1"/>
  <c r="G138" i="1"/>
  <c r="H137" i="1"/>
  <c r="G137" i="1"/>
  <c r="H135" i="1"/>
  <c r="G135" i="1"/>
  <c r="H134" i="1"/>
  <c r="G134" i="1"/>
  <c r="H133" i="1"/>
  <c r="G133" i="1"/>
  <c r="H132" i="1"/>
  <c r="G132" i="1"/>
  <c r="H131" i="1"/>
  <c r="G131" i="1"/>
  <c r="H130" i="1"/>
  <c r="G130" i="1"/>
  <c r="H129" i="1"/>
  <c r="G129" i="1"/>
  <c r="H128" i="1"/>
  <c r="G128" i="1"/>
  <c r="H127" i="1"/>
  <c r="G127" i="1"/>
  <c r="H126" i="1"/>
  <c r="G126" i="1"/>
  <c r="H122" i="1"/>
  <c r="G122" i="1"/>
  <c r="H121" i="1"/>
  <c r="G121" i="1"/>
  <c r="H120" i="1"/>
  <c r="G120" i="1"/>
  <c r="H119" i="1"/>
  <c r="G119" i="1"/>
  <c r="H118" i="1"/>
  <c r="G118" i="1"/>
  <c r="H117" i="1"/>
  <c r="G117" i="1"/>
  <c r="H116" i="1"/>
  <c r="G116" i="1"/>
  <c r="H115" i="1"/>
  <c r="G115" i="1"/>
  <c r="H113" i="1"/>
  <c r="G113" i="1"/>
  <c r="H112" i="1"/>
  <c r="G112" i="1"/>
  <c r="H111" i="1"/>
  <c r="G111" i="1"/>
  <c r="H108" i="1"/>
  <c r="G108" i="1"/>
  <c r="H107" i="1"/>
  <c r="G107" i="1"/>
  <c r="H106" i="1"/>
  <c r="G106" i="1"/>
  <c r="H105" i="1"/>
  <c r="G105" i="1"/>
  <c r="H104" i="1"/>
  <c r="G104" i="1"/>
  <c r="H103" i="1"/>
  <c r="G103" i="1"/>
  <c r="H102" i="1"/>
  <c r="G102" i="1"/>
  <c r="H101" i="1"/>
  <c r="G101" i="1"/>
  <c r="H100" i="1"/>
  <c r="G100" i="1"/>
  <c r="H99" i="1"/>
  <c r="G99"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9" i="1"/>
  <c r="G79"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<sst xmlns="http://schemas.openxmlformats.org/spreadsheetml/2006/main" count="1011" uniqueCount="938">
  <si>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</si>
  <si>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</si>
  <si>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</si>
  <si>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</si>
  <si>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</si>
  <si>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</si>
  <si>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</si>
  <si>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</si>
  <si>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</si>
  <si>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</si>
  <si>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</si>
  <si>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</si>
  <si>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</si>
  <si>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</si>
  <si>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</si>
  <si>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</si>
  <si>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</si>
  <si>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</si>
  <si>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</si>
  <si>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</si>
  <si>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</si>
  <si>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</si>
  <si>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</si>
  <si>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</si>
  <si>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</si>
  <si>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</si>
  <si>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</si>
  <si>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</si>
  <si>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</si>
  <si>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</si>
  <si>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</si>
  <si>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</si>
  <si>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</si>
  <si>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</si>
  <si>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</si>
  <si>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</si>
  <si>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</si>
  <si>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</si>
  <si>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</si>
  <si>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</si>
  <si>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</si>
  <si>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</si>
  <si>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</si>
  <si>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</si>
  <si>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</si>
  <si>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</si>
  <si>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</si>
  <si>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</si>
  <si>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</si>
  <si>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</si>
  <si>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</si>
  <si>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</si>
  <si>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</si>
  <si>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</si>
  <si>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</si>
  <si>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</si>
  <si>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</si>
  <si>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</si>
  <si>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</si>
  <si>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</si>
  <si>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</si>
  <si>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</si>
  <si>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</si>
  <si>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</si>
  <si>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</si>
  <si>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</si>
  <si>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</si>
  <si>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</si>
  <si>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</si>
  <si>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</si>
  <si>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</si>
  <si>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</si>
  <si>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</si>
  <si>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</si>
  <si>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</si>
  <si>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</si>
  <si>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Production Share - "Cost Oil" features  (basis of calculation, limits on cost recovery - e.g. as % of revenue or production, capex uplift, etc.)</t>
  </si>
  <si>
    <t>Production Share - "Profit Oil" features  (triggers for variations in split - IRR, "r" factor, production, etc.)</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</si>
  <si>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</si>
  <si>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</si>
  <si>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</si>
  <si>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</si>
  <si>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</si>
  <si>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</si>
  <si>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</si>
  <si>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</si>
  <si>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</si>
  <si>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</si>
  <si>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</si>
  <si>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</si>
  <si>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</si>
  <si>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</si>
  <si>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</si>
  <si>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</si>
  <si>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</si>
  <si>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</si>
  <si>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</si>
  <si>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</si>
  <si>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</si>
  <si>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</si>
  <si>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</si>
  <si>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</si>
  <si>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</si>
  <si>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</si>
  <si>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</si>
  <si>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</si>
  <si>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</si>
  <si>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</si>
  <si>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</si>
  <si>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</si>
  <si>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 xml:space="preserve">Fixed fee for grant and renewal of license  </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</si>
  <si>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</si>
  <si>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</si>
  <si>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</si>
  <si>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</si>
  <si>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</si>
  <si>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</si>
  <si>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</si>
  <si>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</si>
  <si>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</si>
  <si>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</si>
  <si>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</si>
  <si>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</si>
  <si>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</si>
  <si>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</si>
  <si>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</si>
  <si>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</si>
  <si>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</si>
  <si>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</si>
  <si>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</si>
  <si>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</si>
  <si>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</si>
  <si>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</si>
  <si>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</si>
  <si>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</si>
  <si>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</si>
  <si>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</si>
  <si>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</si>
  <si>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</si>
  <si>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</si>
  <si>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</si>
  <si>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</si>
  <si>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</si>
  <si>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</si>
  <si>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</si>
  <si>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</si>
  <si>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</si>
  <si>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</si>
  <si>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</si>
  <si>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</si>
  <si>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</si>
  <si>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</si>
  <si>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</si>
  <si>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</si>
  <si>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</si>
  <si>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</si>
  <si>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</si>
  <si>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</si>
  <si>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</si>
  <si>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</si>
  <si>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</si>
  <si>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</si>
  <si>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</si>
  <si>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</si>
  <si>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</si>
  <si>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</si>
  <si>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</si>
  <si>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</si>
  <si>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</si>
  <si>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</si>
  <si>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</si>
  <si>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</si>
  <si>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</si>
  <si>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</si>
  <si>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</si>
  <si>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</si>
  <si>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</si>
  <si>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Type of resources (mineral type, crude oil, gas, timber, etc.) OR specific crops planned (ex:  food crops, oil palm, etc.)</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</si>
  <si>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</si>
  <si>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</si>
  <si>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</si>
  <si>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</si>
  <si>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</si>
  <si>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</si>
  <si>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</si>
  <si>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</si>
  <si>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</si>
  <si>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</si>
  <si>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</si>
  <si>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</si>
  <si>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</si>
  <si>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</si>
  <si>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</si>
  <si>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</si>
  <si>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</si>
  <si>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</si>
  <si>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</si>
  <si>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</si>
  <si>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</si>
  <si>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</si>
  <si>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</si>
  <si>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</si>
  <si>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</si>
  <si>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</si>
  <si>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</si>
  <si>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Location, longitude and latitude /  Onshore vs Offshore (shallow vs. deep) </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</si>
  <si>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</si>
  <si>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</si>
  <si>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</si>
  <si>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</si>
  <si>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</si>
  <si>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</si>
  <si>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</si>
  <si>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</si>
  <si>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</si>
  <si>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</si>
  <si>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</si>
  <si>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</si>
  <si>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</si>
  <si>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</si>
  <si>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</si>
  <si>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</si>
  <si>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</si>
  <si>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</si>
  <si>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</si>
  <si>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</si>
  <si>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</si>
  <si>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</si>
  <si>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</si>
  <si>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</si>
  <si>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</si>
  <si>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</si>
  <si>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Programme de sous-traitance  avec les petits planteurs (détails, des terres supplémentaires fournis, etc)</t>
  </si>
  <si>
    <t>Obligations liées a l'approvisionnement en biens et services locaux</t>
  </si>
  <si>
    <t>Contrat de Service - Frais du détenteur du titre défrayés  (base de calcul)</t>
  </si>
  <si>
    <t>Consultations communautaires requises</t>
  </si>
  <si>
    <t>Obligations liées a la formation des cadres locaux</t>
  </si>
  <si>
    <t>Impôt sur les Revenus des Valeurs Mobilières (IRVM)</t>
  </si>
  <si>
    <t>Obligations de reporting et autres méthodes de contrôle de la conformité</t>
  </si>
  <si>
    <t>Other - [Environmental liability]</t>
  </si>
  <si>
    <t>Autre - [Responsabilité environnementale]</t>
  </si>
  <si>
    <t>Numéro d'entreprise légal</t>
  </si>
  <si>
    <t>Legal Enterprise Identifier</t>
  </si>
  <si>
    <t>Details  - value</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</si>
  <si>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</si>
  <si>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</si>
  <si>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</si>
  <si>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</si>
  <si>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</si>
  <si>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</si>
  <si>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</si>
  <si>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</si>
  <si>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</si>
  <si>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</si>
  <si>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</si>
  <si>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</si>
  <si>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</si>
  <si>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</si>
  <si>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</si>
  <si>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</si>
  <si>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</si>
  <si>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</si>
  <si>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</si>
  <si>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</si>
  <si>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</si>
  <si>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</si>
  <si>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</si>
  <si>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</si>
  <si>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</si>
  <si>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</si>
  <si>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</si>
  <si>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</si>
  <si>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</si>
  <si>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</si>
  <si>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</si>
  <si>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</si>
  <si>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</si>
  <si>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</si>
  <si>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</si>
  <si>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</si>
  <si>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</si>
  <si>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</si>
  <si>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</si>
  <si>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</si>
  <si>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</si>
  <si>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</si>
  <si>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</si>
  <si>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</si>
  <si>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</si>
  <si>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</si>
  <si>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</si>
  <si>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</si>
  <si>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</si>
  <si>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</si>
  <si>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</si>
  <si>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</si>
  <si>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</si>
  <si>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</si>
  <si>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</si>
  <si>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</si>
  <si>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</si>
  <si>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</si>
  <si>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</si>
  <si>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</si>
  <si>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</si>
  <si>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</si>
  <si>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</si>
  <si>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</si>
  <si>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</si>
  <si>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</si>
  <si>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</si>
  <si>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</si>
  <si>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</si>
  <si>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</si>
  <si>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</si>
  <si>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</si>
  <si>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</si>
  <si>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</si>
  <si>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</si>
  <si>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</si>
  <si>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</si>
  <si>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</si>
  <si>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</si>
  <si>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</si>
  <si>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</si>
  <si>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</si>
  <si>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</si>
  <si>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</si>
  <si>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</si>
  <si>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</si>
  <si>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</si>
  <si>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</si>
  <si>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</si>
  <si>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</si>
  <si>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</si>
  <si>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</si>
  <si>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</si>
  <si>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</si>
  <si>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</si>
  <si>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</si>
  <si>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</si>
  <si>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</si>
  <si>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</si>
  <si>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</si>
  <si>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</si>
  <si>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</si>
  <si>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</si>
  <si>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</si>
  <si>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</si>
  <si>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</si>
  <si>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</si>
  <si>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</si>
  <si>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</si>
  <si>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</si>
  <si>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</si>
  <si>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</si>
  <si>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</si>
  <si>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</si>
  <si>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</si>
  <si>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</si>
  <si>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</si>
  <si>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</si>
  <si>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</si>
  <si>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</si>
  <si>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</si>
  <si>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</si>
  <si>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</si>
  <si>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</si>
  <si>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</si>
  <si>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</si>
  <si>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</si>
  <si>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</si>
  <si>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</si>
  <si>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</si>
  <si>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</si>
  <si>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</si>
  <si>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</si>
  <si>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</si>
  <si>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</si>
  <si>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</si>
  <si>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</si>
  <si>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</si>
  <si>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</si>
  <si>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</si>
  <si>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</si>
  <si>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</si>
  <si>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</si>
  <si>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</si>
  <si>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</si>
  <si>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</si>
  <si>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</si>
  <si>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</si>
  <si>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</si>
  <si>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</si>
  <si>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</si>
  <si>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</si>
  <si>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</si>
  <si>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</si>
  <si>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</si>
  <si>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</si>
  <si>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</si>
  <si>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</si>
  <si>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</si>
  <si>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</si>
  <si>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</si>
  <si>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</si>
  <si>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</si>
  <si>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</si>
  <si>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</si>
  <si>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</si>
  <si>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</si>
  <si>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</si>
  <si>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</si>
  <si>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</si>
  <si>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</si>
  <si>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</si>
  <si>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</si>
  <si>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</si>
  <si>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</si>
  <si>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</si>
  <si>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</si>
  <si>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</si>
  <si>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</si>
  <si>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</si>
  <si>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</si>
  <si>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</si>
  <si>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</si>
  <si>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</si>
  <si>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</si>
  <si>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</si>
  <si>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</si>
  <si>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</si>
  <si>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</si>
  <si>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</si>
  <si>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</si>
  <si>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</si>
  <si>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</si>
  <si>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</si>
  <si>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</si>
  <si>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</si>
  <si>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</si>
  <si>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</si>
  <si>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</si>
  <si>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</si>
  <si>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</si>
  <si>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</si>
  <si>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</si>
  <si>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</si>
  <si>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</si>
  <si>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</si>
  <si>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</si>
  <si>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</si>
  <si>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</si>
  <si>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</si>
  <si>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</si>
  <si>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</si>
  <si>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</si>
  <si>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</si>
  <si>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</si>
  <si>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</si>
  <si>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</si>
  <si>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</si>
  <si>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</si>
  <si>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</si>
  <si>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</si>
  <si>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</si>
  <si>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</si>
  <si>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</si>
  <si>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</si>
  <si>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</si>
  <si>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</si>
  <si>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</si>
  <si>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</si>
  <si>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</si>
  <si>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</si>
  <si>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</si>
  <si>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</si>
  <si>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</si>
  <si>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</si>
  <si>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</si>
  <si>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</si>
  <si>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</si>
  <si>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</si>
  <si>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</si>
  <si>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</si>
  <si>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</si>
  <si>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</si>
  <si>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</si>
  <si>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</si>
  <si>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</si>
  <si>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</si>
  <si>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</si>
  <si>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</si>
  <si>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</si>
  <si>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</si>
  <si>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</si>
  <si>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</si>
  <si>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</si>
  <si>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</si>
  <si>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</si>
  <si>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</si>
  <si>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</si>
  <si>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</si>
  <si>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</si>
  <si>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</si>
  <si>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</si>
  <si>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</si>
  <si>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</si>
  <si>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</si>
  <si>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</si>
  <si>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</si>
  <si>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</si>
  <si>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</si>
  <si>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</si>
  <si>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</si>
  <si>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</si>
  <si>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</si>
  <si>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</si>
  <si>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</si>
  <si>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</si>
  <si>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</si>
  <si>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</si>
  <si>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</si>
  <si>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</si>
  <si>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</si>
  <si>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</si>
  <si>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</si>
  <si>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</si>
  <si>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</si>
  <si>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</si>
  <si>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</si>
  <si>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</si>
  <si>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</si>
  <si>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</si>
  <si>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</si>
  <si>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</si>
  <si>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</si>
  <si>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</si>
  <si>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</si>
  <si>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</si>
  <si>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</si>
  <si>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</si>
  <si>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</si>
  <si>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</si>
  <si>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</si>
  <si>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</si>
  <si>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</si>
  <si>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</si>
  <si>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</si>
  <si>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</si>
  <si>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</si>
  <si>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</si>
  <si>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</si>
  <si>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</si>
  <si>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</si>
  <si>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</si>
  <si>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</si>
  <si>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</si>
  <si>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</si>
  <si>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</si>
  <si>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</si>
  <si>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</si>
  <si>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</si>
  <si>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</si>
  <si>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</si>
  <si>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</si>
  <si>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</si>
  <si>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</si>
  <si>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</si>
  <si>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</si>
  <si>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</si>
  <si>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</si>
  <si>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</si>
  <si>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</si>
  <si>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</si>
  <si>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</si>
  <si>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</si>
  <si>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</si>
  <si>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</si>
  <si>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</si>
  <si>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</si>
  <si>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</si>
  <si>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</si>
  <si>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</si>
  <si>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</si>
  <si>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</si>
  <si>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</si>
  <si>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</si>
  <si>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</si>
  <si>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</si>
  <si>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</si>
  <si>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</si>
  <si>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</si>
  <si>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</si>
  <si>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</si>
  <si>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</si>
  <si>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</si>
  <si>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</si>
  <si>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</si>
  <si>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</si>
  <si>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</si>
  <si>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</si>
  <si>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</si>
  <si>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</si>
  <si>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</si>
  <si>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</si>
  <si>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</si>
  <si>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</si>
  <si>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</si>
  <si>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</si>
  <si>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</si>
  <si>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</si>
  <si>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</si>
  <si>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</si>
  <si>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</si>
  <si>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</si>
  <si>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</si>
  <si>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</si>
  <si>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</si>
  <si>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</si>
  <si>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</si>
  <si>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</si>
  <si>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</si>
  <si>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</si>
  <si>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</si>
  <si>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</si>
  <si>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</si>
  <si>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</si>
  <si>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</si>
  <si>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</si>
  <si>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</si>
  <si>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</si>
  <si>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</si>
  <si>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</si>
  <si>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</si>
  <si>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</si>
  <si>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</si>
  <si>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</si>
  <si>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</si>
  <si>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</si>
  <si>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</si>
  <si>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</si>
  <si>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</si>
  <si>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</si>
  <si>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</si>
  <si>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</si>
  <si>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</si>
  <si>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</si>
  <si>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</si>
  <si>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</si>
  <si>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</si>
  <si>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</si>
  <si>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</si>
  <si>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</si>
  <si>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</si>
  <si>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</si>
  <si>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</si>
  <si>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</si>
  <si>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</si>
  <si>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</si>
  <si>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</si>
  <si>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</si>
  <si>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</si>
  <si>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</si>
  <si>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</si>
  <si>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</si>
  <si>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</si>
  <si>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</si>
  <si>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</si>
  <si>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</si>
  <si>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</si>
  <si>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</si>
  <si>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</si>
  <si>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</si>
  <si>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</si>
  <si>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</si>
  <si>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</si>
  <si>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</si>
  <si>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</si>
  <si>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</si>
  <si>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</si>
  <si>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</si>
  <si>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</si>
  <si>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</si>
  <si>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</si>
  <si>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</si>
  <si>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</si>
  <si>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</si>
  <si>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</si>
  <si>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</si>
  <si>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</si>
  <si>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</si>
  <si>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</si>
  <si>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</si>
  <si>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</si>
  <si>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</si>
  <si>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</si>
  <si>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</si>
  <si>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</si>
  <si>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</si>
  <si>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</si>
  <si>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</si>
  <si>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</si>
  <si>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</si>
  <si>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</si>
  <si>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</si>
  <si>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</si>
  <si>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</si>
  <si>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</si>
  <si>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</si>
  <si>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</si>
  <si>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</si>
  <si>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</si>
  <si>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</si>
  <si>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</si>
  <si>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</si>
  <si>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</si>
  <si>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</si>
  <si>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</si>
  <si>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</si>
  <si>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</si>
  <si>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</si>
  <si>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</si>
  <si>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</si>
  <si>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</si>
  <si>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</si>
  <si>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</si>
  <si>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</si>
  <si>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</si>
  <si>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</si>
  <si>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</si>
  <si>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</si>
  <si>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</si>
  <si>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</si>
  <si>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</si>
  <si>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</si>
  <si>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</si>
  <si>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</si>
  <si>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</si>
  <si>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resource</t>
  </si>
  <si>
    <t>license type</t>
  </si>
  <si>
    <t>Exploration Permit/License</t>
  </si>
  <si>
    <t>Concession</t>
  </si>
  <si>
    <t>Service Contract</t>
  </si>
  <si>
    <t>Other</t>
  </si>
  <si>
    <t>Lease</t>
  </si>
  <si>
    <t>Production Sharing Agreement</t>
  </si>
  <si>
    <t>PROPOSED ADDITIONAL FIELDS (AUTOPOPULATED)</t>
  </si>
  <si>
    <t>Parent companies or affilates</t>
  </si>
  <si>
    <t>location</t>
  </si>
  <si>
    <t>Year of ratifciation</t>
  </si>
  <si>
    <t>language</t>
  </si>
  <si>
    <t>Permis d'exploration</t>
  </si>
  <si>
    <t>Accord de partage</t>
  </si>
  <si>
    <t>Contrat de service</t>
  </si>
  <si>
    <t>Bail</t>
  </si>
  <si>
    <t>Autre</t>
  </si>
  <si>
    <t>french</t>
  </si>
  <si>
    <t>ENG</t>
  </si>
  <si>
    <t>FRE</t>
  </si>
  <si>
    <t>english</t>
  </si>
  <si>
    <t>Convention</t>
  </si>
  <si>
    <t>Exploitation Permit/License</t>
  </si>
  <si>
    <t>Permis d'exploitation</t>
  </si>
  <si>
    <t>Investment Agreement</t>
  </si>
  <si>
    <t>Investment Incentive Contract</t>
  </si>
  <si>
    <t>Joint Venture Contract</t>
  </si>
  <si>
    <t>Operating Agreement between Private Companies</t>
  </si>
  <si>
    <t>Profit Sharing Contract</t>
  </si>
  <si>
    <t>Forestry Concession Contract</t>
  </si>
  <si>
    <t>Contrat de Concession Forestière</t>
  </si>
  <si>
    <t>Base metals</t>
  </si>
  <si>
    <t>Bauxite</t>
  </si>
  <si>
    <t>Coal</t>
  </si>
  <si>
    <t>Charbon</t>
  </si>
  <si>
    <t>Cobalt</t>
  </si>
  <si>
    <t>Copper</t>
  </si>
  <si>
    <t>Crude oil</t>
  </si>
  <si>
    <t>Huile brute</t>
  </si>
  <si>
    <t>Diamonds</t>
  </si>
  <si>
    <t>Gas</t>
  </si>
  <si>
    <t>Gaz</t>
  </si>
  <si>
    <t>Gold</t>
  </si>
  <si>
    <t>Or</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</si>
  <si>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</si>
  <si>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</si>
  <si>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</si>
  <si>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</si>
  <si>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</si>
  <si>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</si>
  <si>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</si>
  <si>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</si>
  <si>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</si>
  <si>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</si>
  <si>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</si>
  <si>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</si>
  <si>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</si>
  <si>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</si>
  <si>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</si>
  <si>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</si>
  <si>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</si>
  <si>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Les cultures vivrières</t>
  </si>
  <si>
    <t>Hydrocarbons</t>
  </si>
  <si>
    <t>Palm oil</t>
  </si>
  <si>
    <t>Huile de palme</t>
  </si>
  <si>
    <t>Rubber</t>
  </si>
  <si>
    <t>Soy</t>
  </si>
  <si>
    <t>Sugar</t>
  </si>
  <si>
    <t>Sucre</t>
  </si>
  <si>
    <t>Timber</t>
  </si>
  <si>
    <t>Bois d'œuvre</t>
  </si>
  <si>
    <t>Accord d'investissement</t>
  </si>
  <si>
    <t>Contrat d'incitation à l'investissement</t>
  </si>
  <si>
    <t>Contrat de joint-venture</t>
  </si>
  <si>
    <t>Accord de fonctionnement entre les entreprises privées</t>
  </si>
  <si>
    <t>Accord d'intéressement</t>
  </si>
  <si>
    <t>Amodiation contract</t>
  </si>
  <si>
    <t>Contrat d'amodiation</t>
  </si>
  <si>
    <t>Options contract</t>
  </si>
  <si>
    <t>Contrat d'option</t>
  </si>
  <si>
    <t>Fer</t>
  </si>
  <si>
    <t>Aluminium</t>
  </si>
  <si>
    <t>Alumine</t>
  </si>
  <si>
    <t>Molybdenum</t>
  </si>
  <si>
    <t>Molybdène</t>
  </si>
  <si>
    <t>Lapis-lazuli</t>
  </si>
  <si>
    <t>Plomb</t>
  </si>
  <si>
    <t>Manganèse</t>
  </si>
  <si>
    <t>Cuivre</t>
  </si>
  <si>
    <t>Diamants</t>
  </si>
  <si>
    <t>Rroche phosphatée</t>
  </si>
  <si>
    <t>Métaux du groupe du platine</t>
  </si>
  <si>
    <t>Pierres précieuses</t>
  </si>
  <si>
    <t>Pierres semi précieuses</t>
  </si>
  <si>
    <t>Argent</t>
  </si>
  <si>
    <t>Titane</t>
  </si>
  <si>
    <t>Hydrocarbures</t>
  </si>
  <si>
    <t>Caoutchouc</t>
  </si>
  <si>
    <t>Soja</t>
  </si>
  <si>
    <t>TEMPLATE OIL/GAS/MINING/LAND -   RESOURCECONTRACTS.ORG and OPENLANDCONTRACTS.ORG</t>
  </si>
  <si>
    <t>Les metaux de base</t>
  </si>
  <si>
    <t>Timber Sale Contract</t>
  </si>
  <si>
    <t>Bassa Logging Timber Corporation</t>
  </si>
  <si>
    <t>Cover page</t>
  </si>
  <si>
    <t>1 (top)</t>
  </si>
  <si>
    <t>Broad Street, Monrovia, Liberia</t>
  </si>
  <si>
    <t xml:space="preserve">1 (bottom), 2 (top) </t>
  </si>
  <si>
    <t>Contract to Manage Timber Sale Area: A-11</t>
  </si>
  <si>
    <t>1 (middle), 2 (top)</t>
  </si>
  <si>
    <t>President/CEO, Bassa Logging Timber Corporation</t>
  </si>
  <si>
    <t>Signature page</t>
  </si>
  <si>
    <t>40 (middle)</t>
  </si>
  <si>
    <t>Forestry Development Authority</t>
  </si>
  <si>
    <t>Managing Director, Forestry Development Authority ; In-House Lawyer, Forestry Development Authority</t>
  </si>
  <si>
    <t>40 (top)</t>
  </si>
  <si>
    <t>Cover page, cover page 2</t>
  </si>
  <si>
    <t>1 (top), 2 (top)</t>
  </si>
  <si>
    <t>1 (bottom), 2 (middle)</t>
  </si>
  <si>
    <t>3 years</t>
  </si>
  <si>
    <t>Art. A1</t>
  </si>
  <si>
    <t>7 (top)</t>
  </si>
  <si>
    <r>
      <t>Timber Sale Contract A-11 lies within Latitudes 7</t>
    </r>
    <r>
      <rPr>
        <sz val="12"/>
        <color theme="1"/>
        <rFont val="Symbol"/>
        <family val="1"/>
        <charset val="2"/>
      </rPr>
      <t>°</t>
    </r>
    <r>
      <rPr>
        <sz val="12"/>
        <color theme="1"/>
        <rFont val="Calibri"/>
        <family val="2"/>
        <scheme val="minor"/>
      </rPr>
      <t>9'36" - 7</t>
    </r>
    <r>
      <rPr>
        <sz val="12"/>
        <color theme="1"/>
        <rFont val="Symbol"/>
        <family val="1"/>
        <charset val="2"/>
      </rPr>
      <t>°</t>
    </r>
    <r>
      <rPr>
        <sz val="12"/>
        <color theme="1"/>
        <rFont val="Calibri"/>
        <family val="2"/>
        <scheme val="minor"/>
      </rPr>
      <t>18'0" North of the equator and Longitudes 10</t>
    </r>
    <r>
      <rPr>
        <sz val="12"/>
        <color theme="1"/>
        <rFont val="Symbol"/>
        <family val="1"/>
        <charset val="2"/>
      </rPr>
      <t>°</t>
    </r>
    <r>
      <rPr>
        <sz val="12"/>
        <color theme="1"/>
        <rFont val="Calibri"/>
        <family val="2"/>
        <scheme val="minor"/>
      </rPr>
      <t>54'36" - 11</t>
    </r>
    <r>
      <rPr>
        <sz val="12"/>
        <color theme="1"/>
        <rFont val="Symbol"/>
        <family val="1"/>
        <charset val="2"/>
      </rPr>
      <t>°</t>
    </r>
    <r>
      <rPr>
        <sz val="12"/>
        <color theme="1"/>
        <rFont val="Calibri"/>
        <family val="2"/>
        <scheme val="minor"/>
      </rPr>
      <t>1'48" West of the Greenwich meridian, located in Grand Cape Mount County-Liberia</t>
    </r>
  </si>
  <si>
    <t>Preamble, Art. B2.1</t>
  </si>
  <si>
    <t>6 (middle), 13 (top)</t>
  </si>
  <si>
    <t>Art. B3.12</t>
  </si>
  <si>
    <t>14 (bottom)</t>
  </si>
  <si>
    <t>Art. B6.34</t>
  </si>
  <si>
    <t>27 (top)</t>
  </si>
  <si>
    <t>15 (bottom)</t>
  </si>
  <si>
    <t>Art. B3.23</t>
  </si>
  <si>
    <t>Arts. B3.21 - B3.22</t>
  </si>
  <si>
    <t>15 (middle)</t>
  </si>
  <si>
    <t>Bassa Logging Timber Corporation shall follow internationally recognized, modern safety precautions in all activities and shall comply with written safety instructions supplied by the Government. Bassa Logging Timber Corporation shall follow internationally recognized, modern measures for the protection of general health and safety of its employees and shall comply with written public health instructions given in writing by the Government.</t>
  </si>
  <si>
    <t>Art. B6.31</t>
  </si>
  <si>
    <t>Art. B2.11</t>
  </si>
  <si>
    <t>13 (middle)</t>
  </si>
  <si>
    <t>Art. B10.27</t>
  </si>
  <si>
    <t>Art. B8.0</t>
  </si>
  <si>
    <t>Bassa Logging Timber Corporation shall be subject to income tax under the Revenue Code of Liberia</t>
  </si>
  <si>
    <t>30 (top)</t>
  </si>
  <si>
    <t>Arts. A4, B8.11 - B8.14</t>
  </si>
  <si>
    <t>8 (bottom), 30 (top)</t>
  </si>
  <si>
    <t>Art. B10.24</t>
  </si>
  <si>
    <t>35 (bottom)</t>
  </si>
  <si>
    <t>13 (top), 16 (top), 26 (middle), 26 (bottom)</t>
  </si>
  <si>
    <t>Art. B3.13</t>
  </si>
  <si>
    <t>29 (middle)</t>
  </si>
  <si>
    <t xml:space="preserve">13 (the existing 13 is a repeat of actual page 17), 14, 15 </t>
  </si>
  <si>
    <t>The laws of the Republic of Liberia govern the contract</t>
  </si>
  <si>
    <t>Art. B3.41</t>
  </si>
  <si>
    <t>16 (top)</t>
  </si>
  <si>
    <t>Art. B1.0(iii)</t>
  </si>
  <si>
    <t>9 (bottom)</t>
  </si>
  <si>
    <t>Art. B2.3</t>
  </si>
  <si>
    <t>14 (top)</t>
  </si>
  <si>
    <t>36 (bottom)</t>
  </si>
  <si>
    <t>Art. B10.23</t>
  </si>
  <si>
    <t>35 (top)</t>
  </si>
  <si>
    <t>Art. B6.5</t>
  </si>
  <si>
    <t>Bassa Logging Timber Corporation shall carry out road construction and maintenance activities in compliance with the Liberia Code of Forest Harvesting Practices</t>
  </si>
  <si>
    <t>33 (bottom)</t>
  </si>
  <si>
    <t xml:space="preserve">Cover page 2, Art. 8.11(c) </t>
  </si>
  <si>
    <t>2 (middle), 30 (middle)</t>
  </si>
  <si>
    <t>Arts. B4.12(a) and (b)</t>
  </si>
  <si>
    <t>17 (middle)</t>
  </si>
  <si>
    <t xml:space="preserve">Bassa Logging Timber Corporation shall not use public land outside the contract area unless it has express, written permission from the Forestry Development Authority. Before requesting permission, Bassa Logging Timber Corporation shall consult with all potentially affected communities that are party to social agreements with it. Bassa Logging Timber Corporation shall make a written record of the time, place, and general content of those consultations. </t>
  </si>
  <si>
    <t>Arts. B2.1, B3.3, B6.3, B6.32, B6.34, B6.35, B6.36, B6.37, B6.38</t>
  </si>
  <si>
    <t>Bassa Logging Timber Corporation must include an up-to-date business plan demonstrating it has the technical and financial capacity to manage the contract area sustainably. The business plan must conform to the Guidelines for Forest Management Planning.</t>
  </si>
  <si>
    <t>Arts. B4.12, B4.13</t>
  </si>
  <si>
    <t>17 (top)</t>
  </si>
  <si>
    <t>The parties understand that section 18.15 of the National Forestry Reform Law guarantees to the public free access to all documents and information related to this contract and its administration, subject only to limited exceptions</t>
  </si>
  <si>
    <t>Art. B5.55</t>
  </si>
  <si>
    <t>22 (middle)</t>
  </si>
  <si>
    <t>Arts. B5.3, B5.51 - B5.53</t>
  </si>
  <si>
    <t>20 (top), 20 (bottom)</t>
  </si>
  <si>
    <t>Liberia, Bassa Logging Timber Corporation, Timber Sale Contract, Timber, Forest Area TSC A-11, 21 July 2010</t>
  </si>
  <si>
    <t>Region #1, Grand Cape Mount County, Prokpa and Gola Konneh Districts, Forest Area TSC Area "11"</t>
  </si>
  <si>
    <t>Before the first annual operating season, Bassa Logging Timber Corporation shall execute the Social Agreements required under Regulation 105-07</t>
  </si>
  <si>
    <t>Bassa Logging Timber Corporation's harvests must be consistent with sustainable management of forest resources. Bassa Logging Timber Corporation shall conduct its operations in a manner that promotes sustainable development of forest resources and environmental protection for the common good of the people of Liberia. It shall conduct all operations and activities using only environmentally sound forest harvesting practices that conform to the Forest Management Guidelines, the Liberia Code of Forest Harvesting Practices, and internationally accepted, scientific principles and practices applicable to forest operations and timber processing. Bassa Logging Timber Corporation shall conduct all operations and activities so as to avoid waste and loss of natural resources and to protect natural resources from damage. It shall conduct all operations and activities so as to prevent pollution and contamination of the environment. Bassa Logging Timber Corporation shall harvest trees in a manner that avoids unnecessary damage and waste, and unnecessary damage to young growth and other trees. It shall identify in the annual operational plan areas requiring special measures for the protection of plants and animals, and it shall protect these areas from damage or removal during operations. Bassa Logging Timber Corporation shall comply with the Liberia Code of Forest Harvesting Practices for the protection of wildlife in the contract area, as well as for watercourse protection and erosion prevention and control. It shall provide for the proper disposal of sawdust, mill, and other wastes to prevent pollution or contamination.</t>
  </si>
  <si>
    <t>Bassa Logging Timber Corporation shall identify areas requiring special measures for the protection of cultural resources in the annual operational plan. It shall describe these special measures and protect those areas from damage or removal during its operations.</t>
  </si>
  <si>
    <t xml:space="preserve">Bassa Logging Timber Corporation shall give preference to competent and qualified individuals living in and near the contract area, particularly to individuals from communities benefiting from the social agreements. Bassa Logging Timber Corporation shall not import unskilled labor from outside Liberia. </t>
  </si>
  <si>
    <t>Bassa Logging Timber Corporation shall use all reasonable means to prevent encroachment by unauthorized persons in to the contract area, but it shall not employ or in any way use armed security guards for any purpose</t>
  </si>
  <si>
    <t>26 (bottom)</t>
  </si>
  <si>
    <t>The land rental bid is US$ 10.20 per hectare per year. The land rental bid payment is based on the bid provided in the bid opening ceremony multiplied by the surface area in hectares of the contract area. Bassa Logging Timber Corporation shall pay the land rental bid fee annually to the Government within 30 days after the date upon which the contract satisfies the requirements of Section 5.3(f) of the National Forestry Law of 2006 that the contract be both signed by the President and ratified by the legislature. Bassa Logging Timber Corporation shall pay log stumpage, annual contract administration, area, coupe inspection, and forest product fees to the Government under Regulation 107-07, on Certain Forest Fees.</t>
  </si>
  <si>
    <t>The contract may be interrupted by the Forestry Development Authority to ensure consistency with the Environmental Impact Assessment and related documents</t>
  </si>
  <si>
    <t>The contract may be interrupted by the Forestry Development Authority to prevent environmental degradation or resource damage and to conduct environmental analysis</t>
  </si>
  <si>
    <t>Bassa Logging Timber Corporation shall not transfer this contract or any interests, rights, privileges or obligations under the contract without prior written approval from the Forestry Development Authority. The Forestry Development Authority shall not consent to any transfer, except in compliance with Regulation 104-07, Section 71.</t>
  </si>
  <si>
    <t xml:space="preserve">Bassa Logging Timber Corporation shall not use public land outside the contract area unless it has express, written permission from the Forestry Development Authority. Before requesting permission, Bassa Logging Timber Corporation shall consult with all potentially affected communities with which it has entered into social agreements. The Forestry Development Authority shall not unreasonably deny permission to use such land. Bassa Logging Timber Corporation may use private land with the express, written permission of the land owner. If Bassa Logging Timber Corporation is unable to obtain the permission of the land owner for such use, then use is limited to rights of way, and any compensation is governed by Chapter 11 of the Forestry Reform Law of 2006 and the Forestry Development Authority Regulation 110-07. With or without permission of the land owner, Bassa Logging Timber Corporation shall not seek a use, lease, right-of-way, or easement that substantially interferes with the operations of another previously issued forest management contract or timber sale contract. Bassa Logging Timber Corporation also shall not interfere with any good faith exercise of third-party rights to timber or forest products, including customary rights, without permission of the third party. </t>
  </si>
  <si>
    <t>Arts. B1.0, B10.13</t>
  </si>
  <si>
    <t>Failure by Bassa Logging Timber Corporation to submit a claim (a written demand seeking the payment of money, adjustment or interpretation of contract terms, or other relief, under or relating to this contract) for resolution within 60 days of the disputed action by the Forestry Development Authority shall relinquish the Forestry Development Authority of any and all obligations related to the dispute. Claims arising under the contract shall be decided by the contracting officer (an officer of the Forestry Development Authority who has been delegated the power and duty to administer the contract). The decision of the contracting officer shall be final and conclusive if within 45 days from receipt, Bassa Logging Timber Corporation fails to appeal the decision to an appropriate Liberian court.</t>
  </si>
  <si>
    <t>If any statute or regulation referred to in the contract is amended, the contract shall be taken to refer to the newly amended statute or regulation. If the statute or regulation is repealed, the contract shall be taken to refer to the material that replaces the repealed act or regulation, as determined by the contracting officer (an officer of the Forestry Development Authority who has been delegated the power and duty to administer the contract).</t>
  </si>
  <si>
    <t>The contract may be terminated if Bassa Logging Timber Corporation commits a number of breaches, including (b) felling trees not covered by an Annual Harvesting Certificate, (d) abandoning operations for a period of 1 year or more, (e) significantly failing to meet the requirements of an approved annual operational plan, (f) assigning to a third-party rights held under the contract without the consent of the Forestry Development Authority, (g) going into bankruptcy or liquidation, (i) failing to meet any monetary obligations, including payments of bids or fees to the Government or payments to local communities, in a timely fashion, (k) engaging in a pattern of activity that demonstrates flagrant disregard for the terms of the contract, (m) failing to comply with any provisions of law or regulations, (o) intentionally removing any timber, forest products (flora, fauna, and micro-organisms with social or economic value) or natural resources not provided for in the contract without written approval from the Government, (q) being convicted for violation of criminal statutes or civil standards, or other regulations for environmental protection, (r) failing to comply with a Social Agreement, and (s) if it or its senior officials are convicted for violation of criminal statutes and civil standards, or any other offense indicating a lack of business integrity or honesty that seriously and directly affects the responsibility of Bassa Logging Timber Corporation, including (ii) payment of a bribe, and (v) human rights violations</t>
  </si>
  <si>
    <t>Bassa Logging Timber Corporation consents to the Government or a designated representative conducting reasonable inspections of the contract area and premises. Bassa Logging Timber Corporation shall keep records to demonstrate compliance with the contract during the duration of the contract and for 5 years after the contract terminates. It shall provide a written report within 90 days after completing operations under each annual operational plan, and keep the contracting officer informed as to its operations and other contractual activities.</t>
  </si>
  <si>
    <t>Arts. A1, A2</t>
  </si>
  <si>
    <t>The rights of private land owners and the public are governed by Chapters 11 and 12 of the National Forestry Reform Law of 2006, and Bassa Logging Timber Corporation agrees to respect those rights. In addition, the Government reserves the right to, among other things, access, or allow others to access, the contract area for the purpose of exploring for or exploiting minerals or other substances or any reasonable investigation, provided that Bassa Logging Timber Corporation's operations and activities shall not be unduly interfered with or its rights prejudiced. If its property is damaged as a result of such exploration, investigation or exploitation, the Government agrees to provide fair compensation for such damage. The Government also reserves the right to, among other things, take from the contract area timber and forest products (flora, fauna, and micro-organisms with social or economic value) that are required for public purposes, or allow others to access the contract area for traditional and customary community uses of timber and forest products, provided Bassa Logging Timber Corporation's operations and activities shall not be unduly interfered with or its rights prejudiced.</t>
  </si>
  <si>
    <t>Force majeure means any unforeseen cause beyond the reasonable control of the parties that prevents the parties from performing contractual duties for 15 consecutive days or more. Force majeure includes, among other things, acts of God and other natural disasters, war, riot, epidemic, expropriation of facilities or goods, and unforeseen restrictions on trade. Failure by either party to fulfill terms and conditions of the contract as a result of force majeure is not a breach of the contract. Any party who fails to perform obligations as a result of force majeure shall take all reasonable steps to make good, and resume compliance with, those obligations.</t>
  </si>
  <si>
    <t>5,000 hectares</t>
  </si>
  <si>
    <t>Timber (Wood)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</si>
</sst>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22" x14ac:knownFonts="1">
    <font>
      <sz val="12"/>
      <color theme="1"/>
      <name val="Calibri"/>
      <family val="2"/>
      <scheme val="minor"/>
    </font>
    <font>
      <sz val="12"/>
      <color theme="1"/>
      <name val="Calibri"/>
      <family val="2"/>
      <charset val="134"/>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family val="2"/>
      <scheme val="minor"/>
    </font>
    <font>
      <sz val="12"/>
      <name val="Calibri"/>
      <family val="2"/>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family val="2"/>
      <scheme val="minor"/>
    </font>
    <font>
      <b/>
      <sz val="22"/>
      <color theme="1"/>
      <name val="Calibri"/>
      <family val="2"/>
      <scheme val="minor"/>
    </font>
    <font>
      <sz val="20"/>
      <color theme="1"/>
      <name val="Calibri"/>
      <family val="2"/>
      <scheme val="minor"/>
    </font>
    <font>
      <b/>
      <sz val="12"/>
      <color rgb="FFFF0000"/>
      <name val="Calibri"/>
      <family val="2"/>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color rgb="FF0000FF"/>
      <name val="Calibri"/>
      <family val="2"/>
      <scheme val="minor"/>
    </font>
    <font>
      <sz val="12"/>
      <name val="Calibri (Body)"/>
    </font>
    <font>
      <b/>
      <sz val="11"/>
      <name val="Calibri (Body)"/>
    </font>
    <font>
      <b/>
      <sz val="12"/>
      <color theme="1"/>
      <name val="Calibri"/>
      <family val="2"/>
      <scheme val="minor"/>
    </font>
    <font>
      <sz val="12"/>
      <color theme="1"/>
      <name val="Symbol"/>
      <family val="1"/>
      <charset val="2"/>
    </font>
  </fonts>
  <fills count="14">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s>
  <borders count="14">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style="thin">
        <color auto="1"/>
      </left>
      <right style="thin">
        <color theme="1"/>
      </right>
      <top style="thin">
        <color auto="1"/>
      </top>
      <bottom style="thin">
        <color auto="1"/>
      </bottom>
      <diagonal/>
    </border>
  </borders>
  <cellStyleXfs count="285">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29">
    <xf numFmtId="0" fontId="0" fillId="0" borderId="0" xfId="0"/>
    <xf numFmtId="0" fontId="0" fillId="0" borderId="0" xfId="0" applyAlignment="1">
      <alignment wrapText="1"/>
    </xf>
    <xf numFmtId="49" fontId="2" fillId="0" borderId="0" xfId="0" applyNumberFormat="1" applyFont="1"/>
    <xf numFmtId="49" fontId="2" fillId="0" borderId="0" xfId="0" applyNumberFormat="1" applyFont="1" applyAlignment="1">
      <alignment wrapText="1"/>
    </xf>
    <xf numFmtId="0" fontId="0" fillId="2" borderId="3" xfId="0" applyFill="1" applyBorder="1"/>
    <xf numFmtId="49" fontId="2" fillId="0" borderId="4" xfId="0" applyNumberFormat="1" applyFont="1" applyBorder="1" applyAlignment="1">
      <alignment wrapText="1"/>
    </xf>
    <xf numFmtId="0" fontId="4" fillId="3" borderId="5" xfId="0" applyFont="1" applyFill="1" applyBorder="1" applyAlignment="1">
      <alignment horizontal="left" wrapText="1"/>
    </xf>
    <xf numFmtId="0" fontId="4" fillId="3" borderId="6" xfId="0" applyFont="1" applyFill="1" applyBorder="1" applyAlignment="1">
      <alignment horizontal="left" wrapText="1"/>
    </xf>
    <xf numFmtId="0" fontId="4" fillId="3" borderId="7" xfId="0" applyFont="1" applyFill="1" applyBorder="1" applyAlignment="1">
      <alignment horizontal="left" wrapText="1"/>
    </xf>
    <xf numFmtId="0" fontId="0" fillId="2" borderId="8" xfId="0" applyFill="1" applyBorder="1" applyAlignment="1"/>
    <xf numFmtId="0" fontId="5" fillId="2" borderId="9" xfId="0" applyFont="1" applyFill="1" applyBorder="1" applyAlignment="1">
      <alignment wrapText="1"/>
    </xf>
    <xf numFmtId="0" fontId="5" fillId="2" borderId="5" xfId="0" applyFont="1" applyFill="1" applyBorder="1"/>
    <xf numFmtId="0" fontId="5" fillId="2" borderId="7" xfId="0" applyFont="1" applyFill="1" applyBorder="1"/>
    <xf numFmtId="0" fontId="5" fillId="2" borderId="8" xfId="0" applyFont="1" applyFill="1" applyBorder="1" applyAlignment="1">
      <alignment wrapText="1"/>
    </xf>
    <xf numFmtId="0" fontId="2" fillId="2" borderId="0" xfId="0" applyFont="1" applyFill="1" applyAlignment="1">
      <alignment wrapText="1"/>
    </xf>
    <xf numFmtId="0" fontId="2" fillId="2" borderId="0" xfId="0" applyFont="1" applyFill="1"/>
    <xf numFmtId="0" fontId="2" fillId="2" borderId="3" xfId="0" applyFont="1" applyFill="1" applyBorder="1"/>
    <xf numFmtId="0" fontId="2" fillId="2" borderId="4" xfId="0" applyFont="1" applyFill="1" applyBorder="1" applyAlignment="1">
      <alignment wrapText="1"/>
    </xf>
    <xf numFmtId="0" fontId="2" fillId="3" borderId="6" xfId="0" applyFont="1" applyFill="1" applyBorder="1" applyAlignment="1">
      <alignment horizontal="left" wrapText="1"/>
    </xf>
    <xf numFmtId="0" fontId="2" fillId="3" borderId="7" xfId="0" applyFont="1" applyFill="1" applyBorder="1" applyAlignment="1">
      <alignment horizontal="left" wrapText="1"/>
    </xf>
    <xf numFmtId="0" fontId="2" fillId="3" borderId="10" xfId="0" applyFont="1" applyFill="1" applyBorder="1" applyAlignment="1">
      <alignment horizontal="left" wrapText="1"/>
    </xf>
    <xf numFmtId="0" fontId="2" fillId="3" borderId="5" xfId="0" applyFont="1" applyFill="1" applyBorder="1" applyAlignment="1">
      <alignment horizontal="left" wrapText="1"/>
    </xf>
    <xf numFmtId="0" fontId="5" fillId="2" borderId="5" xfId="0" applyFont="1" applyFill="1" applyBorder="1" applyAlignment="1">
      <alignment wrapText="1"/>
    </xf>
    <xf numFmtId="0" fontId="5" fillId="2" borderId="7" xfId="0" applyFont="1" applyFill="1" applyBorder="1" applyAlignment="1">
      <alignment wrapText="1"/>
    </xf>
    <xf numFmtId="0" fontId="2" fillId="2" borderId="9" xfId="0" applyFont="1" applyFill="1" applyBorder="1" applyAlignment="1"/>
    <xf numFmtId="0" fontId="2" fillId="2" borderId="8" xfId="0" applyFont="1" applyFill="1" applyBorder="1" applyAlignment="1"/>
    <xf numFmtId="0" fontId="2" fillId="3" borderId="9" xfId="0" applyFont="1" applyFill="1" applyBorder="1" applyAlignment="1">
      <alignment horizontal="left" wrapText="1"/>
    </xf>
    <xf numFmtId="0" fontId="5" fillId="2" borderId="9" xfId="0" applyFont="1" applyFill="1" applyBorder="1" applyAlignment="1">
      <alignment horizontal="left" wrapText="1"/>
    </xf>
    <xf numFmtId="0" fontId="5" fillId="2" borderId="9" xfId="0" applyFont="1" applyFill="1" applyBorder="1" applyAlignment="1">
      <alignment horizontal="left"/>
    </xf>
    <xf numFmtId="0" fontId="5" fillId="2" borderId="5" xfId="0" applyFont="1"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wrapText="1"/>
    </xf>
    <xf numFmtId="0" fontId="5" fillId="2" borderId="8" xfId="0" applyFont="1" applyFill="1" applyBorder="1"/>
    <xf numFmtId="0" fontId="5" fillId="2" borderId="0" xfId="0" applyFont="1" applyFill="1" applyAlignment="1">
      <alignment wrapText="1"/>
    </xf>
    <xf numFmtId="0" fontId="4" fillId="2" borderId="9" xfId="0" applyFont="1" applyFill="1" applyBorder="1" applyAlignment="1">
      <alignment wrapText="1"/>
    </xf>
    <xf numFmtId="0" fontId="2" fillId="2" borderId="8" xfId="0" applyFont="1" applyFill="1" applyBorder="1"/>
    <xf numFmtId="0" fontId="5" fillId="2" borderId="9" xfId="0" applyFont="1" applyFill="1" applyBorder="1" applyAlignment="1"/>
    <xf numFmtId="0" fontId="2" fillId="2" borderId="5" xfId="0" applyFont="1" applyFill="1" applyBorder="1" applyAlignment="1">
      <alignment horizontal="left" wrapText="1"/>
    </xf>
    <xf numFmtId="0" fontId="2" fillId="2" borderId="9" xfId="0" applyFont="1" applyFill="1" applyBorder="1" applyAlignment="1">
      <alignment wrapText="1"/>
    </xf>
    <xf numFmtId="0" fontId="5" fillId="2" borderId="0" xfId="0" applyFont="1" applyFill="1" applyAlignment="1"/>
    <xf numFmtId="0" fontId="4" fillId="2" borderId="5" xfId="0" applyFont="1" applyFill="1" applyBorder="1" applyAlignment="1">
      <alignment horizontal="left" wrapText="1"/>
    </xf>
    <xf numFmtId="0" fontId="5" fillId="2" borderId="0" xfId="0" applyFont="1" applyFill="1"/>
    <xf numFmtId="0" fontId="5" fillId="2" borderId="3" xfId="0" applyFont="1" applyFill="1" applyBorder="1"/>
    <xf numFmtId="0" fontId="5" fillId="2" borderId="4" xfId="0" applyFont="1" applyFill="1" applyBorder="1" applyAlignment="1">
      <alignment wrapText="1"/>
    </xf>
    <xf numFmtId="0" fontId="7" fillId="2" borderId="0" xfId="0" applyFont="1" applyFill="1" applyAlignment="1"/>
    <xf numFmtId="0" fontId="2" fillId="3" borderId="11" xfId="0" applyFont="1" applyFill="1" applyBorder="1" applyAlignment="1">
      <alignment horizontal="left" wrapText="1"/>
    </xf>
    <xf numFmtId="0" fontId="2" fillId="3" borderId="8" xfId="0" applyFont="1" applyFill="1" applyBorder="1" applyAlignment="1">
      <alignment horizontal="left" wrapText="1"/>
    </xf>
    <xf numFmtId="0" fontId="0" fillId="0" borderId="3" xfId="0" applyBorder="1"/>
    <xf numFmtId="0" fontId="0" fillId="0" borderId="4" xfId="0" applyBorder="1"/>
    <xf numFmtId="0" fontId="3" fillId="0" borderId="0" xfId="0" applyFont="1"/>
    <xf numFmtId="0" fontId="0" fillId="0" borderId="0" xfId="0" applyFont="1"/>
    <xf numFmtId="0" fontId="5" fillId="2" borderId="4" xfId="0" applyNumberFormat="1" applyFont="1" applyFill="1" applyBorder="1" applyAlignment="1">
      <alignment wrapText="1"/>
    </xf>
    <xf numFmtId="0" fontId="5" fillId="2" borderId="3" xfId="0" applyFont="1" applyFill="1" applyBorder="1" applyAlignment="1">
      <alignment horizontal="left"/>
    </xf>
    <xf numFmtId="0" fontId="5" fillId="2" borderId="4" xfId="0" applyNumberFormat="1" applyFont="1" applyFill="1" applyBorder="1" applyAlignment="1">
      <alignment horizontal="left" wrapText="1"/>
    </xf>
    <xf numFmtId="0" fontId="5" fillId="2" borderId="0" xfId="0" applyFont="1" applyFill="1" applyBorder="1" applyAlignment="1">
      <alignment horizontal="left"/>
    </xf>
    <xf numFmtId="0" fontId="5" fillId="2" borderId="5" xfId="0" applyFont="1" applyFill="1" applyBorder="1" applyAlignment="1">
      <alignment horizontal="left" wrapText="1"/>
    </xf>
    <xf numFmtId="0" fontId="5" fillId="2" borderId="0" xfId="0" applyFont="1" applyFill="1" applyBorder="1" applyAlignment="1">
      <alignment wrapText="1"/>
    </xf>
    <xf numFmtId="0" fontId="10" fillId="0" borderId="9" xfId="0" applyFont="1" applyFill="1" applyBorder="1" applyAlignment="1">
      <alignment wrapText="1"/>
    </xf>
    <xf numFmtId="0" fontId="10" fillId="0" borderId="5" xfId="0" applyFont="1" applyFill="1" applyBorder="1" applyAlignment="1">
      <alignment wrapText="1"/>
    </xf>
    <xf numFmtId="0" fontId="10" fillId="0" borderId="3" xfId="0" applyFont="1" applyFill="1" applyBorder="1" applyAlignment="1">
      <alignment wrapText="1"/>
    </xf>
    <xf numFmtId="0" fontId="10" fillId="0" borderId="4" xfId="0" applyNumberFormat="1" applyFont="1" applyFill="1" applyBorder="1" applyAlignment="1">
      <alignment wrapText="1"/>
    </xf>
    <xf numFmtId="0" fontId="5"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5" fillId="2" borderId="6" xfId="0" applyFont="1" applyFill="1" applyBorder="1" applyAlignment="1">
      <alignment horizontal="left" wrapText="1"/>
    </xf>
    <xf numFmtId="0" fontId="5" fillId="2" borderId="6" xfId="0" applyFont="1" applyFill="1" applyBorder="1" applyAlignment="1">
      <alignment wrapText="1"/>
    </xf>
    <xf numFmtId="0" fontId="5" fillId="2" borderId="3" xfId="0" applyFont="1" applyFill="1" applyBorder="1" applyAlignment="1">
      <alignment horizontal="left" wrapText="1"/>
    </xf>
    <xf numFmtId="0" fontId="2" fillId="4" borderId="9" xfId="0" applyFont="1" applyFill="1" applyBorder="1" applyAlignment="1">
      <alignment wrapText="1"/>
    </xf>
    <xf numFmtId="0" fontId="2" fillId="4" borderId="5" xfId="0" applyFont="1" applyFill="1" applyBorder="1"/>
    <xf numFmtId="0" fontId="2" fillId="4" borderId="7" xfId="0" applyFont="1" applyFill="1" applyBorder="1"/>
    <xf numFmtId="0" fontId="2" fillId="4" borderId="8" xfId="0" applyFont="1" applyFill="1" applyBorder="1" applyAlignment="1">
      <alignment wrapText="1"/>
    </xf>
    <xf numFmtId="0" fontId="0" fillId="4" borderId="9" xfId="0" applyFont="1" applyFill="1" applyBorder="1" applyAlignment="1">
      <alignment wrapText="1"/>
    </xf>
    <xf numFmtId="0" fontId="6" fillId="4" borderId="9" xfId="0" applyFont="1" applyFill="1" applyBorder="1" applyAlignment="1">
      <alignment wrapText="1"/>
    </xf>
    <xf numFmtId="0" fontId="2" fillId="4" borderId="5" xfId="0" applyFont="1" applyFill="1" applyBorder="1" applyAlignment="1">
      <alignment wrapText="1"/>
    </xf>
    <xf numFmtId="0" fontId="2" fillId="4" borderId="7" xfId="0" applyFont="1" applyFill="1" applyBorder="1" applyAlignment="1">
      <alignment wrapText="1"/>
    </xf>
    <xf numFmtId="0" fontId="2" fillId="4" borderId="9" xfId="0" applyFont="1" applyFill="1" applyBorder="1" applyAlignment="1"/>
    <xf numFmtId="0" fontId="7" fillId="4" borderId="9" xfId="0" applyFont="1" applyFill="1" applyBorder="1" applyAlignment="1">
      <alignment wrapText="1"/>
    </xf>
    <xf numFmtId="0" fontId="7" fillId="4" borderId="5" xfId="0" applyFont="1" applyFill="1" applyBorder="1" applyAlignment="1">
      <alignment wrapText="1"/>
    </xf>
    <xf numFmtId="0" fontId="7" fillId="4" borderId="7" xfId="0" applyFont="1" applyFill="1" applyBorder="1" applyAlignment="1">
      <alignment wrapText="1"/>
    </xf>
    <xf numFmtId="0" fontId="7" fillId="4" borderId="8" xfId="0" applyFont="1" applyFill="1" applyBorder="1" applyAlignment="1">
      <alignment wrapText="1"/>
    </xf>
    <xf numFmtId="0" fontId="7" fillId="4" borderId="3" xfId="0" applyFont="1" applyFill="1" applyBorder="1" applyAlignment="1">
      <alignment wrapText="1"/>
    </xf>
    <xf numFmtId="0" fontId="7" fillId="4" borderId="4" xfId="0" applyNumberFormat="1" applyFont="1" applyFill="1" applyBorder="1" applyAlignment="1">
      <alignment wrapText="1"/>
    </xf>
    <xf numFmtId="0" fontId="7" fillId="4" borderId="0" xfId="0" applyFont="1" applyFill="1" applyBorder="1" applyAlignment="1">
      <alignment wrapText="1"/>
    </xf>
    <xf numFmtId="0" fontId="4" fillId="5" borderId="9" xfId="0" applyFont="1" applyFill="1" applyBorder="1" applyAlignment="1">
      <alignment horizontal="left" wrapText="1"/>
    </xf>
    <xf numFmtId="0" fontId="4" fillId="4" borderId="9" xfId="0" applyFont="1" applyFill="1" applyBorder="1" applyAlignment="1">
      <alignment horizontal="left"/>
    </xf>
    <xf numFmtId="0" fontId="4" fillId="4" borderId="9" xfId="0" applyFont="1" applyFill="1" applyBorder="1" applyAlignment="1">
      <alignment horizontal="left" wrapText="1"/>
    </xf>
    <xf numFmtId="0" fontId="2" fillId="4" borderId="5" xfId="0" applyFont="1" applyFill="1" applyBorder="1" applyAlignment="1">
      <alignment horizontal="left"/>
    </xf>
    <xf numFmtId="0" fontId="2" fillId="4" borderId="7" xfId="0" applyFont="1" applyFill="1" applyBorder="1" applyAlignment="1">
      <alignment horizontal="left"/>
    </xf>
    <xf numFmtId="0" fontId="2" fillId="4" borderId="8" xfId="0" applyFont="1" applyFill="1" applyBorder="1" applyAlignment="1">
      <alignment horizontal="left" wrapText="1"/>
    </xf>
    <xf numFmtId="0" fontId="7" fillId="4" borderId="9" xfId="0" applyFont="1" applyFill="1" applyBorder="1" applyAlignment="1">
      <alignment horizontal="left" wrapText="1"/>
    </xf>
    <xf numFmtId="0" fontId="7" fillId="4" borderId="5" xfId="0" applyFont="1" applyFill="1" applyBorder="1" applyAlignment="1">
      <alignment horizontal="left"/>
    </xf>
    <xf numFmtId="0" fontId="7" fillId="4" borderId="7" xfId="0" applyFont="1" applyFill="1" applyBorder="1" applyAlignment="1">
      <alignment horizontal="left"/>
    </xf>
    <xf numFmtId="0" fontId="7" fillId="4" borderId="8" xfId="0" applyFont="1" applyFill="1" applyBorder="1" applyAlignment="1">
      <alignment horizontal="left" wrapText="1"/>
    </xf>
    <xf numFmtId="0" fontId="4" fillId="4" borderId="9" xfId="0" applyFont="1" applyFill="1" applyBorder="1" applyAlignment="1">
      <alignment wrapText="1"/>
    </xf>
    <xf numFmtId="0" fontId="7" fillId="4" borderId="0" xfId="0" applyFont="1" applyFill="1" applyBorder="1" applyAlignment="1">
      <alignment horizontal="left" wrapText="1"/>
    </xf>
    <xf numFmtId="0" fontId="7" fillId="4" borderId="5" xfId="0" applyFont="1" applyFill="1" applyBorder="1" applyAlignment="1">
      <alignment horizontal="left" wrapText="1"/>
    </xf>
    <xf numFmtId="0" fontId="7" fillId="4" borderId="0" xfId="0" applyFont="1" applyFill="1" applyBorder="1" applyAlignment="1">
      <alignment horizontal="left"/>
    </xf>
    <xf numFmtId="0" fontId="7" fillId="4" borderId="3" xfId="0" applyFont="1" applyFill="1" applyBorder="1" applyAlignment="1">
      <alignment horizontal="left"/>
    </xf>
    <xf numFmtId="0" fontId="7" fillId="4" borderId="4" xfId="0" applyNumberFormat="1" applyFont="1" applyFill="1" applyBorder="1" applyAlignment="1">
      <alignment horizontal="left" wrapText="1"/>
    </xf>
    <xf numFmtId="0" fontId="4" fillId="4" borderId="9" xfId="0" applyFont="1" applyFill="1" applyBorder="1" applyAlignment="1"/>
    <xf numFmtId="0" fontId="7" fillId="4" borderId="9" xfId="0" applyFont="1" applyFill="1" applyBorder="1" applyAlignment="1"/>
    <xf numFmtId="0" fontId="5" fillId="4" borderId="0" xfId="0" applyFont="1" applyFill="1"/>
    <xf numFmtId="0" fontId="5" fillId="4" borderId="3" xfId="0" applyFont="1" applyFill="1" applyBorder="1"/>
    <xf numFmtId="0" fontId="5" fillId="4" borderId="4" xfId="0" applyNumberFormat="1" applyFont="1" applyFill="1" applyBorder="1" applyAlignment="1">
      <alignment wrapText="1"/>
    </xf>
    <xf numFmtId="0" fontId="4" fillId="6" borderId="9" xfId="0" applyFont="1" applyFill="1" applyBorder="1" applyAlignment="1">
      <alignment horizontal="left" wrapText="1"/>
    </xf>
    <xf numFmtId="0" fontId="7" fillId="2" borderId="9" xfId="0" applyFont="1" applyFill="1" applyBorder="1" applyAlignment="1">
      <alignment wrapText="1"/>
    </xf>
    <xf numFmtId="0" fontId="7" fillId="7" borderId="9" xfId="0" applyFont="1" applyFill="1" applyBorder="1" applyAlignment="1">
      <alignment horizontal="left" wrapText="1"/>
    </xf>
    <xf numFmtId="0" fontId="7" fillId="7" borderId="5" xfId="0" applyFont="1" applyFill="1" applyBorder="1" applyAlignment="1">
      <alignment horizontal="left"/>
    </xf>
    <xf numFmtId="0" fontId="7" fillId="7" borderId="7" xfId="0" applyFont="1" applyFill="1" applyBorder="1" applyAlignment="1">
      <alignment horizontal="left"/>
    </xf>
    <xf numFmtId="0" fontId="7" fillId="7" borderId="8" xfId="0" applyFont="1" applyFill="1" applyBorder="1" applyAlignment="1">
      <alignment horizontal="left" wrapText="1"/>
    </xf>
    <xf numFmtId="0" fontId="5" fillId="2" borderId="3" xfId="0" applyFont="1" applyFill="1" applyBorder="1" applyAlignment="1">
      <alignment wrapText="1"/>
    </xf>
    <xf numFmtId="0" fontId="0" fillId="4" borderId="9" xfId="0" applyFill="1" applyBorder="1" applyAlignment="1">
      <alignment wrapText="1"/>
    </xf>
    <xf numFmtId="0" fontId="7" fillId="8" borderId="9" xfId="0" applyFont="1" applyFill="1" applyBorder="1" applyAlignment="1">
      <alignment wrapText="1"/>
    </xf>
    <xf numFmtId="0" fontId="7" fillId="8" borderId="0" xfId="0" applyFont="1" applyFill="1" applyAlignment="1"/>
    <xf numFmtId="0" fontId="7" fillId="8" borderId="0" xfId="0" applyFont="1" applyFill="1" applyAlignment="1">
      <alignment wrapText="1"/>
    </xf>
    <xf numFmtId="0" fontId="7" fillId="8" borderId="5" xfId="0" applyFont="1" applyFill="1" applyBorder="1"/>
    <xf numFmtId="0" fontId="7" fillId="8" borderId="7" xfId="0" applyFont="1" applyFill="1" applyBorder="1"/>
    <xf numFmtId="0" fontId="7" fillId="8" borderId="8" xfId="0" applyFont="1" applyFill="1" applyBorder="1" applyAlignment="1">
      <alignment wrapText="1"/>
    </xf>
    <xf numFmtId="0" fontId="14" fillId="2" borderId="0" xfId="0" applyFont="1" applyFill="1" applyBorder="1" applyAlignment="1">
      <alignment horizontal="left" wrapText="1"/>
    </xf>
    <xf numFmtId="0" fontId="14" fillId="2" borderId="0" xfId="0" applyFont="1" applyFill="1" applyBorder="1" applyAlignment="1">
      <alignment wrapText="1"/>
    </xf>
    <xf numFmtId="0" fontId="14" fillId="2" borderId="0" xfId="0" applyFont="1" applyFill="1" applyBorder="1" applyAlignment="1">
      <alignment horizontal="left"/>
    </xf>
    <xf numFmtId="0" fontId="14" fillId="2" borderId="3" xfId="0" applyFont="1" applyFill="1" applyBorder="1" applyAlignment="1">
      <alignment horizontal="left"/>
    </xf>
    <xf numFmtId="0" fontId="14" fillId="2" borderId="4" xfId="0" applyNumberFormat="1" applyFont="1" applyFill="1" applyBorder="1" applyAlignment="1">
      <alignment horizontal="left" wrapText="1"/>
    </xf>
    <xf numFmtId="0" fontId="14" fillId="9" borderId="9" xfId="0" applyFont="1" applyFill="1" applyBorder="1" applyAlignment="1">
      <alignment horizontal="left" wrapText="1"/>
    </xf>
    <xf numFmtId="0" fontId="14" fillId="2" borderId="9" xfId="0" applyFont="1" applyFill="1" applyBorder="1" applyAlignment="1">
      <alignment wrapText="1"/>
    </xf>
    <xf numFmtId="0" fontId="14" fillId="2" borderId="5" xfId="0" applyFont="1" applyFill="1" applyBorder="1" applyAlignment="1">
      <alignment wrapText="1"/>
    </xf>
    <xf numFmtId="0" fontId="14" fillId="2" borderId="3" xfId="0" applyFont="1" applyFill="1" applyBorder="1" applyAlignment="1">
      <alignment wrapText="1"/>
    </xf>
    <xf numFmtId="0" fontId="14" fillId="2" borderId="4" xfId="0" applyNumberFormat="1" applyFont="1" applyFill="1" applyBorder="1" applyAlignment="1">
      <alignment wrapText="1"/>
    </xf>
    <xf numFmtId="0" fontId="14" fillId="2" borderId="9" xfId="0" applyFont="1" applyFill="1" applyBorder="1" applyAlignment="1">
      <alignment horizontal="left" wrapText="1"/>
    </xf>
    <xf numFmtId="0" fontId="14" fillId="2" borderId="5" xfId="0" applyFont="1" applyFill="1" applyBorder="1" applyAlignment="1">
      <alignment horizontal="left"/>
    </xf>
    <xf numFmtId="0" fontId="14" fillId="2" borderId="7" xfId="0" applyFont="1" applyFill="1" applyBorder="1" applyAlignment="1">
      <alignment horizontal="left"/>
    </xf>
    <xf numFmtId="0" fontId="14" fillId="2" borderId="8" xfId="0" applyFont="1" applyFill="1" applyBorder="1" applyAlignment="1">
      <alignment horizontal="left" wrapText="1"/>
    </xf>
    <xf numFmtId="0" fontId="7" fillId="10" borderId="9" xfId="0" applyFont="1" applyFill="1" applyBorder="1" applyAlignment="1">
      <alignment wrapText="1"/>
    </xf>
    <xf numFmtId="0" fontId="7" fillId="10" borderId="5" xfId="0" applyFont="1" applyFill="1" applyBorder="1" applyAlignment="1">
      <alignment wrapText="1"/>
    </xf>
    <xf numFmtId="0" fontId="7" fillId="10" borderId="3" xfId="0" applyFont="1" applyFill="1" applyBorder="1" applyAlignment="1">
      <alignment wrapText="1"/>
    </xf>
    <xf numFmtId="0" fontId="7" fillId="10" borderId="4" xfId="0" applyNumberFormat="1" applyFont="1" applyFill="1" applyBorder="1" applyAlignment="1">
      <alignment wrapText="1"/>
    </xf>
    <xf numFmtId="0" fontId="7" fillId="10" borderId="0" xfId="0" applyFont="1" applyFill="1" applyBorder="1" applyAlignment="1">
      <alignment horizontal="left" wrapText="1"/>
    </xf>
    <xf numFmtId="0" fontId="7" fillId="10" borderId="5" xfId="0" applyFont="1" applyFill="1" applyBorder="1" applyAlignment="1">
      <alignment horizontal="left" wrapText="1"/>
    </xf>
    <xf numFmtId="0" fontId="7" fillId="10" borderId="0" xfId="0" applyFont="1" applyFill="1" applyBorder="1" applyAlignment="1">
      <alignment horizontal="left"/>
    </xf>
    <xf numFmtId="0" fontId="7" fillId="10" borderId="3" xfId="0" applyFont="1" applyFill="1" applyBorder="1" applyAlignment="1">
      <alignment horizontal="left"/>
    </xf>
    <xf numFmtId="0" fontId="7" fillId="10" borderId="4" xfId="0" applyNumberFormat="1" applyFont="1" applyFill="1" applyBorder="1" applyAlignment="1">
      <alignment horizontal="left" wrapText="1"/>
    </xf>
    <xf numFmtId="0" fontId="14" fillId="2" borderId="5" xfId="0" applyFont="1" applyFill="1" applyBorder="1"/>
    <xf numFmtId="0" fontId="14" fillId="2" borderId="7" xfId="0" applyFont="1" applyFill="1" applyBorder="1"/>
    <xf numFmtId="0" fontId="14" fillId="2" borderId="8" xfId="0" applyFont="1" applyFill="1" applyBorder="1" applyAlignment="1">
      <alignment wrapText="1"/>
    </xf>
    <xf numFmtId="0" fontId="7" fillId="11" borderId="9" xfId="0" applyFont="1" applyFill="1" applyBorder="1" applyAlignment="1">
      <alignment horizontal="left" wrapText="1"/>
    </xf>
    <xf numFmtId="0" fontId="7" fillId="12" borderId="0" xfId="0" applyFont="1" applyFill="1" applyBorder="1" applyAlignment="1">
      <alignment wrapText="1"/>
    </xf>
    <xf numFmtId="0" fontId="7" fillId="12" borderId="9" xfId="0" applyFont="1" applyFill="1" applyBorder="1" applyAlignment="1">
      <alignment wrapText="1"/>
    </xf>
    <xf numFmtId="0" fontId="7" fillId="12" borderId="5" xfId="0" applyFont="1" applyFill="1" applyBorder="1" applyAlignment="1">
      <alignment wrapText="1"/>
    </xf>
    <xf numFmtId="0" fontId="7" fillId="12" borderId="3" xfId="0" applyFont="1" applyFill="1" applyBorder="1" applyAlignment="1">
      <alignment wrapText="1"/>
    </xf>
    <xf numFmtId="0" fontId="7" fillId="12" borderId="4" xfId="0" applyNumberFormat="1" applyFont="1" applyFill="1" applyBorder="1" applyAlignment="1">
      <alignment wrapText="1"/>
    </xf>
    <xf numFmtId="0" fontId="0" fillId="4" borderId="9" xfId="0" applyFont="1" applyFill="1" applyBorder="1" applyAlignment="1">
      <alignment horizontal="left" wrapText="1"/>
    </xf>
    <xf numFmtId="0" fontId="0" fillId="2" borderId="9" xfId="0" applyFont="1" applyFill="1" applyBorder="1" applyAlignment="1">
      <alignment wrapText="1"/>
    </xf>
    <xf numFmtId="0" fontId="0" fillId="2" borderId="9" xfId="0" applyFont="1" applyFill="1" applyBorder="1" applyAlignment="1">
      <alignment horizontal="left" wrapText="1"/>
    </xf>
    <xf numFmtId="0" fontId="13" fillId="3" borderId="6" xfId="0" applyFont="1" applyFill="1" applyBorder="1" applyAlignment="1">
      <alignment horizontal="left" wrapText="1"/>
    </xf>
    <xf numFmtId="0" fontId="1" fillId="4" borderId="9" xfId="0" applyFont="1" applyFill="1" applyBorder="1" applyAlignment="1">
      <alignment wrapText="1"/>
    </xf>
    <xf numFmtId="0" fontId="1" fillId="2" borderId="0" xfId="0" applyFont="1" applyFill="1" applyAlignment="1">
      <alignment wrapText="1"/>
    </xf>
    <xf numFmtId="0" fontId="1" fillId="3" borderId="6" xfId="0" applyFont="1" applyFill="1" applyBorder="1" applyAlignment="1">
      <alignment horizontal="left" wrapText="1"/>
    </xf>
    <xf numFmtId="0" fontId="16" fillId="4" borderId="9" xfId="0" applyFont="1" applyFill="1" applyBorder="1" applyAlignment="1">
      <alignment wrapText="1"/>
    </xf>
    <xf numFmtId="0" fontId="13" fillId="12" borderId="9" xfId="0" applyFont="1" applyFill="1" applyBorder="1" applyAlignment="1">
      <alignment wrapText="1"/>
    </xf>
    <xf numFmtId="0" fontId="1" fillId="4" borderId="9" xfId="0" applyFont="1" applyFill="1" applyBorder="1" applyAlignment="1">
      <alignment horizontal="left" wrapText="1"/>
    </xf>
    <xf numFmtId="0" fontId="7" fillId="4" borderId="0" xfId="0" applyFont="1" applyFill="1" applyAlignment="1">
      <alignment wrapText="1"/>
    </xf>
    <xf numFmtId="0" fontId="1" fillId="3" borderId="5" xfId="0" applyFont="1" applyFill="1" applyBorder="1" applyAlignment="1">
      <alignment horizontal="left" wrapText="1"/>
    </xf>
    <xf numFmtId="0" fontId="4" fillId="3" borderId="6" xfId="0" applyFont="1" applyFill="1" applyBorder="1" applyAlignment="1">
      <alignment horizontal="left" vertical="top" wrapText="1"/>
    </xf>
    <xf numFmtId="0" fontId="0" fillId="4" borderId="9" xfId="0" applyFont="1" applyFill="1" applyBorder="1" applyAlignment="1">
      <alignment vertical="top" wrapText="1"/>
    </xf>
    <xf numFmtId="0" fontId="5" fillId="2" borderId="9" xfId="0" applyFont="1" applyFill="1" applyBorder="1" applyAlignment="1">
      <alignment vertical="top" wrapText="1"/>
    </xf>
    <xf numFmtId="0" fontId="2" fillId="4" borderId="9" xfId="0" applyFont="1" applyFill="1" applyBorder="1" applyAlignment="1">
      <alignment vertical="top" wrapText="1"/>
    </xf>
    <xf numFmtId="0" fontId="2" fillId="2" borderId="0" xfId="0" applyFont="1" applyFill="1" applyAlignment="1">
      <alignment vertical="top" wrapText="1"/>
    </xf>
    <xf numFmtId="0" fontId="2" fillId="3" borderId="6" xfId="0" applyFont="1" applyFill="1" applyBorder="1" applyAlignment="1">
      <alignment horizontal="left" vertical="top" wrapText="1"/>
    </xf>
    <xf numFmtId="0" fontId="10" fillId="0" borderId="9" xfId="0" applyFont="1" applyFill="1" applyBorder="1" applyAlignment="1">
      <alignment vertical="top" wrapText="1"/>
    </xf>
    <xf numFmtId="0" fontId="14" fillId="2" borderId="0" xfId="0" applyFont="1" applyFill="1" applyBorder="1" applyAlignment="1">
      <alignment vertical="top" wrapText="1"/>
    </xf>
    <xf numFmtId="0" fontId="7" fillId="4" borderId="9" xfId="0" applyFont="1" applyFill="1" applyBorder="1" applyAlignment="1">
      <alignment vertical="top" wrapText="1"/>
    </xf>
    <xf numFmtId="0" fontId="7" fillId="10" borderId="9" xfId="0" applyFont="1" applyFill="1" applyBorder="1" applyAlignment="1">
      <alignment vertical="top" wrapText="1"/>
    </xf>
    <xf numFmtId="0" fontId="7" fillId="2" borderId="9" xfId="0" applyFont="1" applyFill="1" applyBorder="1" applyAlignment="1">
      <alignment vertical="top" wrapText="1"/>
    </xf>
    <xf numFmtId="0" fontId="7" fillId="4" borderId="0" xfId="0" applyFont="1" applyFill="1" applyBorder="1" applyAlignment="1">
      <alignment vertical="top" wrapText="1"/>
    </xf>
    <xf numFmtId="0" fontId="7" fillId="12" borderId="0" xfId="0" applyFont="1" applyFill="1" applyBorder="1" applyAlignment="1">
      <alignment vertical="top" wrapText="1"/>
    </xf>
    <xf numFmtId="0" fontId="0" fillId="4" borderId="9" xfId="0" applyFont="1" applyFill="1" applyBorder="1" applyAlignment="1">
      <alignment horizontal="left" vertical="top" wrapText="1"/>
    </xf>
    <xf numFmtId="0" fontId="2" fillId="4" borderId="9" xfId="0" applyFont="1" applyFill="1" applyBorder="1" applyAlignment="1">
      <alignment horizontal="left" vertical="top" wrapText="1"/>
    </xf>
    <xf numFmtId="0" fontId="7" fillId="7" borderId="9" xfId="0" applyFont="1" applyFill="1" applyBorder="1" applyAlignment="1">
      <alignment horizontal="left" vertical="top" wrapText="1"/>
    </xf>
    <xf numFmtId="0" fontId="5" fillId="2" borderId="9" xfId="0" applyFont="1" applyFill="1" applyBorder="1" applyAlignment="1">
      <alignment horizontal="left" vertical="top" wrapText="1"/>
    </xf>
    <xf numFmtId="0" fontId="7" fillId="2" borderId="9" xfId="0" applyFont="1" applyFill="1" applyBorder="1" applyAlignment="1">
      <alignment horizontal="left" vertical="top" wrapText="1"/>
    </xf>
    <xf numFmtId="0" fontId="5" fillId="2" borderId="0" xfId="0" applyFont="1" applyFill="1" applyBorder="1" applyAlignment="1">
      <alignment vertical="top" wrapText="1"/>
    </xf>
    <xf numFmtId="0" fontId="2" fillId="2" borderId="9" xfId="0" applyFont="1" applyFill="1" applyBorder="1" applyAlignment="1">
      <alignment vertical="top" wrapText="1"/>
    </xf>
    <xf numFmtId="0" fontId="2" fillId="2" borderId="6" xfId="0" applyFont="1" applyFill="1" applyBorder="1" applyAlignment="1">
      <alignment vertical="top" wrapText="1"/>
    </xf>
    <xf numFmtId="0" fontId="5" fillId="2" borderId="6" xfId="0" applyFont="1" applyFill="1" applyBorder="1" applyAlignment="1">
      <alignment vertical="top" wrapText="1"/>
    </xf>
    <xf numFmtId="0" fontId="13" fillId="2" borderId="9" xfId="0" applyFont="1" applyFill="1" applyBorder="1" applyAlignment="1">
      <alignment vertical="top" wrapText="1"/>
    </xf>
    <xf numFmtId="0" fontId="7" fillId="8" borderId="9" xfId="0" applyFont="1" applyFill="1" applyBorder="1" applyAlignment="1">
      <alignment vertical="top" wrapText="1"/>
    </xf>
    <xf numFmtId="0" fontId="5" fillId="4" borderId="0" xfId="0" applyFont="1" applyFill="1" applyAlignment="1">
      <alignment vertical="top" wrapText="1"/>
    </xf>
    <xf numFmtId="0" fontId="2" fillId="3" borderId="5" xfId="0" applyFont="1" applyFill="1" applyBorder="1" applyAlignment="1">
      <alignment horizontal="left" vertical="top" wrapText="1"/>
    </xf>
    <xf numFmtId="9" fontId="5" fillId="2" borderId="9" xfId="0" applyNumberFormat="1" applyFont="1" applyFill="1" applyBorder="1" applyAlignment="1">
      <alignment horizontal="left" vertical="top" wrapText="1"/>
    </xf>
    <xf numFmtId="0" fontId="5" fillId="2" borderId="0" xfId="0" applyFont="1" applyFill="1" applyAlignment="1">
      <alignment horizontal="left" vertical="top" wrapText="1"/>
    </xf>
    <xf numFmtId="0" fontId="2" fillId="2" borderId="0" xfId="0" applyFont="1" applyFill="1" applyAlignment="1">
      <alignment horizontal="left" vertical="top" wrapText="1"/>
    </xf>
    <xf numFmtId="0" fontId="1" fillId="2" borderId="9" xfId="0" applyFont="1" applyFill="1" applyBorder="1" applyAlignment="1">
      <alignment wrapText="1"/>
    </xf>
    <xf numFmtId="0" fontId="5" fillId="2" borderId="0" xfId="0" applyFont="1" applyFill="1" applyBorder="1" applyAlignment="1">
      <alignment horizontal="left" wrapText="1"/>
    </xf>
    <xf numFmtId="0" fontId="0" fillId="2" borderId="9" xfId="0" applyFont="1" applyFill="1" applyBorder="1" applyAlignment="1">
      <alignment vertical="top" wrapText="1"/>
    </xf>
    <xf numFmtId="0" fontId="1" fillId="4" borderId="9" xfId="0" applyFont="1" applyFill="1" applyBorder="1" applyAlignment="1">
      <alignment horizontal="left" vertical="top" wrapText="1"/>
    </xf>
    <xf numFmtId="0" fontId="13" fillId="13" borderId="0" xfId="0" applyFont="1" applyFill="1" applyAlignment="1">
      <alignment wrapText="1"/>
    </xf>
    <xf numFmtId="0" fontId="17" fillId="2" borderId="9" xfId="0" applyFont="1" applyFill="1" applyBorder="1" applyAlignment="1">
      <alignment wrapText="1"/>
    </xf>
    <xf numFmtId="0" fontId="0" fillId="2" borderId="0" xfId="0" applyFont="1" applyFill="1" applyAlignment="1">
      <alignment wrapText="1"/>
    </xf>
    <xf numFmtId="0" fontId="7" fillId="2" borderId="0" xfId="0" applyFont="1" applyFill="1" applyAlignment="1">
      <alignment vertical="top" wrapText="1"/>
    </xf>
    <xf numFmtId="0" fontId="7" fillId="2" borderId="0" xfId="0" applyFont="1" applyFill="1" applyAlignment="1">
      <alignment wrapText="1"/>
    </xf>
    <xf numFmtId="0" fontId="7" fillId="4" borderId="9" xfId="0" applyFont="1" applyFill="1" applyBorder="1" applyAlignment="1">
      <alignment horizontal="left" vertical="top" wrapText="1"/>
    </xf>
    <xf numFmtId="0" fontId="7" fillId="5" borderId="12" xfId="0" applyFont="1" applyFill="1" applyBorder="1" applyAlignment="1">
      <alignment wrapText="1"/>
    </xf>
    <xf numFmtId="0" fontId="0" fillId="4" borderId="5" xfId="0" applyFont="1" applyFill="1" applyBorder="1"/>
    <xf numFmtId="0" fontId="2"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4" fillId="0" borderId="0" xfId="0" applyFont="1" applyAlignment="1">
      <alignment wrapText="1"/>
    </xf>
    <xf numFmtId="0" fontId="6" fillId="0" borderId="0" xfId="0" applyFont="1" applyFill="1" applyBorder="1" applyAlignment="1">
      <alignment wrapText="1"/>
    </xf>
    <xf numFmtId="0" fontId="18" fillId="0" borderId="0" xfId="0" applyFont="1" applyFill="1" applyBorder="1" applyAlignment="1"/>
    <xf numFmtId="0" fontId="18" fillId="0" borderId="0" xfId="0" applyFont="1" applyFill="1" applyBorder="1" applyAlignment="1">
      <alignment wrapText="1"/>
    </xf>
    <xf numFmtId="0" fontId="19" fillId="0" borderId="0" xfId="0" applyFont="1"/>
    <xf numFmtId="0" fontId="18" fillId="0" borderId="0" xfId="0" applyFont="1"/>
    <xf numFmtId="0" fontId="18" fillId="0" borderId="0" xfId="0" applyFont="1" applyAlignment="1">
      <alignment wrapText="1"/>
    </xf>
    <xf numFmtId="0" fontId="4" fillId="0" borderId="0" xfId="0" applyFont="1"/>
    <xf numFmtId="0" fontId="0" fillId="0" borderId="0" xfId="0" applyFill="1" applyAlignment="1">
      <alignment wrapText="1"/>
    </xf>
    <xf numFmtId="0" fontId="11" fillId="0" borderId="0" xfId="0" applyFont="1" applyAlignment="1"/>
    <xf numFmtId="0" fontId="20" fillId="0" borderId="0" xfId="0" applyFont="1"/>
    <xf numFmtId="0" fontId="7" fillId="6" borderId="9" xfId="0" applyFont="1" applyFill="1" applyBorder="1" applyAlignment="1">
      <alignment wrapText="1"/>
    </xf>
    <xf numFmtId="0" fontId="0" fillId="0" borderId="9" xfId="0" applyBorder="1" applyAlignment="1">
      <alignment wrapText="1"/>
    </xf>
    <xf numFmtId="0" fontId="0" fillId="10" borderId="9" xfId="0" applyFont="1" applyFill="1" applyBorder="1" applyAlignment="1">
      <alignment vertical="top" wrapText="1"/>
    </xf>
    <xf numFmtId="0" fontId="1" fillId="10" borderId="9" xfId="0" applyFont="1" applyFill="1" applyBorder="1" applyAlignment="1">
      <alignment wrapText="1"/>
    </xf>
    <xf numFmtId="164" fontId="0" fillId="4" borderId="9" xfId="0" applyNumberFormat="1" applyFont="1" applyFill="1" applyBorder="1" applyAlignment="1">
      <alignment vertical="top" wrapText="1"/>
    </xf>
    <xf numFmtId="0" fontId="20" fillId="0" borderId="0" xfId="0" applyFont="1" applyAlignment="1">
      <alignment horizontal="center" wrapText="1"/>
    </xf>
    <xf numFmtId="0" fontId="3" fillId="2" borderId="1" xfId="0" applyFont="1" applyFill="1" applyBorder="1" applyAlignment="1">
      <alignment horizontal="center"/>
    </xf>
    <xf numFmtId="0" fontId="3" fillId="2" borderId="2" xfId="0" applyFont="1" applyFill="1" applyBorder="1" applyAlignment="1">
      <alignment horizontal="center"/>
    </xf>
    <xf numFmtId="17" fontId="12" fillId="0" borderId="0" xfId="0" applyNumberFormat="1" applyFont="1" applyAlignment="1">
      <alignment horizontal="right" wrapText="1"/>
    </xf>
    <xf numFmtId="0" fontId="12" fillId="0" borderId="0" xfId="0" applyFont="1" applyAlignment="1">
      <alignment horizontal="right" wrapText="1"/>
    </xf>
    <xf numFmtId="0" fontId="0" fillId="0" borderId="0" xfId="0" applyAlignment="1">
      <alignment horizontal="center"/>
    </xf>
    <xf numFmtId="0" fontId="0" fillId="4" borderId="13" xfId="0" applyFont="1" applyFill="1" applyBorder="1" applyAlignment="1">
      <alignment wrapText="1"/>
    </xf>
  </cellXfs>
  <cellStyles count="285">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64577</xdr:colOff>
      <xdr:row>1</xdr:row>
      <xdr:rowOff>96864</xdr:rowOff>
    </xdr:from>
    <xdr:to>
      <xdr:col>1</xdr:col>
      <xdr:colOff>301323</xdr:colOff>
      <xdr:row>6</xdr:row>
      <xdr:rowOff>59959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577" y="290593"/>
          <a:ext cx="4240475" cy="1114705"/>
        </a:xfrm>
        <a:prstGeom prst="rect">
          <a:avLst/>
        </a:prstGeom>
      </xdr:spPr>
    </xdr:pic>
    <xdr:clientData/>
  </xdr:twoCellAnchor>
  <xdr:twoCellAnchor editAs="oneCell">
    <xdr:from>
      <xdr:col>1</xdr:col>
      <xdr:colOff>312119</xdr:colOff>
      <xdr:row>1</xdr:row>
      <xdr:rowOff>226017</xdr:rowOff>
    </xdr:from>
    <xdr:to>
      <xdr:col>2</xdr:col>
      <xdr:colOff>694117</xdr:colOff>
      <xdr:row>5</xdr:row>
      <xdr:rowOff>164455</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15848" y="419746"/>
          <a:ext cx="3157855" cy="896319"/>
        </a:xfrm>
        <a:prstGeom prst="rect">
          <a:avLst/>
        </a:prstGeom>
      </xdr:spPr>
    </xdr:pic>
    <xdr:clientData/>
  </xdr:twoCellAnchor>
  <xdr:twoCellAnchor editAs="oneCell">
    <xdr:from>
      <xdr:col>2</xdr:col>
      <xdr:colOff>193729</xdr:colOff>
      <xdr:row>1</xdr:row>
      <xdr:rowOff>215254</xdr:rowOff>
    </xdr:from>
    <xdr:to>
      <xdr:col>2</xdr:col>
      <xdr:colOff>3308015</xdr:colOff>
      <xdr:row>5</xdr:row>
      <xdr:rowOff>66116</xdr:rowOff>
    </xdr:to>
    <xdr:pic>
      <xdr:nvPicPr>
        <xdr:cNvPr id="7" name="Picture 6"/>
        <xdr:cNvPicPr>
          <a:picLocks noChangeAspect="1"/>
        </xdr:cNvPicPr>
      </xdr:nvPicPr>
      <xdr:blipFill>
        <a:blip xmlns:r="http://schemas.openxmlformats.org/officeDocument/2006/relationships" r:embed="rId3"/>
        <a:stretch>
          <a:fillRect/>
        </a:stretch>
      </xdr:blipFill>
      <xdr:spPr>
        <a:xfrm>
          <a:off x="8201187" y="408983"/>
          <a:ext cx="3114286" cy="808743"/>
        </a:xfrm>
        <a:prstGeom prst="rect">
          <a:avLst/>
        </a:prstGeom>
      </xdr:spPr>
    </xdr:pic>
    <xdr:clientData/>
  </xdr:twoCellAnchor>
</xdr:wsDr>
</file>

<file path=xl/tables/table1.xml><?xml version="1.0" encoding="utf-8"?>
<table xmlns="http://schemas.openxmlformats.org/spreadsheetml/2006/main" id="1" name="Table1" displayName="Table1" ref="A17:H143"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H150"/>
  <sheetViews>
    <sheetView showGridLines="0" topLeftCell="B41" zoomScale="125" zoomScaleNormal="125" zoomScalePageLayoutView="125" workbookViewId="0">
      <selection activeCell="C51" sqref="C51"/>
    </sheetView>
  </sheetViews>
  <sheetFormatPr baseColWidth="10" defaultColWidth="8.6640625" defaultRowHeight="15" x14ac:dyDescent="0"/>
  <cols>
    <col min="1" max="1" width="52.5" style="1" customWidth="1"/>
    <col min="2" max="2" width="36.33203125" style="1" customWidth="1"/>
    <col min="3" max="3" width="54.33203125" style="1" customWidth="1"/>
    <col min="4" max="4" width="13.5" style="1" customWidth="1"/>
    <col min="6" max="6" width="19.83203125" customWidth="1"/>
    <col min="7" max="7" width="31.1640625" style="47" customWidth="1"/>
    <col min="8" max="8" width="17.33203125" style="48" customWidth="1"/>
  </cols>
  <sheetData>
    <row r="2" spans="1:8" ht="30" customHeight="1"/>
    <row r="10" spans="1:8" ht="28" customHeight="1">
      <c r="A10" s="215" t="s">
        <v>839</v>
      </c>
      <c r="B10" s="215"/>
      <c r="C10" s="214"/>
    </row>
    <row r="12" spans="1:8" ht="25">
      <c r="C12" s="225">
        <v>42125</v>
      </c>
      <c r="D12" s="226"/>
    </row>
    <row r="16" spans="1:8" ht="30" customHeight="1">
      <c r="B16" s="222" t="s">
        <v>915</v>
      </c>
      <c r="C16" s="222"/>
      <c r="G16" s="223" t="s">
        <v>0</v>
      </c>
      <c r="H16" s="224"/>
    </row>
    <row r="17" spans="1:8" ht="30">
      <c r="A17" s="2" t="s">
        <v>1</v>
      </c>
      <c r="B17" s="2" t="s">
        <v>2</v>
      </c>
      <c r="C17" s="205" t="s">
        <v>243</v>
      </c>
      <c r="D17" s="3" t="s">
        <v>3</v>
      </c>
      <c r="E17" s="205" t="s">
        <v>244</v>
      </c>
      <c r="F17" s="2" t="s">
        <v>4</v>
      </c>
      <c r="G17" s="4" t="s">
        <v>5</v>
      </c>
      <c r="H17" s="5" t="s">
        <v>6</v>
      </c>
    </row>
    <row r="18" spans="1:8" ht="30">
      <c r="A18" s="6" t="s">
        <v>7</v>
      </c>
      <c r="B18" s="7" t="s">
        <v>8</v>
      </c>
      <c r="C18" s="162"/>
      <c r="D18" s="153"/>
      <c r="E18" s="7"/>
      <c r="F18" s="7"/>
      <c r="G18" s="8" t="str">
        <f>IF(OR(Table1[[#This Row],[English]]&lt;&gt;"",Table1[[#This Row],[Français]]&lt;&gt;""),Table1[[#This Row],[Français]]&amp;"//"&amp;Table1[[#This Row],[English]],"")</f>
        <v>I. Information générale sur le projet //General information</v>
      </c>
      <c r="H18" s="9" t="str">
        <f t="shared" ref="H18:H94" si="0">IF(C18&lt;&gt;"",IF(D18&lt;&gt;"",C18&amp;"--"&amp;D18,C18),"")</f>
        <v/>
      </c>
    </row>
    <row r="19" spans="1:8" ht="31" customHeight="1">
      <c r="A19" s="67" t="s">
        <v>9</v>
      </c>
      <c r="B19" s="67" t="s">
        <v>10</v>
      </c>
      <c r="C19" s="163" t="s">
        <v>488</v>
      </c>
      <c r="D19" s="71" t="s">
        <v>843</v>
      </c>
      <c r="E19" s="71" t="s">
        <v>844</v>
      </c>
      <c r="F19" s="68"/>
      <c r="G19" s="69" t="str">
        <f>IF(OR(Table1[[#This Row],[English]]&lt;&gt;"",Table1[[#This Row],[Français]]&lt;&gt;""),Table1[[#This Row],[Français]]&amp;"//"&amp;Table1[[#This Row],[English]],"")</f>
        <v>Pays//Country</v>
      </c>
      <c r="H19" s="70" t="str">
        <f t="shared" si="0"/>
        <v>Liberia--Cover page</v>
      </c>
    </row>
    <row r="20" spans="1:8" ht="60">
      <c r="A20" s="67" t="s">
        <v>11</v>
      </c>
      <c r="B20" s="71" t="s">
        <v>12</v>
      </c>
      <c r="C20" s="163" t="s">
        <v>842</v>
      </c>
      <c r="D20" s="71" t="s">
        <v>855</v>
      </c>
      <c r="E20" s="71" t="s">
        <v>846</v>
      </c>
      <c r="F20" s="68"/>
      <c r="G20" s="69" t="str">
        <f>IF(OR(Table1[[#This Row],[English]]&lt;&gt;"",Table1[[#This Row],[Français]]&lt;&gt;""),Table1[[#This Row],[Français]]&amp;"//"&amp;Table1[[#This Row],[English]],"")</f>
        <v>Nom de la société locale//Local company name</v>
      </c>
      <c r="H20" s="70" t="str">
        <f t="shared" si="0"/>
        <v>Bassa Logging Timber Corporation--Cover page, cover page 2</v>
      </c>
    </row>
    <row r="21" spans="1:8">
      <c r="A21" s="71" t="s">
        <v>241</v>
      </c>
      <c r="B21" s="71" t="s">
        <v>242</v>
      </c>
      <c r="C21" s="163"/>
      <c r="D21" s="71"/>
      <c r="E21" s="71"/>
      <c r="F21" s="202"/>
      <c r="G21" s="16" t="str">
        <f>IF(OR(Table1[[#This Row],[English]]&lt;&gt;"",Table1[[#This Row],[Français]]&lt;&gt;""),Table1[[#This Row],[Français]]&amp;"//"&amp;Table1[[#This Row],[English]],"")</f>
        <v>Numéro d'entreprise légal//Legal Enterprise Identifier</v>
      </c>
      <c r="H21" s="203" t="str">
        <f>IF(C21&lt;&gt;"",IF(D21&lt;&gt;"",C21&amp;"--"&amp;D21,C21),"")</f>
        <v/>
      </c>
    </row>
    <row r="22" spans="1:8" ht="45">
      <c r="A22" s="10" t="s">
        <v>13</v>
      </c>
      <c r="B22" s="10" t="s">
        <v>14</v>
      </c>
      <c r="C22" s="164" t="s">
        <v>845</v>
      </c>
      <c r="D22" s="10" t="s">
        <v>843</v>
      </c>
      <c r="E22" s="10" t="s">
        <v>846</v>
      </c>
      <c r="F22" s="11"/>
      <c r="G22" s="12" t="str">
        <f>IF(OR(Table1[[#This Row],[English]]&lt;&gt;"",Table1[[#This Row],[Français]]&lt;&gt;""),Table1[[#This Row],[Français]]&amp;"//"&amp;Table1[[#This Row],[English]],"")</f>
        <v xml:space="preserve">Siège social //Corporate headquarters </v>
      </c>
      <c r="H22" s="13" t="str">
        <f t="shared" si="0"/>
        <v>Broad Street, Monrovia, Liberia--Cover page</v>
      </c>
    </row>
    <row r="23" spans="1:8">
      <c r="A23" s="10" t="s">
        <v>15</v>
      </c>
      <c r="B23" s="10" t="s">
        <v>16</v>
      </c>
      <c r="C23" s="164"/>
      <c r="D23" s="10"/>
      <c r="E23" s="10"/>
      <c r="F23" s="11"/>
      <c r="G23" s="12" t="str">
        <f>IF(OR(Table1[[#This Row],[English]]&lt;&gt;"",Table1[[#This Row],[Français]]&lt;&gt;""),Table1[[#This Row],[Français]]&amp;"//"&amp;Table1[[#This Row],[English]],"")</f>
        <v>Structure du Capital//Company structure</v>
      </c>
      <c r="H23" s="13" t="str">
        <f t="shared" si="0"/>
        <v/>
      </c>
    </row>
    <row r="24" spans="1:8" ht="33.75" customHeight="1">
      <c r="A24" s="67" t="s">
        <v>17</v>
      </c>
      <c r="B24" s="71" t="s">
        <v>193</v>
      </c>
      <c r="C24" s="163"/>
      <c r="D24" s="71"/>
      <c r="E24" s="71"/>
      <c r="F24" s="68"/>
      <c r="G24" s="69"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70" t="str">
        <f t="shared" si="0"/>
        <v/>
      </c>
    </row>
    <row r="25" spans="1:8">
      <c r="A25" s="71" t="s">
        <v>241</v>
      </c>
      <c r="B25" s="71" t="s">
        <v>242</v>
      </c>
      <c r="C25" s="163"/>
      <c r="D25" s="71"/>
      <c r="E25" s="71"/>
      <c r="F25" s="202"/>
      <c r="G25" s="16" t="str">
        <f>IF(OR(Table1[[#This Row],[English]]&lt;&gt;"",Table1[[#This Row],[Français]]&lt;&gt;""),Table1[[#This Row],[Français]]&amp;"//"&amp;Table1[[#This Row],[English]],"")</f>
        <v>Numéro d'entreprise légal//Legal Enterprise Identifier</v>
      </c>
      <c r="H25" s="203" t="str">
        <f>IF(C25&lt;&gt;"",IF(D25&lt;&gt;"",C25&amp;"--"&amp;D25,C25),"")</f>
        <v/>
      </c>
    </row>
    <row r="26" spans="1:8">
      <c r="A26" s="67" t="s">
        <v>18</v>
      </c>
      <c r="B26" s="67" t="s">
        <v>19</v>
      </c>
      <c r="C26" s="165"/>
      <c r="D26" s="154"/>
      <c r="E26" s="154"/>
      <c r="F26" s="68"/>
      <c r="G26" s="69" t="str">
        <f>IF(OR(Table1[[#This Row],[English]]&lt;&gt;"",Table1[[#This Row],[Français]]&lt;&gt;""),Table1[[#This Row],[Français]]&amp;"//"&amp;Table1[[#This Row],[English]],"")</f>
        <v>Site web de l’entreprise//Company website</v>
      </c>
      <c r="H26" s="70" t="str">
        <f t="shared" si="0"/>
        <v/>
      </c>
    </row>
    <row r="27" spans="1:8" ht="45">
      <c r="A27" s="71" t="s">
        <v>204</v>
      </c>
      <c r="B27" s="72" t="s">
        <v>20</v>
      </c>
      <c r="C27" s="163" t="s">
        <v>841</v>
      </c>
      <c r="D27" s="71" t="s">
        <v>855</v>
      </c>
      <c r="E27" s="71" t="s">
        <v>846</v>
      </c>
      <c r="F27" s="68"/>
      <c r="G27" s="69"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70" t="str">
        <f t="shared" si="0"/>
        <v>Timber Sale Contract--Cover page, cover page 2</v>
      </c>
    </row>
    <row r="28" spans="1:8" ht="75">
      <c r="A28" s="67" t="s">
        <v>21</v>
      </c>
      <c r="B28" s="67" t="s">
        <v>22</v>
      </c>
      <c r="C28" s="163" t="s">
        <v>847</v>
      </c>
      <c r="D28" s="71" t="s">
        <v>855</v>
      </c>
      <c r="E28" s="154" t="s">
        <v>848</v>
      </c>
      <c r="F28" s="68"/>
      <c r="G28" s="69" t="str">
        <f>IF(OR(Table1[[#This Row],[English]]&lt;&gt;"",Table1[[#This Row],[Français]]&lt;&gt;""),Table1[[#This Row],[Français]]&amp;"//"&amp;Table1[[#This Row],[English]],"")</f>
        <v>Nom du projet//Project title</v>
      </c>
      <c r="H28" s="70" t="str">
        <f>IF(C28&lt;&gt;"",IF(D28&lt;&gt;"",C28&amp;"--"&amp;D28,C28),"")</f>
        <v>Contract to Manage Timber Sale Area: A-11--Cover page, cover page 2</v>
      </c>
    </row>
    <row r="29" spans="1:8" ht="120">
      <c r="A29" s="71" t="s">
        <v>201</v>
      </c>
      <c r="B29" s="72" t="s">
        <v>23</v>
      </c>
      <c r="C29" s="163" t="s">
        <v>916</v>
      </c>
      <c r="D29" s="71" t="s">
        <v>855</v>
      </c>
      <c r="E29" s="71" t="s">
        <v>848</v>
      </c>
      <c r="F29" s="68"/>
      <c r="G29" s="69" t="str">
        <f>IF(OR(Table1[[#This Row],[English]]&lt;&gt;"",Table1[[#This Row],[Français]]&lt;&gt;""),Table1[[#This Row],[Français]]&amp;"//"&amp;Table1[[#This Row],[English]],"")</f>
        <v>Nom du gisement/ champ de pétrole/ gas//Name and/or number of field, block or deposit</v>
      </c>
      <c r="H29" s="70" t="str">
        <f>IF(C29&lt;&gt;"",IF(D29&lt;&gt;"",C29&amp;"--"&amp;D29,C29),"")</f>
        <v>Region #1, Grand Cape Mount County, Prokpa and Gola Konneh Districts, Forest Area TSC Area "11"--Cover page, cover page 2</v>
      </c>
    </row>
    <row r="30" spans="1:8" ht="80.25" customHeight="1">
      <c r="A30" s="76" t="s">
        <v>206</v>
      </c>
      <c r="B30" s="111" t="s">
        <v>205</v>
      </c>
      <c r="C30" s="163" t="s">
        <v>861</v>
      </c>
      <c r="D30" s="76" t="s">
        <v>933</v>
      </c>
      <c r="E30" s="71" t="s">
        <v>860</v>
      </c>
      <c r="F30" s="68"/>
      <c r="G30" s="69"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70" t="str">
        <f t="shared" si="0"/>
        <v>Timber Sale Contract A-11 lies within Latitudes 7°9'36" - 7°18'0" North of the equator and Longitudes 10°54'36" - 11°1'48" West of the Greenwich meridian, located in Grand Cape Mount County-Liberia--Arts. A1, A2</v>
      </c>
    </row>
    <row r="31" spans="1:8">
      <c r="A31" s="67" t="s">
        <v>24</v>
      </c>
      <c r="B31" s="67" t="s">
        <v>25</v>
      </c>
      <c r="C31" s="165"/>
      <c r="D31" s="154"/>
      <c r="E31" s="154"/>
      <c r="F31" s="68"/>
      <c r="G31" s="69" t="str">
        <f>IF(OR(Table1[[#This Row],[English]]&lt;&gt;"",Table1[[#This Row],[Français]]&lt;&gt;""),Table1[[#This Row],[Français]]&amp;"//"&amp;Table1[[#This Row],[English]],"")</f>
        <v>Lieu-dit habité le plus proche//Closest community</v>
      </c>
      <c r="H31" s="70" t="str">
        <f t="shared" si="0"/>
        <v/>
      </c>
    </row>
    <row r="32" spans="1:8" ht="54" customHeight="1">
      <c r="A32" s="67" t="s">
        <v>26</v>
      </c>
      <c r="B32" s="67" t="s">
        <v>27</v>
      </c>
      <c r="C32" s="163"/>
      <c r="D32" s="71"/>
      <c r="E32" s="71"/>
      <c r="F32" s="68"/>
      <c r="G32" s="69" t="str">
        <f>IF(OR(Table1[[#This Row],[English]]&lt;&gt;"",Table1[[#This Row],[Français]]&lt;&gt;""),Table1[[#This Row],[Français]]&amp;"//"&amp;Table1[[#This Row],[English]],"")</f>
        <v>Date d'octroi du permis d'exploitation ou concession//Date of issue of title/permit</v>
      </c>
      <c r="H32" s="70" t="str">
        <f t="shared" si="0"/>
        <v/>
      </c>
    </row>
    <row r="33" spans="1:8" ht="45" customHeight="1">
      <c r="A33" s="67" t="s">
        <v>28</v>
      </c>
      <c r="B33" s="67" t="s">
        <v>29</v>
      </c>
      <c r="C33" s="165" t="str">
        <f>IF(C32&lt;&gt;"",YEAR(C32),"")</f>
        <v/>
      </c>
      <c r="D33" s="71"/>
      <c r="E33" s="71"/>
      <c r="F33" s="68"/>
      <c r="G33" s="69" t="str">
        <f>IF(OR(Table1[[#This Row],[English]]&lt;&gt;"",Table1[[#This Row],[Français]]&lt;&gt;""),Table1[[#This Row],[Français]]&amp;"//"&amp;Table1[[#This Row],[English]],"")</f>
        <v>Année d'octroi du permis d'exploitation ou concession//Year of issue of title/permit</v>
      </c>
      <c r="H33" s="70" t="str">
        <f t="shared" si="0"/>
        <v/>
      </c>
    </row>
    <row r="34" spans="1:8">
      <c r="A34" s="10" t="s">
        <v>30</v>
      </c>
      <c r="B34" s="10" t="s">
        <v>31</v>
      </c>
      <c r="C34" s="164"/>
      <c r="D34" s="10"/>
      <c r="E34" s="10"/>
      <c r="F34" s="11"/>
      <c r="G34" s="12" t="str">
        <f>IF(OR(Table1[[#This Row],[English]]&lt;&gt;"",Table1[[#This Row],[Français]]&lt;&gt;""),Table1[[#This Row],[Français]]&amp;"//"&amp;Table1[[#This Row],[English]],"")</f>
        <v>Date de ratification//Date of ratification</v>
      </c>
      <c r="H34" s="13" t="str">
        <f t="shared" si="0"/>
        <v/>
      </c>
    </row>
    <row r="35" spans="1:8">
      <c r="A35" s="10" t="s">
        <v>32</v>
      </c>
      <c r="B35" s="10" t="s">
        <v>33</v>
      </c>
      <c r="C35" s="164"/>
      <c r="D35" s="10"/>
      <c r="E35" s="10"/>
      <c r="F35" s="11"/>
      <c r="G35" s="12" t="str">
        <f>IF(OR(Table1[[#This Row],[English]]&lt;&gt;"",Table1[[#This Row],[Français]]&lt;&gt;""),Table1[[#This Row],[Français]]&amp;"//"&amp;Table1[[#This Row],[English]],"")</f>
        <v>Investissement estimé//Estimated investment</v>
      </c>
      <c r="H35" s="13" t="str">
        <f t="shared" si="0"/>
        <v/>
      </c>
    </row>
    <row r="36" spans="1:8">
      <c r="A36" s="10" t="s">
        <v>34</v>
      </c>
      <c r="B36" s="10" t="s">
        <v>35</v>
      </c>
      <c r="C36" s="164"/>
      <c r="D36" s="10"/>
      <c r="E36" s="10"/>
      <c r="F36" s="11"/>
      <c r="G36" s="12" t="str">
        <f>IF(OR(Table1[[#This Row],[English]]&lt;&gt;"",Table1[[#This Row],[Français]]&lt;&gt;""),Table1[[#This Row],[Français]]&amp;"//"&amp;Table1[[#This Row],[English]],"")</f>
        <v>Production attendue//Expected production</v>
      </c>
      <c r="H36" s="13" t="str">
        <f t="shared" si="0"/>
        <v/>
      </c>
    </row>
    <row r="37" spans="1:8">
      <c r="A37" s="14"/>
      <c r="B37" s="14"/>
      <c r="C37" s="166"/>
      <c r="D37" s="155"/>
      <c r="E37" s="155"/>
      <c r="F37" s="15"/>
      <c r="G37" s="16" t="str">
        <f>IF(OR(Table1[[#This Row],[English]]&lt;&gt;"",Table1[[#This Row],[Français]]&lt;&gt;""),Table1[[#This Row],[Français]]&amp;"//"&amp;Table1[[#This Row],[English]],"")</f>
        <v/>
      </c>
      <c r="H37" s="17" t="str">
        <f t="shared" si="0"/>
        <v/>
      </c>
    </row>
    <row r="38" spans="1:8" ht="30">
      <c r="A38" s="204" t="s">
        <v>36</v>
      </c>
      <c r="B38" s="204" t="s">
        <v>37</v>
      </c>
      <c r="C38" s="167"/>
      <c r="D38" s="156"/>
      <c r="E38" s="156"/>
      <c r="F38" s="18"/>
      <c r="G38" s="19" t="str">
        <f>IF(OR(Table1[[#This Row],[English]]&lt;&gt;"",Table1[[#This Row],[Français]]&lt;&gt;""),Table1[[#This Row],[Français]]&amp;"//"&amp;Table1[[#This Row],[English]],"")</f>
        <v>II. Résumé des dispositions du contrat//II. Summary of terms</v>
      </c>
      <c r="H38" s="20" t="str">
        <f t="shared" si="0"/>
        <v/>
      </c>
    </row>
    <row r="39" spans="1:8" ht="30">
      <c r="A39" s="21" t="s">
        <v>38</v>
      </c>
      <c r="B39" s="18" t="s">
        <v>39</v>
      </c>
      <c r="C39" s="167"/>
      <c r="D39" s="156"/>
      <c r="E39" s="156"/>
      <c r="F39" s="18"/>
      <c r="G39" s="19" t="str">
        <f>IF(OR(Table1[[#This Row],[English]]&lt;&gt;"",Table1[[#This Row],[Français]]&lt;&gt;""),Table1[[#This Row],[Français]]&amp;"//"&amp;Table1[[#This Row],[English]],"")</f>
        <v>1. Dispositions du base//1. Fundamental provisions</v>
      </c>
      <c r="H39" s="20" t="str">
        <f t="shared" si="0"/>
        <v/>
      </c>
    </row>
    <row r="40" spans="1:8" ht="35.25" customHeight="1">
      <c r="A40" s="67" t="s">
        <v>40</v>
      </c>
      <c r="B40" s="67" t="s">
        <v>41</v>
      </c>
      <c r="C40" s="163" t="s">
        <v>842</v>
      </c>
      <c r="D40" s="71" t="s">
        <v>855</v>
      </c>
      <c r="E40" s="71" t="s">
        <v>846</v>
      </c>
      <c r="F40" s="73"/>
      <c r="G40" s="74"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70" t="str">
        <f t="shared" si="0"/>
        <v>Bassa Logging Timber Corporation--Cover page, cover page 2</v>
      </c>
    </row>
    <row r="41" spans="1:8">
      <c r="A41" s="71" t="s">
        <v>241</v>
      </c>
      <c r="B41" s="71" t="s">
        <v>242</v>
      </c>
      <c r="C41" s="163"/>
      <c r="D41" s="71"/>
      <c r="E41" s="71"/>
      <c r="F41" s="202"/>
      <c r="G41" s="16" t="str">
        <f>IF(OR(Table1[[#This Row],[English]]&lt;&gt;"",Table1[[#This Row],[Français]]&lt;&gt;""),Table1[[#This Row],[Français]]&amp;"//"&amp;Table1[[#This Row],[English]],"")</f>
        <v>Numéro d'entreprise légal//Legal Enterprise Identifier</v>
      </c>
      <c r="H41" s="203" t="str">
        <f>IF(C41&lt;&gt;"",IF(D41&lt;&gt;"",C41&amp;"--"&amp;D41,C41),"")</f>
        <v/>
      </c>
    </row>
    <row r="42" spans="1:8" ht="60">
      <c r="A42" s="10" t="s">
        <v>42</v>
      </c>
      <c r="B42" s="10" t="s">
        <v>43</v>
      </c>
      <c r="C42" s="164" t="s">
        <v>849</v>
      </c>
      <c r="D42" s="105" t="s">
        <v>850</v>
      </c>
      <c r="E42" s="105" t="s">
        <v>851</v>
      </c>
      <c r="F42" s="164"/>
      <c r="G42" s="23" t="str">
        <f>IF(OR(Table1[[#This Row],[English]]&lt;&gt;"",Table1[[#This Row],[Français]]&lt;&gt;""),Table1[[#This Row],[Français]]&amp;"//"&amp;Table1[[#This Row],[English]],"")</f>
        <v>Signataire(s), société //Signatories, company</v>
      </c>
      <c r="H42" s="13" t="str">
        <f t="shared" si="0"/>
        <v>President/CEO, Bassa Logging Timber Corporation--Signature page</v>
      </c>
    </row>
    <row r="43" spans="1:8" ht="42" customHeight="1">
      <c r="A43" s="67" t="s">
        <v>44</v>
      </c>
      <c r="B43" s="67" t="s">
        <v>45</v>
      </c>
      <c r="C43" s="163" t="s">
        <v>852</v>
      </c>
      <c r="D43" s="76" t="s">
        <v>855</v>
      </c>
      <c r="E43" s="76" t="s">
        <v>856</v>
      </c>
      <c r="F43" s="73"/>
      <c r="G43" s="74" t="str">
        <f>IF(OR(Table1[[#This Row],[English]]&lt;&gt;"",Table1[[#This Row],[Français]]&lt;&gt;""),Table1[[#This Row],[Français]]&amp;"//"&amp;Table1[[#This Row],[English]],"")</f>
        <v>Agence de l'Etat, société nationale, ministère signataire du contrat//State agency, national company, ministry executing the document</v>
      </c>
      <c r="H43" s="70" t="str">
        <f t="shared" si="0"/>
        <v>Forestry Development Authority--Cover page, cover page 2</v>
      </c>
    </row>
    <row r="44" spans="1:8" ht="70.5" customHeight="1">
      <c r="A44" s="10" t="s">
        <v>46</v>
      </c>
      <c r="B44" s="10" t="s">
        <v>47</v>
      </c>
      <c r="C44" s="164" t="s">
        <v>853</v>
      </c>
      <c r="D44" s="10" t="s">
        <v>850</v>
      </c>
      <c r="E44" s="10" t="s">
        <v>854</v>
      </c>
      <c r="F44" s="164"/>
      <c r="G44" s="23" t="str">
        <f>IF(OR(Table1[[#This Row],[English]]&lt;&gt;"",Table1[[#This Row],[Français]]&lt;&gt;""),Table1[[#This Row],[Français]]&amp;"//"&amp;Table1[[#This Row],[English]],"")</f>
        <v>Signataire(s), Etat//Signatories, State</v>
      </c>
      <c r="H44" s="13" t="str">
        <f t="shared" si="0"/>
        <v>Managing Director, Forestry Development Authority ; In-House Lawyer, Forestry Development Authority--Signature page</v>
      </c>
    </row>
    <row r="45" spans="1:8" ht="47" customHeight="1">
      <c r="A45" s="67" t="s">
        <v>48</v>
      </c>
      <c r="B45" s="67" t="s">
        <v>49</v>
      </c>
      <c r="C45" s="165"/>
      <c r="D45" s="157"/>
      <c r="E45" s="157"/>
      <c r="F45" s="73"/>
      <c r="G45" s="74" t="str">
        <f>IF(OR(Table1[[#This Row],[English]]&lt;&gt;"",Table1[[#This Row],[Français]]&lt;&gt;""),Table1[[#This Row],[Français]]&amp;"//"&amp;Table1[[#This Row],[English]],"")</f>
        <v>Nom et/ou composition de la société du projet crée ou envisagée//Name and/or composition of the company created or anticipated</v>
      </c>
      <c r="H45" s="70" t="str">
        <f t="shared" si="0"/>
        <v/>
      </c>
    </row>
    <row r="46" spans="1:8" ht="45">
      <c r="A46" s="10" t="s">
        <v>178</v>
      </c>
      <c r="B46" s="61" t="s">
        <v>169</v>
      </c>
      <c r="C46" s="168"/>
      <c r="D46" s="57"/>
      <c r="E46" s="57"/>
      <c r="F46" s="58"/>
      <c r="G46" s="59" t="str">
        <f>IF(OR(Table1[[#This Row],[English]]&lt;&gt;"",Table1[[#This Row],[Français]]&lt;&gt;""),Table1[[#This Row],[Français]]&amp;"//"&amp;Table1[[#This Row],[English]],"")</f>
        <v>Nom de la partie tiers (si applicable)//Name of third party to contract (where applicable)</v>
      </c>
      <c r="H46" s="60" t="str">
        <f>IF(C46&lt;&gt;"",IF(D46&lt;&gt;"",C46&amp;"--"&amp;D46,C46),"")</f>
        <v/>
      </c>
    </row>
    <row r="47" spans="1:8" ht="60">
      <c r="A47" s="67" t="s">
        <v>50</v>
      </c>
      <c r="B47" s="67" t="s">
        <v>51</v>
      </c>
      <c r="C47" s="221">
        <v>40380</v>
      </c>
      <c r="D47" s="217" t="s">
        <v>855</v>
      </c>
      <c r="E47" s="217" t="s">
        <v>857</v>
      </c>
      <c r="F47" s="73"/>
      <c r="G47" s="74" t="str">
        <f>IF(OR(Table1[[#This Row],[English]]&lt;&gt;"",Table1[[#This Row],[Français]]&lt;&gt;""),Table1[[#This Row],[Français]]&amp;"//"&amp;Table1[[#This Row],[English]],"")</f>
        <v>Date de signature du contrat//Date of contract signature</v>
      </c>
      <c r="H47" s="70" t="str">
        <f t="shared" si="0"/>
        <v>40380--Cover page, cover page 2</v>
      </c>
    </row>
    <row r="48" spans="1:8" ht="60">
      <c r="A48" s="71" t="s">
        <v>52</v>
      </c>
      <c r="B48" s="67" t="s">
        <v>53</v>
      </c>
      <c r="C48" s="165">
        <f>IF(C47&lt;&gt;"",YEAR(C47),"")</f>
        <v>2010</v>
      </c>
      <c r="D48" s="217" t="s">
        <v>855</v>
      </c>
      <c r="E48" s="217" t="s">
        <v>857</v>
      </c>
      <c r="F48" s="73"/>
      <c r="G48" s="74" t="str">
        <f>IF(OR(Table1[[#This Row],[English]]&lt;&gt;"",Table1[[#This Row],[Français]]&lt;&gt;""),Table1[[#This Row],[Français]]&amp;"//"&amp;Table1[[#This Row],[English]],"")</f>
        <v>Année de signature du contrat//Year of contract signature</v>
      </c>
      <c r="H48" s="70" t="str">
        <f t="shared" si="0"/>
        <v>2010--Cover page, cover page 2</v>
      </c>
    </row>
    <row r="49" spans="1:8" ht="50.25" customHeight="1">
      <c r="A49" s="67" t="s">
        <v>54</v>
      </c>
      <c r="B49" s="67" t="s">
        <v>55</v>
      </c>
      <c r="C49" s="163" t="s">
        <v>858</v>
      </c>
      <c r="D49" s="76" t="s">
        <v>901</v>
      </c>
      <c r="E49" s="71" t="s">
        <v>902</v>
      </c>
      <c r="F49" s="73"/>
      <c r="G49" s="74" t="str">
        <f>IF(OR(Table1[[#This Row],[English]]&lt;&gt;"",Table1[[#This Row],[Français]]&lt;&gt;""),Table1[[#This Row],[Français]]&amp;"//"&amp;Table1[[#This Row],[English]],"")</f>
        <v>Durée//Term</v>
      </c>
      <c r="H49" s="70" t="str">
        <f t="shared" si="0"/>
        <v xml:space="preserve">3 years--Cover page 2, Art. 8.11(c) </v>
      </c>
    </row>
    <row r="50" spans="1:8" ht="45">
      <c r="A50" s="10" t="s">
        <v>56</v>
      </c>
      <c r="B50" s="10" t="s">
        <v>57</v>
      </c>
      <c r="C50" s="164"/>
      <c r="D50" s="10"/>
      <c r="E50" s="10"/>
      <c r="F50" s="22"/>
      <c r="G50" s="23" t="str">
        <f>IF(OR(Table1[[#This Row],[English]]&lt;&gt;"",Table1[[#This Row],[Français]]&lt;&gt;""),Table1[[#This Row],[Français]]&amp;"//"&amp;Table1[[#This Row],[English]],"")</f>
        <v xml:space="preserve">Conditions de renouvellement//Conditions for renewal </v>
      </c>
      <c r="H50" s="13" t="str">
        <f t="shared" si="0"/>
        <v/>
      </c>
    </row>
    <row r="51" spans="1:8" ht="42" customHeight="1">
      <c r="A51" s="71" t="s">
        <v>229</v>
      </c>
      <c r="B51" s="72" t="s">
        <v>177</v>
      </c>
      <c r="C51" s="73" t="s">
        <v>937</v>
      </c>
      <c r="D51" s="71" t="s">
        <v>862</v>
      </c>
      <c r="E51" s="71" t="s">
        <v>863</v>
      </c>
      <c r="F51" s="50"/>
      <c r="G51" s="74"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70" t="e">
        <f>IF(#REF!&lt;&gt;"",IF(D51&lt;&gt;"",#REF!&amp;"--"&amp;D51,#REF!),"")</f>
        <v>#REF!</v>
      </c>
    </row>
    <row r="52" spans="1:8" ht="42" customHeight="1">
      <c r="A52" s="119" t="s">
        <v>218</v>
      </c>
      <c r="B52" s="119" t="s">
        <v>217</v>
      </c>
      <c r="C52" s="180" t="s">
        <v>936</v>
      </c>
      <c r="D52" s="56" t="s">
        <v>859</v>
      </c>
      <c r="E52" s="56" t="s">
        <v>860</v>
      </c>
      <c r="F52" s="119"/>
      <c r="G52" s="126" t="str">
        <f>IF(OR(Table1[[#This Row],[English]]&lt;&gt;"",Table1[[#This Row],[Français]]&lt;&gt;""),Table1[[#This Row],[Français]]&amp;"//"&amp;Table1[[#This Row],[English]],"")</f>
        <v>Superficie de la concession//Size of the concession area</v>
      </c>
      <c r="H52" s="127" t="str">
        <f>IF(C52&lt;&gt;"",IF(D52&lt;&gt;"",C52&amp;"--"&amp;D52,C52),"")</f>
        <v>5,000 hectares--Art. A1</v>
      </c>
    </row>
    <row r="53" spans="1:8">
      <c r="A53" s="14"/>
      <c r="B53" s="14"/>
      <c r="C53" s="166"/>
      <c r="D53" s="155"/>
      <c r="E53" s="155"/>
      <c r="F53" s="15"/>
      <c r="G53" s="16" t="str">
        <f>IF(OR(Table1[[#This Row],[English]]&lt;&gt;"",Table1[[#This Row],[Français]]&lt;&gt;""),Table1[[#This Row],[Français]]&amp;"//"&amp;Table1[[#This Row],[English]],"")</f>
        <v/>
      </c>
      <c r="H53" s="17" t="str">
        <f t="shared" si="0"/>
        <v/>
      </c>
    </row>
    <row r="54" spans="1:8" ht="49.5" customHeight="1">
      <c r="A54" s="62" t="s">
        <v>58</v>
      </c>
      <c r="B54" s="63" t="s">
        <v>192</v>
      </c>
      <c r="C54" s="167"/>
      <c r="D54" s="156"/>
      <c r="E54" s="156"/>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ht="93" customHeight="1">
      <c r="A55" s="75" t="s">
        <v>59</v>
      </c>
      <c r="B55" s="67" t="s">
        <v>60</v>
      </c>
      <c r="C55" s="163" t="s">
        <v>917</v>
      </c>
      <c r="D55" s="154" t="s">
        <v>864</v>
      </c>
      <c r="E55" s="154" t="s">
        <v>865</v>
      </c>
      <c r="F55" s="68"/>
      <c r="G55" s="69" t="str">
        <f>IF(OR(Table1[[#This Row],[English]]&lt;&gt;"",Table1[[#This Row],[Français]]&lt;&gt;""),Table1[[#This Row],[Français]]&amp;"//"&amp;Table1[[#This Row],[English]],"")</f>
        <v>Convention de développement local//Local development agreement</v>
      </c>
      <c r="H55" s="70" t="str">
        <f t="shared" si="0"/>
        <v>Before the first annual operating season, Bassa Logging Timber Corporation shall execute the Social Agreements required under Regulation 105-07--Art. B3.12</v>
      </c>
    </row>
    <row r="56" spans="1:8" ht="82.5" customHeight="1">
      <c r="A56" s="10" t="s">
        <v>230</v>
      </c>
      <c r="B56" s="10" t="s">
        <v>61</v>
      </c>
      <c r="C56" s="164" t="s">
        <v>919</v>
      </c>
      <c r="D56" s="10" t="s">
        <v>866</v>
      </c>
      <c r="E56" s="10" t="s">
        <v>867</v>
      </c>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Bassa Logging Timber Corporation shall identify areas requiring special measures for the protection of cultural resources in the annual operational plan. It shall describe these special measures and protect those areas from damage or removal during its operations.--Art. B6.34</v>
      </c>
    </row>
    <row r="57" spans="1:8" ht="161.25" customHeight="1">
      <c r="A57" s="71" t="s">
        <v>235</v>
      </c>
      <c r="B57" s="67" t="s">
        <v>62</v>
      </c>
      <c r="C57" s="163" t="s">
        <v>905</v>
      </c>
      <c r="D57" s="154" t="s">
        <v>903</v>
      </c>
      <c r="E57" s="154" t="s">
        <v>904</v>
      </c>
      <c r="F57" s="73"/>
      <c r="G57" s="74" t="str">
        <f>IF(OR(Table1[[#This Row],[English]]&lt;&gt;"",Table1[[#This Row],[Français]]&lt;&gt;""),Table1[[#This Row],[Français]]&amp;"//"&amp;Table1[[#This Row],[English]],"")</f>
        <v xml:space="preserve">Consultations communautaires requises//Requirements for community consultation </v>
      </c>
      <c r="H57" s="70" t="str">
        <f t="shared" si="0"/>
        <v>Bassa Logging Timber Corporation shall not use public land outside the contract area unless it has express, written permission from the Forestry Development Authority. Before requesting permission, Bassa Logging Timber Corporation shall consult with all potentially affected communities that are party to social agreements with it. Bassa Logging Timber Corporation shall make a written record of the time, place, and general content of those consultations. --Arts. B4.12(a) and (b)</v>
      </c>
    </row>
    <row r="58" spans="1:8" ht="65.25" customHeight="1">
      <c r="A58" s="10" t="s">
        <v>236</v>
      </c>
      <c r="B58" s="10" t="s">
        <v>63</v>
      </c>
      <c r="C58" s="164"/>
      <c r="D58" s="10"/>
      <c r="E58" s="10"/>
      <c r="F58" s="22"/>
      <c r="G58" s="23" t="str">
        <f>IF(OR(Table1[[#This Row],[English]]&lt;&gt;"",Table1[[#This Row],[Français]]&lt;&gt;""),Table1[[#This Row],[Français]]&amp;"//"&amp;Table1[[#This Row],[English]],"")</f>
        <v>Obligations liées a la formation des cadres locaux//Management training requirement for nationals</v>
      </c>
      <c r="H58" s="13" t="str">
        <f t="shared" si="0"/>
        <v/>
      </c>
    </row>
    <row r="59" spans="1:8" ht="122.25" customHeight="1">
      <c r="A59" s="71" t="s">
        <v>231</v>
      </c>
      <c r="B59" s="67" t="s">
        <v>64</v>
      </c>
      <c r="C59" s="170" t="s">
        <v>920</v>
      </c>
      <c r="D59" s="71" t="s">
        <v>869</v>
      </c>
      <c r="E59" s="71" t="s">
        <v>868</v>
      </c>
      <c r="F59" s="73"/>
      <c r="G59" s="74" t="str">
        <f>IF(OR(Table1[[#This Row],[English]]&lt;&gt;"",Table1[[#This Row],[Français]]&lt;&gt;""),Table1[[#This Row],[Français]]&amp;"//"&amp;Table1[[#This Row],[English]],"")</f>
        <v>Obligations liées à l'emploi du personnel local//Local employment requirements</v>
      </c>
      <c r="H59" s="70" t="str">
        <f t="shared" si="0"/>
        <v>Bassa Logging Timber Corporation shall give preference to competent and qualified individuals living in and near the contract area, particularly to individuals from communities benefiting from the social agreements. Bassa Logging Timber Corporation shall not import unskilled labor from outside Liberia. --Art. B3.23</v>
      </c>
    </row>
    <row r="60" spans="1:8" ht="164" customHeight="1">
      <c r="A60" s="71" t="s">
        <v>233</v>
      </c>
      <c r="B60" s="67" t="s">
        <v>65</v>
      </c>
      <c r="C60" s="165"/>
      <c r="D60" s="71"/>
      <c r="E60" s="71"/>
      <c r="F60" s="73"/>
      <c r="G60" s="74" t="str">
        <f>IF(OR(Table1[[#This Row],[English]]&lt;&gt;"",Table1[[#This Row],[Français]]&lt;&gt;""),Table1[[#This Row],[Français]]&amp;"//"&amp;Table1[[#This Row],[English]],"")</f>
        <v>Obligations liées a l'approvisionnement en biens et services locaux//Local procurement requirements</v>
      </c>
      <c r="H60" s="70" t="str">
        <f t="shared" si="0"/>
        <v/>
      </c>
    </row>
    <row r="61" spans="1:8">
      <c r="A61" s="10" t="s">
        <v>66</v>
      </c>
      <c r="B61" s="10" t="s">
        <v>67</v>
      </c>
      <c r="C61" s="164"/>
      <c r="D61" s="10"/>
      <c r="E61" s="10"/>
      <c r="F61" s="22"/>
      <c r="G61" s="23" t="str">
        <f>IF(OR(Table1[[#This Row],[English]]&lt;&gt;"",Table1[[#This Row],[Français]]&lt;&gt;""),Table1[[#This Row],[Français]]&amp;"//"&amp;Table1[[#This Row],[English]],"")</f>
        <v>Assurance//Insurance</v>
      </c>
      <c r="H61" s="13" t="str">
        <f t="shared" si="0"/>
        <v/>
      </c>
    </row>
    <row r="62" spans="1:8" ht="20.25" customHeight="1">
      <c r="A62" s="76" t="s">
        <v>207</v>
      </c>
      <c r="B62" s="76" t="s">
        <v>208</v>
      </c>
      <c r="C62" s="170"/>
      <c r="D62" s="76"/>
      <c r="E62" s="76"/>
      <c r="F62" s="77"/>
      <c r="G62" s="78" t="str">
        <f>IF(OR(Table1[[#This Row],[English]]&lt;&gt;"",Table1[[#This Row],[Français]]&lt;&gt;""),Table1[[#This Row],[Français]]&amp;"//"&amp;Table1[[#This Row],[English]],"")</f>
        <v>Réinstallation des habitants//Resettlement</v>
      </c>
      <c r="H62" s="79" t="str">
        <f t="shared" si="0"/>
        <v/>
      </c>
    </row>
    <row r="63" spans="1:8" ht="34.5" customHeight="1">
      <c r="A63" s="132" t="s">
        <v>232</v>
      </c>
      <c r="B63" s="132" t="s">
        <v>223</v>
      </c>
      <c r="C63" s="171"/>
      <c r="D63" s="132"/>
      <c r="E63" s="132"/>
      <c r="F63" s="133"/>
      <c r="G63" s="134"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5" t="str">
        <f t="shared" ref="H63:H66" si="1">IF(C63&lt;&gt;"",IF(D63&lt;&gt;"",C63&amp;"--"&amp;D63,C63),"")</f>
        <v/>
      </c>
    </row>
    <row r="64" spans="1:8" ht="173.25" customHeight="1">
      <c r="A64" s="124" t="s">
        <v>185</v>
      </c>
      <c r="B64" s="10" t="s">
        <v>184</v>
      </c>
      <c r="C64" s="164" t="s">
        <v>872</v>
      </c>
      <c r="D64" s="10" t="s">
        <v>870</v>
      </c>
      <c r="E64" s="10" t="s">
        <v>871</v>
      </c>
      <c r="F64" s="22"/>
      <c r="G64" s="110"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Bassa Logging Timber Corporation shall follow internationally recognized, modern safety precautions in all activities and shall comply with written safety instructions supplied by the Government. Bassa Logging Timber Corporation shall follow internationally recognized, modern measures for the protection of general health and safety of its employees and shall comply with written public health instructions given in writing by the Government.--Arts. B3.21 - B3.22</v>
      </c>
    </row>
    <row r="65" spans="1:8" ht="79.5" customHeight="1">
      <c r="A65" s="83" t="s">
        <v>187</v>
      </c>
      <c r="B65" s="82" t="s">
        <v>186</v>
      </c>
      <c r="C65" s="173" t="s">
        <v>921</v>
      </c>
      <c r="D65" s="76" t="s">
        <v>873</v>
      </c>
      <c r="E65" s="76" t="s">
        <v>922</v>
      </c>
      <c r="F65" s="77"/>
      <c r="G65" s="80" t="str">
        <f>IF(OR(Table1[[#This Row],[English]]&lt;&gt;"",Table1[[#This Row],[Français]]&lt;&gt;""),Table1[[#This Row],[Français]]&amp;"//"&amp;Table1[[#This Row],[English]],"")</f>
        <v>La sécurité physique, la protection de la propriété, et / ou l'utilisation des gardes//Physical security, protection of property, and/or use of guards</v>
      </c>
      <c r="H65" s="81" t="str">
        <f t="shared" si="1"/>
        <v>Bassa Logging Timber Corporation shall use all reasonable means to prevent encroachment by unauthorized persons in to the contract area, but it shall not employ or in any way use armed security guards for any purpose--Art. B6.31</v>
      </c>
    </row>
    <row r="66" spans="1:8" ht="34" customHeight="1">
      <c r="A66" s="144" t="s">
        <v>189</v>
      </c>
      <c r="B66" s="145" t="s">
        <v>190</v>
      </c>
      <c r="C66" s="174"/>
      <c r="D66" s="158"/>
      <c r="E66" s="146"/>
      <c r="F66" s="147"/>
      <c r="G66" s="148" t="str">
        <f>IF(OR(Table1[[#This Row],[English]]&lt;&gt;"",Table1[[#This Row],[Français]]&lt;&gt;""),Table1[[#This Row],[Français]]&amp;"//"&amp;Table1[[#This Row],[English]],"")</f>
        <v>Mécanismes de réclamation pour les parties non contractantes//Grievance mechanisms for non-contractual harms to non-contracting parties</v>
      </c>
      <c r="H66" s="149" t="str">
        <f t="shared" si="1"/>
        <v/>
      </c>
    </row>
    <row r="67" spans="1:8" ht="309" customHeight="1">
      <c r="A67" s="123" t="s">
        <v>216</v>
      </c>
      <c r="B67" s="119" t="s">
        <v>215</v>
      </c>
      <c r="C67" s="180" t="s">
        <v>934</v>
      </c>
      <c r="D67" s="10" t="s">
        <v>874</v>
      </c>
      <c r="E67" s="10" t="s">
        <v>875</v>
      </c>
      <c r="F67" s="125"/>
      <c r="G67" s="126"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7" t="str">
        <f>IF(C67&lt;&gt;"",IF(D67&lt;&gt;"",C67&amp;"--"&amp;D67,C67),"")</f>
        <v>The rights of private land owners and the public are governed by Chapters 11 and 12 of the National Forestry Reform Law of 2006, and Bassa Logging Timber Corporation agrees to respect those rights. In addition, the Government reserves the right to, among other things, access, or allow others to access, the contract area for the purpose of exploring for or exploiting minerals or other substances or any reasonable investigation, provided that Bassa Logging Timber Corporation's operations and activities shall not be unduly interfered with or its rights prejudiced. If its property is damaged as a result of such exploration, investigation or exploitation, the Government agrees to provide fair compensation for such damage. The Government also reserves the right to, among other things, take from the contract area timber and forest products (flora, fauna, and micro-organisms with social or economic value) that are required for public purposes, or allow others to access the contract area for traditional and customary community uses of timber and forest products, provided Bassa Logging Timber Corporation's operations and activities shall not be unduly interfered with or its rights prejudiced.--Art. B2.11</v>
      </c>
    </row>
    <row r="68" spans="1:8">
      <c r="A68" s="24"/>
      <c r="B68" s="24"/>
      <c r="C68" s="181"/>
      <c r="D68" s="191"/>
      <c r="E68" s="191"/>
      <c r="F68" s="15"/>
      <c r="G68" s="16" t="str">
        <f>IF(OR(Table1[[#This Row],[English]]&lt;&gt;"",Table1[[#This Row],[Français]]&lt;&gt;""),Table1[[#This Row],[Français]]&amp;"//"&amp;Table1[[#This Row],[English]],"")</f>
        <v/>
      </c>
      <c r="H68" s="25" t="str">
        <f t="shared" si="0"/>
        <v/>
      </c>
    </row>
    <row r="69" spans="1:8" ht="29" customHeight="1">
      <c r="A69" s="62" t="s">
        <v>68</v>
      </c>
      <c r="B69" s="26" t="s">
        <v>69</v>
      </c>
      <c r="C69" s="167"/>
      <c r="D69" s="156"/>
      <c r="E69" s="156"/>
      <c r="F69" s="18"/>
      <c r="G69" s="19" t="str">
        <f>IF(OR(Table1[[#This Row],[English]]&lt;&gt;"",Table1[[#This Row],[Français]]&lt;&gt;""),Table1[[#This Row],[Français]]&amp;"//"&amp;Table1[[#This Row],[English]],"")</f>
        <v>3. Obligations financières du détenteur du titre//3. Developer's financial obligations</v>
      </c>
      <c r="H69" s="20" t="str">
        <f t="shared" si="0"/>
        <v/>
      </c>
    </row>
    <row r="70" spans="1:8" ht="70" customHeight="1">
      <c r="A70" s="84" t="s">
        <v>70</v>
      </c>
      <c r="B70" s="85" t="s">
        <v>71</v>
      </c>
      <c r="C70" s="85"/>
      <c r="D70" s="150"/>
      <c r="E70" s="150"/>
      <c r="F70" s="86"/>
      <c r="G70" s="87" t="str">
        <f>IF(OR(Table1[[#This Row],[English]]&lt;&gt;"",Table1[[#This Row],[Français]]&lt;&gt;""),Table1[[#This Row],[Français]]&amp;"//"&amp;Table1[[#This Row],[English]],"")</f>
        <v>Taxe minière / redevance//Mining tax / royalty tax</v>
      </c>
      <c r="H70" s="88" t="str">
        <f t="shared" si="0"/>
        <v/>
      </c>
    </row>
    <row r="71" spans="1:8" ht="36" customHeight="1">
      <c r="A71" s="84" t="s">
        <v>72</v>
      </c>
      <c r="B71" s="85" t="s">
        <v>73</v>
      </c>
      <c r="C71" s="175" t="s">
        <v>878</v>
      </c>
      <c r="D71" s="150" t="s">
        <v>877</v>
      </c>
      <c r="E71" s="150" t="s">
        <v>879</v>
      </c>
      <c r="F71" s="86"/>
      <c r="G71" s="87" t="str">
        <f>IF(OR(Table1[[#This Row],[English]]&lt;&gt;"",Table1[[#This Row],[Français]]&lt;&gt;""),Table1[[#This Row],[Français]]&amp;"//"&amp;Table1[[#This Row],[English]],"")</f>
        <v>Impôt sur les bénéfices: taux//Income tax: rate</v>
      </c>
      <c r="H71" s="88" t="str">
        <f t="shared" si="0"/>
        <v>Bassa Logging Timber Corporation shall be subject to income tax under the Revenue Code of Liberia--Art. B8.0</v>
      </c>
    </row>
    <row r="72" spans="1:8">
      <c r="A72" s="85" t="s">
        <v>224</v>
      </c>
      <c r="B72" s="85" t="s">
        <v>74</v>
      </c>
      <c r="C72" s="176"/>
      <c r="D72" s="159"/>
      <c r="E72" s="159"/>
      <c r="F72" s="86"/>
      <c r="G72" s="87" t="str">
        <f>IF(OR(Table1[[#This Row],[English]]&lt;&gt;"",Table1[[#This Row],[Français]]&lt;&gt;""),Table1[[#This Row],[Français]]&amp;"//"&amp;Table1[[#This Row],[English]],"")</f>
        <v>Impôt sur les bénéfices: exonération//Income tax: exemptions</v>
      </c>
      <c r="H72" s="88" t="str">
        <f t="shared" si="0"/>
        <v/>
      </c>
    </row>
    <row r="73" spans="1:8" ht="45">
      <c r="A73" s="85" t="s">
        <v>225</v>
      </c>
      <c r="B73" s="85" t="s">
        <v>75</v>
      </c>
      <c r="C73" s="176"/>
      <c r="D73" s="159"/>
      <c r="E73" s="159"/>
      <c r="F73" s="86"/>
      <c r="G73" s="87"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3" s="88" t="str">
        <f t="shared" si="0"/>
        <v/>
      </c>
    </row>
    <row r="74" spans="1:8" ht="45.75" customHeight="1">
      <c r="A74" s="106" t="s">
        <v>199</v>
      </c>
      <c r="B74" s="106" t="s">
        <v>76</v>
      </c>
      <c r="C74" s="177"/>
      <c r="D74" s="106"/>
      <c r="E74" s="106"/>
      <c r="F74" s="107"/>
      <c r="G74" s="108"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4" s="109" t="str">
        <f>IF(C74&lt;&gt;"",IF(D74&lt;&gt;"",C74&amp;"--"&amp;D74,C74),"")</f>
        <v/>
      </c>
    </row>
    <row r="75" spans="1:8" ht="34.5" customHeight="1">
      <c r="A75" s="106" t="s">
        <v>200</v>
      </c>
      <c r="B75" s="106" t="s">
        <v>77</v>
      </c>
      <c r="C75" s="177"/>
      <c r="D75" s="106"/>
      <c r="E75" s="106"/>
      <c r="F75" s="107"/>
      <c r="G75" s="108"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5" s="109" t="str">
        <f>IF(C75&lt;&gt;"",IF(D75&lt;&gt;"",C75&amp;"--"&amp;D75,C75),"")</f>
        <v/>
      </c>
    </row>
    <row r="76" spans="1:8" ht="30">
      <c r="A76" s="106" t="s">
        <v>234</v>
      </c>
      <c r="B76" s="106" t="s">
        <v>78</v>
      </c>
      <c r="C76" s="177"/>
      <c r="D76" s="106"/>
      <c r="E76" s="106"/>
      <c r="F76" s="107"/>
      <c r="G76" s="108" t="str">
        <f>IF(OR(Table1[[#This Row],[English]]&lt;&gt;"",Table1[[#This Row],[Français]]&lt;&gt;""),Table1[[#This Row],[Français]]&amp;"//"&amp;Table1[[#This Row],[English]],"")</f>
        <v>Contrat de Service - Frais du détenteur du titre défrayés  (base de calcul)//Service Agreement - Fee to developer / contractor (basis for calculation)</v>
      </c>
      <c r="H76" s="109" t="str">
        <f>IF(C76&lt;&gt;"",IF(D76&lt;&gt;"",C76&amp;"--"&amp;D76,C76),"")</f>
        <v/>
      </c>
    </row>
    <row r="77" spans="1:8" ht="26" customHeight="1">
      <c r="A77" s="89" t="s">
        <v>237</v>
      </c>
      <c r="B77" s="89" t="s">
        <v>79</v>
      </c>
      <c r="C77" s="173"/>
      <c r="D77" s="89"/>
      <c r="E77" s="89"/>
      <c r="F77" s="90"/>
      <c r="G77" s="91" t="str">
        <f>IF(OR(Table1[[#This Row],[English]]&lt;&gt;"",Table1[[#This Row],[Français]]&lt;&gt;""),Table1[[#This Row],[Français]]&amp;"//"&amp;Table1[[#This Row],[English]],"")</f>
        <v>Impôt sur les Revenus des Valeurs Mobilières (IRVM)//Capital gains tax</v>
      </c>
      <c r="H77" s="92" t="str">
        <f t="shared" si="0"/>
        <v/>
      </c>
    </row>
    <row r="78" spans="1:8" ht="26" customHeight="1">
      <c r="A78" s="128" t="s">
        <v>202</v>
      </c>
      <c r="B78" s="128" t="s">
        <v>209</v>
      </c>
      <c r="C78" s="169"/>
      <c r="D78" s="27"/>
      <c r="E78" s="27"/>
      <c r="F78" s="129"/>
      <c r="G78" s="130" t="str">
        <f>IF(OR(Table1[[#This Row],[English]]&lt;&gt;"",Table1[[#This Row],[Français]]&lt;&gt;""),Table1[[#This Row],[Français]]&amp;"//"&amp;Table1[[#This Row],[English]],"")</f>
        <v>Retenue à la source sur les intérêts et/ou dividendes//Withholding tax on payment of interest and/or dividends</v>
      </c>
      <c r="H78" s="131" t="str">
        <f>IF(C78&lt;&gt;"",IF(D78&lt;&gt;"",C78&amp;"--"&amp;D78,C78),"")</f>
        <v/>
      </c>
    </row>
    <row r="79" spans="1:8">
      <c r="A79" s="27" t="s">
        <v>80</v>
      </c>
      <c r="B79" s="27" t="s">
        <v>81</v>
      </c>
      <c r="C79" s="172"/>
      <c r="D79" s="10"/>
      <c r="E79" s="10"/>
      <c r="F79" s="29"/>
      <c r="G79" s="30" t="str">
        <f>IF(OR(Table1[[#This Row],[English]]&lt;&gt;"",Table1[[#This Row],[Français]]&lt;&gt;""),Table1[[#This Row],[Français]]&amp;"//"&amp;Table1[[#This Row],[English]],"")</f>
        <v>Retenue à la source sur les salaires des nationaux//Witholding tax on national salaries</v>
      </c>
      <c r="H79" s="32" t="str">
        <f t="shared" si="0"/>
        <v/>
      </c>
    </row>
    <row r="80" spans="1:8">
      <c r="A80" s="27" t="s">
        <v>82</v>
      </c>
      <c r="B80" s="27" t="s">
        <v>83</v>
      </c>
      <c r="C80" s="188"/>
      <c r="D80" s="10"/>
      <c r="E80" s="10"/>
      <c r="F80" s="29"/>
      <c r="G80" s="30" t="str">
        <f>IF(OR(Table1[[#This Row],[English]]&lt;&gt;"",Table1[[#This Row],[Français]]&lt;&gt;""),Table1[[#This Row],[Français]]&amp;"//"&amp;Table1[[#This Row],[English]],"")</f>
        <v>Retenue à la source sur les salaires des expatriés//Witholding tax on expatriate salaries</v>
      </c>
      <c r="H80" s="32" t="str">
        <f t="shared" si="0"/>
        <v/>
      </c>
    </row>
    <row r="81" spans="1:8" ht="30">
      <c r="A81" s="27" t="s">
        <v>84</v>
      </c>
      <c r="B81" s="27" t="s">
        <v>85</v>
      </c>
      <c r="C81" s="188"/>
      <c r="D81" s="27"/>
      <c r="E81" s="27"/>
      <c r="F81" s="29"/>
      <c r="G81" s="30" t="str">
        <f>IF(OR(Table1[[#This Row],[English]]&lt;&gt;"",Table1[[#This Row],[Français]]&lt;&gt;""),Table1[[#This Row],[Français]]&amp;"//"&amp;Table1[[#This Row],[English]],"")</f>
        <v>Retenue à la source sur les prestations de service par des entreprises non résidentes//Witholding tax on services of non-resident companies</v>
      </c>
      <c r="H81" s="31" t="str">
        <f t="shared" si="0"/>
        <v/>
      </c>
    </row>
    <row r="82" spans="1:8">
      <c r="A82" s="128" t="s">
        <v>86</v>
      </c>
      <c r="B82" s="27" t="s">
        <v>87</v>
      </c>
      <c r="C82" s="188"/>
      <c r="D82" s="27"/>
      <c r="E82" s="27"/>
      <c r="F82" s="29"/>
      <c r="G82" s="30" t="str">
        <f>IF(OR(Table1[[#This Row],[English]]&lt;&gt;"",Table1[[#This Row],[Français]]&lt;&gt;""),Table1[[#This Row],[Français]]&amp;"//"&amp;Table1[[#This Row],[English]],"")</f>
        <v>Retenue à la source sur les loyers des immeubles//Witholding tax on rent</v>
      </c>
      <c r="H82" s="31" t="str">
        <f t="shared" si="0"/>
        <v/>
      </c>
    </row>
    <row r="83" spans="1:8">
      <c r="A83" s="27" t="s">
        <v>88</v>
      </c>
      <c r="B83" s="27" t="s">
        <v>89</v>
      </c>
      <c r="C83" s="178"/>
      <c r="D83" s="27"/>
      <c r="E83" s="27"/>
      <c r="F83" s="29"/>
      <c r="G83" s="30" t="str">
        <f>IF(OR(Table1[[#This Row],[English]]&lt;&gt;"",Table1[[#This Row],[Français]]&lt;&gt;""),Table1[[#This Row],[Français]]&amp;"//"&amp;Table1[[#This Row],[English]],"")</f>
        <v>Déductibilité des frais financiers//Deductibility of expenses</v>
      </c>
      <c r="H83" s="31" t="str">
        <f t="shared" si="0"/>
        <v/>
      </c>
    </row>
    <row r="84" spans="1:8">
      <c r="A84" s="33" t="s">
        <v>90</v>
      </c>
      <c r="B84" s="27" t="s">
        <v>91</v>
      </c>
      <c r="C84" s="178"/>
      <c r="D84" s="27"/>
      <c r="E84" s="27"/>
      <c r="F84" s="29"/>
      <c r="G84" s="30" t="str">
        <f>IF(OR(Table1[[#This Row],[English]]&lt;&gt;"",Table1[[#This Row],[Français]]&lt;&gt;""),Table1[[#This Row],[Français]]&amp;"//"&amp;Table1[[#This Row],[English]],"")</f>
        <v>Méthode d’évaluation de prix //Method for evaluating price</v>
      </c>
      <c r="H84" s="31" t="str">
        <f t="shared" si="0"/>
        <v/>
      </c>
    </row>
    <row r="85" spans="1:8">
      <c r="A85" s="27" t="s">
        <v>92</v>
      </c>
      <c r="B85" s="27" t="s">
        <v>93</v>
      </c>
      <c r="C85" s="178"/>
      <c r="D85" s="27"/>
      <c r="E85" s="27"/>
      <c r="F85" s="29"/>
      <c r="G85" s="30" t="str">
        <f>IF(OR(Table1[[#This Row],[English]]&lt;&gt;"",Table1[[#This Row],[Français]]&lt;&gt;""),Table1[[#This Row],[Français]]&amp;"//"&amp;Table1[[#This Row],[English]],"")</f>
        <v>Provision pour la reconstitution des gisements//Provisions for renewing reserves</v>
      </c>
      <c r="H85" s="31" t="str">
        <f t="shared" si="0"/>
        <v/>
      </c>
    </row>
    <row r="86" spans="1:8">
      <c r="A86" s="27" t="s">
        <v>94</v>
      </c>
      <c r="B86" s="27" t="s">
        <v>95</v>
      </c>
      <c r="C86" s="178"/>
      <c r="D86" s="27"/>
      <c r="E86" s="27"/>
      <c r="F86" s="29"/>
      <c r="G86" s="30" t="str">
        <f>IF(OR(Table1[[#This Row],[English]]&lt;&gt;"",Table1[[#This Row],[Français]]&lt;&gt;""),Table1[[#This Row],[Français]]&amp;"//"&amp;Table1[[#This Row],[English]],"")</f>
        <v>Crédit d'investissement//Investment credit</v>
      </c>
      <c r="H86" s="31" t="str">
        <f t="shared" si="0"/>
        <v/>
      </c>
    </row>
    <row r="87" spans="1:8" ht="17.25" customHeight="1">
      <c r="A87" s="27" t="s">
        <v>96</v>
      </c>
      <c r="B87" s="27" t="s">
        <v>97</v>
      </c>
      <c r="C87" s="179"/>
      <c r="D87" s="27"/>
      <c r="E87" s="27"/>
      <c r="F87" s="29"/>
      <c r="G87" s="30" t="str">
        <f>IF(OR(Table1[[#This Row],[English]]&lt;&gt;"",Table1[[#This Row],[Français]]&lt;&gt;""),Table1[[#This Row],[Français]]&amp;"//"&amp;Table1[[#This Row],[English]],"")</f>
        <v>Droits de douane en phase de recherche//Custom duties during exploration phase</v>
      </c>
      <c r="H87" s="31" t="str">
        <f t="shared" si="0"/>
        <v/>
      </c>
    </row>
    <row r="88" spans="1:8">
      <c r="A88" s="27" t="s">
        <v>98</v>
      </c>
      <c r="B88" s="27" t="s">
        <v>99</v>
      </c>
      <c r="C88" s="178"/>
      <c r="D88" s="27"/>
      <c r="E88" s="27"/>
      <c r="F88" s="29"/>
      <c r="G88" s="30" t="str">
        <f>IF(OR(Table1[[#This Row],[English]]&lt;&gt;"",Table1[[#This Row],[Français]]&lt;&gt;""),Table1[[#This Row],[Français]]&amp;"//"&amp;Table1[[#This Row],[English]],"")</f>
        <v>Droits de douane en phase de construction//Custom duties during construction phase</v>
      </c>
      <c r="H88" s="31" t="str">
        <f t="shared" si="0"/>
        <v/>
      </c>
    </row>
    <row r="89" spans="1:8">
      <c r="A89" s="27" t="s">
        <v>100</v>
      </c>
      <c r="B89" s="27" t="s">
        <v>219</v>
      </c>
      <c r="C89" s="178"/>
      <c r="D89" s="27"/>
      <c r="E89" s="27"/>
      <c r="F89" s="29"/>
      <c r="G89" s="30" t="str">
        <f>IF(OR(Table1[[#This Row],[English]]&lt;&gt;"",Table1[[#This Row],[Français]]&lt;&gt;""),Table1[[#This Row],[Français]]&amp;"//"&amp;Table1[[#This Row],[English]],"")</f>
        <v>Droits de douane en phase d'exploitation//Custum duties during operation phase</v>
      </c>
      <c r="H89" s="31" t="str">
        <f t="shared" si="0"/>
        <v/>
      </c>
    </row>
    <row r="90" spans="1:8">
      <c r="A90" s="27" t="s">
        <v>101</v>
      </c>
      <c r="B90" s="27" t="s">
        <v>102</v>
      </c>
      <c r="C90" s="178"/>
      <c r="D90" s="27"/>
      <c r="E90" s="27"/>
      <c r="F90" s="29"/>
      <c r="G90" s="30" t="str">
        <f>IF(OR(Table1[[#This Row],[English]]&lt;&gt;"",Table1[[#This Row],[Français]]&lt;&gt;""),Table1[[#This Row],[Français]]&amp;"//"&amp;Table1[[#This Row],[English]],"")</f>
        <v>Droits de douane pour le matériel de traitement//Custom duties on processing equipment</v>
      </c>
      <c r="H90" s="31" t="str">
        <f t="shared" si="0"/>
        <v/>
      </c>
    </row>
    <row r="91" spans="1:8" ht="30">
      <c r="A91" s="27" t="s">
        <v>103</v>
      </c>
      <c r="B91" s="27" t="s">
        <v>104</v>
      </c>
      <c r="C91" s="178"/>
      <c r="D91" s="27"/>
      <c r="E91" s="27"/>
      <c r="F91" s="29"/>
      <c r="G91" s="30" t="str">
        <f>IF(OR(Table1[[#This Row],[English]]&lt;&gt;"",Table1[[#This Row],[Français]]&lt;&gt;""),Table1[[#This Row],[Français]]&amp;"//"&amp;Table1[[#This Row],[English]],"")</f>
        <v>Droits de douane pour le matériel de transformation//Custom duties on transformation equipment</v>
      </c>
      <c r="H91" s="31" t="str">
        <f t="shared" si="0"/>
        <v/>
      </c>
    </row>
    <row r="92" spans="1:8" ht="30">
      <c r="A92" s="27" t="s">
        <v>105</v>
      </c>
      <c r="B92" s="27" t="s">
        <v>106</v>
      </c>
      <c r="C92" s="178"/>
      <c r="D92" s="27"/>
      <c r="E92" s="27"/>
      <c r="F92" s="29"/>
      <c r="G92" s="30" t="str">
        <f>IF(OR(Table1[[#This Row],[English]]&lt;&gt;"",Table1[[#This Row],[Français]]&lt;&gt;""),Table1[[#This Row],[Français]]&amp;"//"&amp;Table1[[#This Row],[English]],"")</f>
        <v>Droits de douane pour le matériel de transport//Custom duties on transportation equipment</v>
      </c>
      <c r="H92" s="31" t="str">
        <f t="shared" si="0"/>
        <v/>
      </c>
    </row>
    <row r="93" spans="1:8">
      <c r="A93" s="27" t="s">
        <v>107</v>
      </c>
      <c r="B93" s="27" t="s">
        <v>108</v>
      </c>
      <c r="C93" s="178"/>
      <c r="D93" s="27"/>
      <c r="E93" s="27"/>
      <c r="F93" s="29"/>
      <c r="G93" s="30" t="str">
        <f>IF(OR(Table1[[#This Row],[English]]&lt;&gt;"",Table1[[#This Row],[Français]]&lt;&gt;""),Table1[[#This Row],[Français]]&amp;"//"&amp;Table1[[#This Row],[English]],"")</f>
        <v>TVA//VAT</v>
      </c>
      <c r="H93" s="31" t="str">
        <f t="shared" si="0"/>
        <v/>
      </c>
    </row>
    <row r="94" spans="1:8" ht="50" customHeight="1">
      <c r="A94" s="27" t="s">
        <v>109</v>
      </c>
      <c r="B94" s="27" t="s">
        <v>110</v>
      </c>
      <c r="C94" s="178"/>
      <c r="D94" s="27"/>
      <c r="E94" s="27"/>
      <c r="F94" s="29"/>
      <c r="G94" s="30" t="str">
        <f>IF(OR(Table1[[#This Row],[English]]&lt;&gt;"",Table1[[#This Row],[Français]]&lt;&gt;""),Table1[[#This Row],[Français]]&amp;"//"&amp;Table1[[#This Row],[English]],"")</f>
        <v xml:space="preserve">Droits fixes d'octroi et de renouvellement des permis//Fixed fee for grant and renewal of license  </v>
      </c>
      <c r="H94" s="31" t="str">
        <f t="shared" si="0"/>
        <v/>
      </c>
    </row>
    <row r="95" spans="1:8">
      <c r="A95" s="27" t="s">
        <v>111</v>
      </c>
      <c r="B95" s="27" t="s">
        <v>112</v>
      </c>
      <c r="C95" s="178"/>
      <c r="D95" s="27"/>
      <c r="E95" s="27"/>
      <c r="F95" s="29"/>
      <c r="G95" s="30" t="str">
        <f>IF(OR(Table1[[#This Row],[English]]&lt;&gt;"",Table1[[#This Row],[Français]]&lt;&gt;""),Table1[[#This Row],[Français]]&amp;"//"&amp;Table1[[#This Row],[English]],"")</f>
        <v>Part patronale des cotisations de sécurité sociale//Social security contributions by employer</v>
      </c>
      <c r="H95" s="31" t="str">
        <f t="shared" ref="H95:H143" si="2">IF(C95&lt;&gt;"",IF(D95&lt;&gt;"",C95&amp;"--"&amp;D95,C95),"")</f>
        <v/>
      </c>
    </row>
    <row r="96" spans="1:8" ht="268.5" customHeight="1">
      <c r="A96" s="128" t="s">
        <v>113</v>
      </c>
      <c r="B96" s="128" t="s">
        <v>114</v>
      </c>
      <c r="C96" s="180" t="s">
        <v>923</v>
      </c>
      <c r="D96" s="27" t="s">
        <v>880</v>
      </c>
      <c r="E96" s="27" t="s">
        <v>881</v>
      </c>
      <c r="F96" s="129"/>
      <c r="G96" s="130" t="str">
        <f>IF(OR(Table1[[#This Row],[English]]&lt;&gt;"",Table1[[#This Row],[Français]]&lt;&gt;""),Table1[[#This Row],[Français]]&amp;"//"&amp;Table1[[#This Row],[English]],"")</f>
        <v>Redevances superficiaires//Surface fees</v>
      </c>
      <c r="H96" s="131" t="str">
        <f t="shared" si="2"/>
        <v>The land rental bid is US$ 10.20 per hectare per year. The land rental bid payment is based on the bid provided in the bid opening ceremony multiplied by the surface area in hectares of the contract area. Bassa Logging Timber Corporation shall pay the land rental bid fee annually to the Government within 30 days after the date upon which the contract satisfies the requirements of Section 5.3(f) of the National Forestry Law of 2006 that the contract be both signed by the President and ratified by the legislature. Bassa Logging Timber Corporation shall pay log stumpage, annual contract administration, area, coupe inspection, and forest product fees to the Government under Regulation 107-07, on Certain Forest Fees.--Arts. A4, B8.11 - B8.14</v>
      </c>
    </row>
    <row r="97" spans="1:8">
      <c r="A97" s="27" t="s">
        <v>115</v>
      </c>
      <c r="B97" s="27" t="s">
        <v>116</v>
      </c>
      <c r="C97" s="178"/>
      <c r="D97" s="27"/>
      <c r="E97" s="27"/>
      <c r="F97" s="29"/>
      <c r="G97" s="30" t="str">
        <f>IF(OR(Table1[[#This Row],[English]]&lt;&gt;"",Table1[[#This Row],[Français]]&lt;&gt;""),Table1[[#This Row],[Français]]&amp;"//"&amp;Table1[[#This Row],[English]],"")</f>
        <v>Obligations communautaires ou sous-nationales//Community and regional obligations</v>
      </c>
      <c r="H97" s="31" t="str">
        <f t="shared" si="2"/>
        <v/>
      </c>
    </row>
    <row r="98" spans="1:8" ht="29" customHeight="1">
      <c r="A98" s="27" t="s">
        <v>198</v>
      </c>
      <c r="B98" s="27" t="s">
        <v>170</v>
      </c>
      <c r="C98" s="180"/>
      <c r="D98" s="10"/>
      <c r="E98" s="27"/>
      <c r="F98" s="29"/>
      <c r="G98" s="52" t="str">
        <f>IF(OR(Table1[[#This Row],[English]]&lt;&gt;"",Table1[[#This Row],[Français]]&lt;&gt;""),Table1[[#This Row],[Français]]&amp;"//"&amp;Table1[[#This Row],[English]],"")</f>
        <v>Crédits de carbone//Carbon credits</v>
      </c>
      <c r="H98" s="53" t="str">
        <f>IF(C98&lt;&gt;"",IF(D98&lt;&gt;"",C98&amp;"--"&amp;D98,C98),"")</f>
        <v/>
      </c>
    </row>
    <row r="99" spans="1:8">
      <c r="A99" s="85" t="s">
        <v>117</v>
      </c>
      <c r="B99" s="89" t="s">
        <v>118</v>
      </c>
      <c r="C99" s="176"/>
      <c r="D99" s="159"/>
      <c r="E99" s="159"/>
      <c r="F99" s="86"/>
      <c r="G99" s="87" t="str">
        <f>IF(OR(Table1[[#This Row],[English]]&lt;&gt;"",Table1[[#This Row],[Français]]&lt;&gt;""),Table1[[#This Row],[Français]]&amp;"//"&amp;Table1[[#This Row],[English]],"")</f>
        <v>Primes//Bonuses</v>
      </c>
      <c r="H99" s="88" t="str">
        <f t="shared" si="2"/>
        <v/>
      </c>
    </row>
    <row r="100" spans="1:8" ht="31.5" customHeight="1">
      <c r="A100" s="85" t="s">
        <v>119</v>
      </c>
      <c r="B100" s="89" t="s">
        <v>120</v>
      </c>
      <c r="C100" s="175"/>
      <c r="D100" s="150"/>
      <c r="E100" s="150"/>
      <c r="F100" s="86"/>
      <c r="G100" s="87" t="str">
        <f>IF(OR(Table1[[#This Row],[English]]&lt;&gt;"",Table1[[#This Row],[Français]]&lt;&gt;""),Table1[[#This Row],[Français]]&amp;"//"&amp;Table1[[#This Row],[English]],"")</f>
        <v>Participation de l'Etat//State participation</v>
      </c>
      <c r="H100" s="88" t="str">
        <f t="shared" si="2"/>
        <v/>
      </c>
    </row>
    <row r="101" spans="1:8">
      <c r="A101" s="85" t="s">
        <v>121</v>
      </c>
      <c r="B101" s="85" t="s">
        <v>122</v>
      </c>
      <c r="C101" s="176"/>
      <c r="D101" s="159"/>
      <c r="E101" s="159"/>
      <c r="F101" s="86"/>
      <c r="G101" s="87" t="str">
        <f>IF(OR(Table1[[#This Row],[English]]&lt;&gt;"",Table1[[#This Row],[Français]]&lt;&gt;""),Table1[[#This Row],[Français]]&amp;"//"&amp;Table1[[#This Row],[English]],"")</f>
        <v>Exonérations non-précisées ailleurs//Other exemptions</v>
      </c>
      <c r="H101" s="88" t="str">
        <f t="shared" si="2"/>
        <v/>
      </c>
    </row>
    <row r="102" spans="1:8" ht="39.75" customHeight="1">
      <c r="A102" s="104" t="s">
        <v>196</v>
      </c>
      <c r="B102" s="104" t="s">
        <v>195</v>
      </c>
      <c r="C102" s="175"/>
      <c r="D102" s="89"/>
      <c r="E102" s="89"/>
      <c r="F102" s="86"/>
      <c r="G102" s="87" t="str">
        <f>IF(OR(Table1[[#This Row],[English]]&lt;&gt;"",Table1[[#This Row],[Français]]&lt;&gt;""),Table1[[#This Row],[Français]]&amp;"//"&amp;Table1[[#This Row],[English]],"")</f>
        <v>Modes d'audit à l'égard des obligations financières du détenteur du titre//Audit mechanisms - financial obligations</v>
      </c>
      <c r="H102" s="88" t="str">
        <f t="shared" si="2"/>
        <v/>
      </c>
    </row>
    <row r="103" spans="1:8" ht="21.75" customHeight="1">
      <c r="A103" s="85" t="s">
        <v>123</v>
      </c>
      <c r="B103" s="85" t="s">
        <v>124</v>
      </c>
      <c r="C103" s="200"/>
      <c r="D103" s="150"/>
      <c r="E103" s="150"/>
      <c r="F103" s="86"/>
      <c r="G103" s="87" t="str">
        <f>IF(OR(Table1[[#This Row],[English]]&lt;&gt;"",Table1[[#This Row],[Français]]&lt;&gt;""),Table1[[#This Row],[Français]]&amp;"//"&amp;Table1[[#This Row],[English]],"")</f>
        <v>Restrictions sur les transactions avec les parties liées//Restrictions on transactions with affiliated parties</v>
      </c>
      <c r="H103" s="88" t="str">
        <f>IF(C103&lt;&gt;"",IF(D103&lt;&gt;"",C103&amp;"--"&amp;D103,C103),"")</f>
        <v/>
      </c>
    </row>
    <row r="104" spans="1:8" ht="27.75" customHeight="1">
      <c r="A104" s="83" t="s">
        <v>176</v>
      </c>
      <c r="B104" s="82" t="s">
        <v>174</v>
      </c>
      <c r="C104" s="175"/>
      <c r="D104" s="89"/>
      <c r="E104" s="150"/>
      <c r="F104" s="86"/>
      <c r="G104" s="87" t="str">
        <f>IF(OR(Table1[[#This Row],[English]]&lt;&gt;"",Table1[[#This Row],[Français]]&lt;&gt;""),Table1[[#This Row],[Français]]&amp;"//"&amp;Table1[[#This Row],[English]],"")</f>
        <v>Autre - [le nom de catégorie]//Other - [Name of Category]</v>
      </c>
      <c r="H104" s="88" t="str">
        <f t="shared" si="2"/>
        <v/>
      </c>
    </row>
    <row r="105" spans="1:8">
      <c r="A105" s="152"/>
      <c r="B105" s="34"/>
      <c r="C105" s="193"/>
      <c r="D105" s="151"/>
      <c r="E105" s="151"/>
      <c r="F105" s="15"/>
      <c r="G105" s="16" t="str">
        <f>IF(OR(Table1[[#This Row],[English]]&lt;&gt;"",Table1[[#This Row],[Français]]&lt;&gt;""),Table1[[#This Row],[Français]]&amp;"//"&amp;Table1[[#This Row],[English]],"")</f>
        <v/>
      </c>
      <c r="H105" s="35" t="str">
        <f t="shared" si="2"/>
        <v/>
      </c>
    </row>
    <row r="106" spans="1:8" ht="30">
      <c r="A106" s="62" t="s">
        <v>191</v>
      </c>
      <c r="B106" s="63" t="s">
        <v>125</v>
      </c>
      <c r="C106" s="167"/>
      <c r="D106" s="156"/>
      <c r="E106" s="156"/>
      <c r="F106" s="18"/>
      <c r="G106" s="19" t="str">
        <f>IF(OR(Table1[[#This Row],[English]]&lt;&gt;"",Table1[[#This Row],[Français]]&lt;&gt;""),Table1[[#This Row],[Français]]&amp;"//"&amp;Table1[[#This Row],[English]],"")</f>
        <v>4. Dispositions environnementales //4. Environmental provisions</v>
      </c>
      <c r="H106" s="20" t="str">
        <f t="shared" si="2"/>
        <v/>
      </c>
    </row>
    <row r="107" spans="1:8" ht="71" customHeight="1">
      <c r="A107" s="93" t="s">
        <v>212</v>
      </c>
      <c r="B107" s="93" t="s">
        <v>220</v>
      </c>
      <c r="C107" s="163" t="s">
        <v>924</v>
      </c>
      <c r="D107" s="71" t="s">
        <v>882</v>
      </c>
      <c r="E107" s="71" t="s">
        <v>883</v>
      </c>
      <c r="F107" s="68"/>
      <c r="G107" s="69"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7" s="70" t="str">
        <f t="shared" si="2"/>
        <v>The contract may be interrupted by the Forestry Development Authority to ensure consistency with the Environmental Impact Assessment and related documents--Art. B10.24</v>
      </c>
    </row>
    <row r="108" spans="1:8" ht="79.5" customHeight="1">
      <c r="A108" s="124" t="s">
        <v>214</v>
      </c>
      <c r="B108" s="124" t="s">
        <v>213</v>
      </c>
      <c r="C108" s="164" t="s">
        <v>925</v>
      </c>
      <c r="D108" s="10" t="s">
        <v>882</v>
      </c>
      <c r="E108" s="10" t="s">
        <v>883</v>
      </c>
      <c r="F108" s="141"/>
      <c r="G108" s="142"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8" s="143" t="str">
        <f t="shared" si="2"/>
        <v>The contract may be interrupted by the Forestry Development Authority to prevent environmental degradation or resource damage and to conduct environmental analysis--Art. B10.24</v>
      </c>
    </row>
    <row r="109" spans="1:8" ht="45">
      <c r="A109" s="94" t="s">
        <v>226</v>
      </c>
      <c r="B109" s="95" t="s">
        <v>180</v>
      </c>
      <c r="C109" s="173"/>
      <c r="D109" s="82"/>
      <c r="E109" s="94"/>
      <c r="F109" s="96"/>
      <c r="G109" s="97"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09" s="98" t="str">
        <f>IF(C109&lt;&gt;"",IF(D109&lt;&gt;"",C109&amp;"--"&amp;D109,C109),"")</f>
        <v/>
      </c>
    </row>
    <row r="110" spans="1:8" ht="409.5" customHeight="1">
      <c r="A110" s="118" t="s">
        <v>211</v>
      </c>
      <c r="B110" s="118" t="s">
        <v>210</v>
      </c>
      <c r="C110" s="180" t="s">
        <v>918</v>
      </c>
      <c r="D110" s="56" t="s">
        <v>906</v>
      </c>
      <c r="E110" s="192" t="s">
        <v>884</v>
      </c>
      <c r="F110" s="120"/>
      <c r="G110" s="121"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0" s="122" t="str">
        <f>IF(C110&lt;&gt;"",IF(D110&lt;&gt;"",C110&amp;"--"&amp;D110,C110),"")</f>
        <v>Bassa Logging Timber Corporation's harvests must be consistent with sustainable management of forest resources. Bassa Logging Timber Corporation shall conduct its operations in a manner that promotes sustainable development of forest resources and environmental protection for the common good of the people of Liberia. It shall conduct all operations and activities using only environmentally sound forest harvesting practices that conform to the Forest Management Guidelines, the Liberia Code of Forest Harvesting Practices, and internationally accepted, scientific principles and practices applicable to forest operations and timber processing. Bassa Logging Timber Corporation shall conduct all operations and activities so as to avoid waste and loss of natural resources and to protect natural resources from damage. It shall conduct all operations and activities so as to prevent pollution and contamination of the environment. Bassa Logging Timber Corporation shall harvest trees in a manner that avoids unnecessary damage and waste, and unnecessary damage to young growth and other trees. It shall identify in the annual operational plan areas requiring special measures for the protection of plants and animals, and it shall protect these areas from damage or removal during operations. Bassa Logging Timber Corporation shall comply with the Liberia Code of Forest Harvesting Practices for the protection of wildlife in the contract area, as well as for watercourse protection and erosion prevention and control. It shall provide for the proper disposal of sawdust, mill, and other wastes to prevent pollution or contamination.--Arts. B2.1, B3.3, B6.3, B6.32, B6.34, B6.35, B6.36, B6.37, B6.38</v>
      </c>
    </row>
    <row r="111" spans="1:8" ht="45" customHeight="1">
      <c r="A111" s="83" t="s">
        <v>240</v>
      </c>
      <c r="B111" s="82" t="s">
        <v>239</v>
      </c>
      <c r="C111" s="163"/>
      <c r="D111" s="76"/>
      <c r="E111" s="76"/>
      <c r="F111" s="68"/>
      <c r="G111" s="69" t="str">
        <f>IF(OR(Table1[[#This Row],[English]]&lt;&gt;"",Table1[[#This Row],[Français]]&lt;&gt;""),Table1[[#This Row],[Français]]&amp;"//"&amp;Table1[[#This Row],[English]],"")</f>
        <v>Autre - [Responsabilité environnementale]//Other - [Environmental liability]</v>
      </c>
      <c r="H111" s="70" t="str">
        <f t="shared" si="2"/>
        <v/>
      </c>
    </row>
    <row r="112" spans="1:8">
      <c r="A112" s="37"/>
      <c r="B112" s="38"/>
      <c r="C112" s="182"/>
      <c r="D112" s="196"/>
      <c r="E112" s="196"/>
      <c r="F112" s="15"/>
      <c r="G112" s="16" t="str">
        <f>IF(OR(Table1[[#This Row],[English]]&lt;&gt;"",Table1[[#This Row],[Français]]&lt;&gt;""),Table1[[#This Row],[Français]]&amp;"//"&amp;Table1[[#This Row],[English]],"")</f>
        <v/>
      </c>
      <c r="H112" s="17" t="str">
        <f t="shared" si="2"/>
        <v/>
      </c>
    </row>
    <row r="113" spans="1:8" ht="45">
      <c r="A113" s="62" t="s">
        <v>183</v>
      </c>
      <c r="B113" s="18" t="s">
        <v>126</v>
      </c>
      <c r="C113" s="167"/>
      <c r="D113" s="156"/>
      <c r="E113" s="156"/>
      <c r="F113" s="18"/>
      <c r="G113" s="19" t="str">
        <f>IF(OR(Table1[[#This Row],[English]]&lt;&gt;"",Table1[[#This Row],[Français]]&lt;&gt;""),Table1[[#This Row],[Français]]&amp;"//"&amp;Table1[[#This Row],[English]],"")</f>
        <v>5. Dispositions relatives aux opérations et à l’infrastructure//5. Operational provisions</v>
      </c>
      <c r="H113" s="20" t="str">
        <f t="shared" si="2"/>
        <v/>
      </c>
    </row>
    <row r="114" spans="1:8" ht="94.5" customHeight="1">
      <c r="A114" s="55" t="s">
        <v>181</v>
      </c>
      <c r="B114" s="64" t="s">
        <v>182</v>
      </c>
      <c r="C114" s="183" t="s">
        <v>907</v>
      </c>
      <c r="D114" s="65" t="s">
        <v>885</v>
      </c>
      <c r="E114" s="64" t="s">
        <v>865</v>
      </c>
      <c r="F114" s="64"/>
      <c r="G114" s="66" t="str">
        <f>IF(OR(Table1[[#This Row],[English]]&lt;&gt;"",Table1[[#This Row],[Français]]&lt;&gt;""),Table1[[#This Row],[Français]]&amp;"//"&amp;Table1[[#This Row],[English]],"")</f>
        <v>L'étude de faisabilité et le plan d'affaires//Feasibility studies and requirement of business plan</v>
      </c>
      <c r="H114" s="53" t="str">
        <f>IF(C114&lt;&gt;"",IF(D114&lt;&gt;"",C114&amp;"--"&amp;D114,C114),"")</f>
        <v>Bassa Logging Timber Corporation must include an up-to-date business plan demonstrating it has the technical and financial capacity to manage the contract area sustainably. The business plan must conform to the Guidelines for Forest Management Planning.--Art. B3.13</v>
      </c>
    </row>
    <row r="115" spans="1:8" ht="27.75" customHeight="1">
      <c r="A115" s="93" t="s">
        <v>127</v>
      </c>
      <c r="B115" s="99" t="s">
        <v>128</v>
      </c>
      <c r="C115" s="163"/>
      <c r="D115" s="76"/>
      <c r="E115" s="76"/>
      <c r="F115" s="68"/>
      <c r="G115" s="69" t="str">
        <f>IF(OR(Table1[[#This Row],[English]]&lt;&gt;"",Table1[[#This Row],[Français]]&lt;&gt;""),Table1[[#This Row],[Français]]&amp;"//"&amp;Table1[[#This Row],[English]],"")</f>
        <v>Obligations de travaux, d'investissements//Work and investment commitments</v>
      </c>
      <c r="H115" s="70" t="str">
        <f t="shared" si="2"/>
        <v/>
      </c>
    </row>
    <row r="116" spans="1:8">
      <c r="A116" s="36" t="s">
        <v>129</v>
      </c>
      <c r="B116" s="36" t="s">
        <v>130</v>
      </c>
      <c r="C116" s="184"/>
      <c r="D116" s="10"/>
      <c r="E116" s="10"/>
      <c r="F116" s="11"/>
      <c r="G116" s="12" t="str">
        <f>IF(OR(Table1[[#This Row],[English]]&lt;&gt;"",Table1[[#This Row],[Français]]&lt;&gt;""),Table1[[#This Row],[Français]]&amp;"//"&amp;Table1[[#This Row],[English]],"")</f>
        <v>Rétrocession//Transfer of risk</v>
      </c>
      <c r="H116" s="13" t="str">
        <f t="shared" si="2"/>
        <v/>
      </c>
    </row>
    <row r="117" spans="1:8" ht="69" customHeight="1">
      <c r="A117" s="67" t="s">
        <v>131</v>
      </c>
      <c r="B117" s="67" t="s">
        <v>132</v>
      </c>
      <c r="C117" s="163" t="s">
        <v>899</v>
      </c>
      <c r="D117" s="154" t="s">
        <v>898</v>
      </c>
      <c r="E117" s="154" t="s">
        <v>886</v>
      </c>
      <c r="F117" s="68"/>
      <c r="G117" s="69" t="str">
        <f>IF(OR(Table1[[#This Row],[English]]&lt;&gt;"",Table1[[#This Row],[Français]]&lt;&gt;""),Table1[[#This Row],[Français]]&amp;"//"&amp;Table1[[#This Row],[English]],"")</f>
        <v>Construction et entretien d'infrastructure//Construction and maintenance of infrastructure</v>
      </c>
      <c r="H117" s="70" t="str">
        <f>IF(C117&lt;&gt;"",IF(D117&lt;&gt;"",C117&amp;"--"&amp;D117,C117),"")</f>
        <v>Bassa Logging Timber Corporation shall carry out road construction and maintenance activities in compliance with the Liberia Code of Forest Harvesting Practices--Art. B6.5</v>
      </c>
    </row>
    <row r="118" spans="1:8" ht="15" customHeight="1">
      <c r="A118" s="10" t="s">
        <v>203</v>
      </c>
      <c r="B118" s="10" t="s">
        <v>133</v>
      </c>
      <c r="C118" s="172"/>
      <c r="D118" s="10"/>
      <c r="E118" s="10"/>
      <c r="F118" s="11"/>
      <c r="G118" s="12" t="str">
        <f>IF(OR(Table1[[#This Row],[English]]&lt;&gt;"",Table1[[#This Row],[Français]]&lt;&gt;""),Table1[[#This Row],[Français]]&amp;"//"&amp;Table1[[#This Row],[English]],"")</f>
        <v>Commercialisation et accès gouvernemental à la production //Marketing of output and state access to output</v>
      </c>
      <c r="H118" s="13" t="str">
        <f t="shared" si="2"/>
        <v/>
      </c>
    </row>
    <row r="119" spans="1:8">
      <c r="A119" s="113" t="s">
        <v>134</v>
      </c>
      <c r="B119" s="114" t="s">
        <v>135</v>
      </c>
      <c r="C119" s="185"/>
      <c r="D119" s="112"/>
      <c r="E119" s="112"/>
      <c r="F119" s="115"/>
      <c r="G119" s="116" t="str">
        <f>IF(OR(Table1[[#This Row],[English]]&lt;&gt;"",Table1[[#This Row],[Français]]&lt;&gt;""),Table1[[#This Row],[Français]]&amp;"//"&amp;Table1[[#This Row],[English]],"")</f>
        <v>Utilisation d’infrastructure par les tiers//Third party use of infrastructure</v>
      </c>
      <c r="H119" s="117" t="str">
        <f t="shared" si="2"/>
        <v/>
      </c>
    </row>
    <row r="120" spans="1:8">
      <c r="A120" s="39" t="s">
        <v>136</v>
      </c>
      <c r="B120" s="33" t="s">
        <v>137</v>
      </c>
      <c r="C120" s="164"/>
      <c r="D120" s="10"/>
      <c r="E120" s="10"/>
      <c r="F120" s="11"/>
      <c r="G120" s="12" t="str">
        <f>IF(OR(Table1[[#This Row],[English]]&lt;&gt;"",Table1[[#This Row],[Français]]&lt;&gt;""),Table1[[#This Row],[Français]]&amp;"//"&amp;Table1[[#This Row],[English]],"")</f>
        <v>Financement d’infrastructure//Financing of infrastructure</v>
      </c>
      <c r="H120" s="13" t="str">
        <f t="shared" si="2"/>
        <v/>
      </c>
    </row>
    <row r="121" spans="1:8">
      <c r="A121" s="39" t="s">
        <v>138</v>
      </c>
      <c r="B121" s="33" t="s">
        <v>139</v>
      </c>
      <c r="C121" s="164"/>
      <c r="D121" s="10"/>
      <c r="E121" s="10"/>
      <c r="F121" s="11"/>
      <c r="G121" s="12" t="str">
        <f>IF(OR(Table1[[#This Row],[English]]&lt;&gt;"",Table1[[#This Row],[Français]]&lt;&gt;""),Table1[[#This Row],[Français]]&amp;"//"&amp;Table1[[#This Row],[English]],"")</f>
        <v>Propriété d’infrastructure//Ownership of infrastructure</v>
      </c>
      <c r="H121" s="13" t="str">
        <f t="shared" si="2"/>
        <v/>
      </c>
    </row>
    <row r="122" spans="1:8" ht="30">
      <c r="A122" s="28" t="s">
        <v>197</v>
      </c>
      <c r="B122" s="27" t="s">
        <v>194</v>
      </c>
      <c r="C122" s="178"/>
      <c r="D122" s="27"/>
      <c r="E122" s="27"/>
      <c r="F122" s="29"/>
      <c r="G122" s="30" t="str">
        <f>IF(OR(Table1[[#This Row],[English]]&lt;&gt;"",Table1[[#This Row],[Français]]&lt;&gt;""),Table1[[#This Row],[Français]]&amp;"//"&amp;Table1[[#This Row],[English]],"")</f>
        <v>Modes d'audit à l'égard des dispositions opérationnelles//Audit mechanisms - operational obligations</v>
      </c>
      <c r="H122" s="31" t="str">
        <f t="shared" si="2"/>
        <v/>
      </c>
    </row>
    <row r="123" spans="1:8">
      <c r="A123" s="54" t="s">
        <v>179</v>
      </c>
      <c r="B123" s="55" t="s">
        <v>171</v>
      </c>
      <c r="C123" s="180"/>
      <c r="D123" s="56"/>
      <c r="E123" s="192"/>
      <c r="F123" s="54"/>
      <c r="G123" s="52" t="str">
        <f>IF(OR(Table1[[#This Row],[English]]&lt;&gt;"",Table1[[#This Row],[Français]]&lt;&gt;""),Table1[[#This Row],[Français]]&amp;"//"&amp;Table1[[#This Row],[English]],"")</f>
        <v>Activité de beneficiation/ valeur ajoutée//Value addition/downstream activities</v>
      </c>
      <c r="H123" s="53" t="str">
        <f>IF(C123&lt;&gt;"",IF(D123&lt;&gt;"",C123&amp;"--"&amp;D123,C123),"")</f>
        <v/>
      </c>
    </row>
    <row r="124" spans="1:8" ht="320" customHeight="1">
      <c r="A124" s="136" t="s">
        <v>227</v>
      </c>
      <c r="B124" s="137" t="s">
        <v>172</v>
      </c>
      <c r="C124" s="219" t="s">
        <v>927</v>
      </c>
      <c r="D124" s="220" t="s">
        <v>908</v>
      </c>
      <c r="E124" s="136" t="s">
        <v>909</v>
      </c>
      <c r="F124" s="138"/>
      <c r="G124" s="139"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4" s="140" t="str">
        <f>IF(C124&lt;&gt;"",IF(D124&lt;&gt;"",C124&amp;"--"&amp;D124,C124),"")</f>
        <v>Bassa Logging Timber Corporation shall not use public land outside the contract area unless it has express, written permission from the Forestry Development Authority. Before requesting permission, Bassa Logging Timber Corporation shall consult with all potentially affected communities with which it has entered into social agreements. The Forestry Development Authority shall not unreasonably deny permission to use such land. Bassa Logging Timber Corporation may use private land with the express, written permission of the land owner. If Bassa Logging Timber Corporation is unable to obtain the permission of the land owner for such use, then use is limited to rights of way, and any compensation is governed by Chapter 11 of the Forestry Reform Law of 2006 and the Forestry Development Authority Regulation 110-07. With or without permission of the land owner, Bassa Logging Timber Corporation shall not seek a use, lease, right-of-way, or easement that substantially interferes with the operations of another previously issued forest management contract or timber sale contract. Bassa Logging Timber Corporation also shall not interfere with any good faith exercise of third-party rights to timber or forest products, including customary rights, without permission of the third party. --Arts. B4.12, B4.13</v>
      </c>
    </row>
    <row r="125" spans="1:8" ht="24.75" customHeight="1">
      <c r="A125" s="83" t="s">
        <v>176</v>
      </c>
      <c r="B125" s="201" t="s">
        <v>174</v>
      </c>
      <c r="C125" s="173"/>
      <c r="D125" s="82"/>
      <c r="E125" s="94"/>
      <c r="F125" s="96"/>
      <c r="G125" s="97" t="str">
        <f>IF(OR(Table1[[#This Row],[English]]&lt;&gt;"",Table1[[#This Row],[Français]]&lt;&gt;""),Table1[[#This Row],[Français]]&amp;"//"&amp;Table1[[#This Row],[English]],"")</f>
        <v>Autre - [le nom de catégorie]//Other - [Name of Category]</v>
      </c>
      <c r="H125" s="98" t="str">
        <f>IF(C125&lt;&gt;"",IF(D125&lt;&gt;"",C125&amp;"--"&amp;D125,C125),"")</f>
        <v/>
      </c>
    </row>
    <row r="126" spans="1:8" ht="27" customHeight="1">
      <c r="A126" s="197"/>
      <c r="B126" s="40"/>
      <c r="C126" s="198"/>
      <c r="D126" s="199"/>
      <c r="E126" s="199"/>
      <c r="F126" s="15"/>
      <c r="G126" s="16" t="str">
        <f>IF(OR(Table1[[#This Row],[English]]&lt;&gt;"",Table1[[#This Row],[Français]]&lt;&gt;""),Table1[[#This Row],[Français]]&amp;"//"&amp;Table1[[#This Row],[English]],"")</f>
        <v/>
      </c>
      <c r="H126" s="17" t="str">
        <f t="shared" si="2"/>
        <v/>
      </c>
    </row>
    <row r="127" spans="1:8" ht="30">
      <c r="A127" s="21" t="s">
        <v>140</v>
      </c>
      <c r="B127" s="21" t="s">
        <v>141</v>
      </c>
      <c r="C127" s="167"/>
      <c r="D127" s="156"/>
      <c r="E127" s="156"/>
      <c r="F127" s="18"/>
      <c r="G127" s="19" t="str">
        <f>IF(OR(Table1[[#This Row],[English]]&lt;&gt;"",Table1[[#This Row],[Français]]&lt;&gt;""),Table1[[#This Row],[Français]]&amp;"//"&amp;Table1[[#This Row],[English]],"")</f>
        <v>6. Dispositions diverses//6. Miscellaneous provisions</v>
      </c>
      <c r="H127" s="20" t="str">
        <f t="shared" si="2"/>
        <v/>
      </c>
    </row>
    <row r="128" spans="1:8" ht="37" customHeight="1">
      <c r="A128" s="99" t="s">
        <v>142</v>
      </c>
      <c r="B128" s="93" t="s">
        <v>143</v>
      </c>
      <c r="C128" s="163" t="s">
        <v>888</v>
      </c>
      <c r="D128" s="71" t="s">
        <v>889</v>
      </c>
      <c r="E128" s="71" t="s">
        <v>890</v>
      </c>
      <c r="F128" s="68"/>
      <c r="G128" s="69" t="str">
        <f>IF(OR(Table1[[#This Row],[English]]&lt;&gt;"",Table1[[#This Row],[Français]]&lt;&gt;""),Table1[[#This Row],[Français]]&amp;"//"&amp;Table1[[#This Row],[English]],"")</f>
        <v>Loi applicable en cas des différends//Governing law in case of dispute</v>
      </c>
      <c r="H128" s="70" t="str">
        <f t="shared" si="2"/>
        <v>The laws of the Republic of Liberia govern the contract--Art. B3.41</v>
      </c>
    </row>
    <row r="129" spans="1:8" ht="267" customHeight="1">
      <c r="A129" s="99" t="s">
        <v>144</v>
      </c>
      <c r="B129" s="85" t="s">
        <v>145</v>
      </c>
      <c r="C129" s="163" t="s">
        <v>929</v>
      </c>
      <c r="D129" s="76" t="s">
        <v>928</v>
      </c>
      <c r="E129" s="76" t="s">
        <v>900</v>
      </c>
      <c r="F129" s="68"/>
      <c r="G129" s="69" t="str">
        <f>IF(OR(Table1[[#This Row],[English]]&lt;&gt;"",Table1[[#This Row],[Français]]&lt;&gt;""),Table1[[#This Row],[Français]]&amp;"//"&amp;Table1[[#This Row],[English]],"")</f>
        <v>Arbitrage et règlement des différends//Arbitration and dispute resolution</v>
      </c>
      <c r="H129" s="70" t="str">
        <f t="shared" si="2"/>
        <v>Failure by Bassa Logging Timber Corporation to submit a claim (a written demand seeking the payment of money, adjustment or interpretation of contract terms, or other relief, under or relating to this contract) for resolution within 60 days of the disputed action by the Forestry Development Authority shall relinquish the Forestry Development Authority of any and all obligations related to the dispute. Claims arising under the contract shall be decided by the contracting officer (an officer of the Forestry Development Authority who has been delegated the power and duty to administer the contract). The decision of the contracting officer shall be final and conclusive if within 45 days from receipt, Bassa Logging Timber Corporation fails to appeal the decision to an appropriate Liberian court.--Arts. B1.0, B10.13</v>
      </c>
    </row>
    <row r="130" spans="1:8" ht="139" customHeight="1">
      <c r="A130" s="99" t="s">
        <v>146</v>
      </c>
      <c r="B130" s="93" t="s">
        <v>147</v>
      </c>
      <c r="C130" s="175" t="s">
        <v>930</v>
      </c>
      <c r="D130" s="71" t="s">
        <v>891</v>
      </c>
      <c r="E130" s="71" t="s">
        <v>892</v>
      </c>
      <c r="F130" s="68"/>
      <c r="G130" s="69" t="str">
        <f>IF(OR(Table1[[#This Row],[English]]&lt;&gt;"",Table1[[#This Row],[Français]]&lt;&gt;""),Table1[[#This Row],[Français]]&amp;"//"&amp;Table1[[#This Row],[English]],"")</f>
        <v>Clause de stabilisation//Stabilization clause</v>
      </c>
      <c r="H130" s="70" t="str">
        <f t="shared" si="2"/>
        <v>If any statute or regulation referred to in the contract is amended, the contract shall be taken to refer to the newly amended statute or regulation. If the statute or regulation is repealed, the contract shall be taken to refer to the material that replaces the repealed act or regulation, as determined by the contracting officer (an officer of the Forestry Development Authority who has been delegated the power and duty to administer the contract).--Art. B1.0(iii)</v>
      </c>
    </row>
    <row r="131" spans="1:8" ht="147.75" customHeight="1">
      <c r="A131" s="36" t="s">
        <v>148</v>
      </c>
      <c r="B131" s="10" t="s">
        <v>149</v>
      </c>
      <c r="C131" s="164" t="s">
        <v>926</v>
      </c>
      <c r="D131" s="10" t="s">
        <v>893</v>
      </c>
      <c r="E131" s="10" t="s">
        <v>894</v>
      </c>
      <c r="F131" s="11"/>
      <c r="G131" s="12" t="str">
        <f>IF(OR(Table1[[#This Row],[English]]&lt;&gt;"",Table1[[#This Row],[Français]]&lt;&gt;""),Table1[[#This Row],[Français]]&amp;"//"&amp;Table1[[#This Row],[English]],"")</f>
        <v>Cession / transfert//Assignment / transfer</v>
      </c>
      <c r="H131" s="13" t="str">
        <f t="shared" si="2"/>
        <v>Bassa Logging Timber Corporation shall not transfer this contract or any interests, rights, privileges or obligations under the contract without prior written approval from the Forestry Development Authority. The Forestry Development Authority shall not consent to any transfer, except in compliance with Regulation 104-07, Section 71.--Art. B2.3</v>
      </c>
    </row>
    <row r="132" spans="1:8" ht="409">
      <c r="A132" s="36" t="s">
        <v>228</v>
      </c>
      <c r="B132" s="10" t="s">
        <v>150</v>
      </c>
      <c r="C132" s="164" t="s">
        <v>931</v>
      </c>
      <c r="D132" s="10" t="s">
        <v>876</v>
      </c>
      <c r="E132" s="10" t="s">
        <v>895</v>
      </c>
      <c r="F132" s="11"/>
      <c r="G132" s="12" t="str">
        <f>IF(OR(Table1[[#This Row],[English]]&lt;&gt;"",Table1[[#This Row],[Français]]&lt;&gt;""),Table1[[#This Row],[Français]]&amp;"//"&amp;Table1[[#This Row],[English]],"")</f>
        <v>Annulation / Résiliation //Cancellation / termination</v>
      </c>
      <c r="H132" s="13" t="str">
        <f t="shared" si="2"/>
        <v>The contract may be terminated if Bassa Logging Timber Corporation commits a number of breaches, including (b) felling trees not covered by an Annual Harvesting Certificate, (d) abandoning operations for a period of 1 year or more, (e) significantly failing to meet the requirements of an approved annual operational plan, (f) assigning to a third-party rights held under the contract without the consent of the Forestry Development Authority, (g) going into bankruptcy or liquidation, (i) failing to meet any monetary obligations, including payments of bids or fees to the Government or payments to local communities, in a timely fashion, (k) engaging in a pattern of activity that demonstrates flagrant disregard for the terms of the contract, (m) failing to comply with any provisions of law or regulations, (o) intentionally removing any timber, forest products (flora, fauna, and micro-organisms with social or economic value) or natural resources not provided for in the contract without written approval from the Government, (q) being convicted for violation of criminal statutes or civil standards, or other regulations for environmental protection, (r) failing to comply with a Social Agreement, and (s) if it or its senior officials are convicted for violation of criminal statutes and civil standards, or any other offense indicating a lack of business integrity or honesty that seriously and directly affects the responsibility of Bassa Logging Timber Corporation, including (ii) payment of a bribe, and (v) human rights violations--Art. B10.27</v>
      </c>
    </row>
    <row r="133" spans="1:8">
      <c r="A133" s="33" t="s">
        <v>151</v>
      </c>
      <c r="B133" s="33" t="s">
        <v>152</v>
      </c>
      <c r="C133" s="164"/>
      <c r="D133" s="10"/>
      <c r="E133" s="10"/>
      <c r="F133" s="11"/>
      <c r="G133" s="12" t="str">
        <f>IF(OR(Table1[[#This Row],[English]]&lt;&gt;"",Table1[[#This Row],[Français]]&lt;&gt;""),Table1[[#This Row],[Français]]&amp;"//"&amp;Table1[[#This Row],[English]],"")</f>
        <v>Indemnisation//Indemnification</v>
      </c>
      <c r="H133" s="13" t="str">
        <f t="shared" si="2"/>
        <v/>
      </c>
    </row>
    <row r="134" spans="1:8" ht="82" customHeight="1">
      <c r="A134" s="100" t="s">
        <v>153</v>
      </c>
      <c r="B134" s="76" t="s">
        <v>154</v>
      </c>
      <c r="C134" s="194" t="s">
        <v>910</v>
      </c>
      <c r="D134" s="71" t="s">
        <v>911</v>
      </c>
      <c r="E134" s="71" t="s">
        <v>912</v>
      </c>
      <c r="F134" s="68"/>
      <c r="G134" s="69" t="str">
        <f>IF(OR(Table1[[#This Row],[English]]&lt;&gt;"",Table1[[#This Row],[Français]]&lt;&gt;""),Table1[[#This Row],[Français]]&amp;"//"&amp;Table1[[#This Row],[English]],"")</f>
        <v>Confidentialité//Confidentiality</v>
      </c>
      <c r="H134" s="70" t="str">
        <f t="shared" si="2"/>
        <v>The parties understand that section 18.15 of the National Forestry Reform Law guarantees to the public free access to all documents and information related to this contract and its administration, subject only to limited exceptions--Art. B5.55</v>
      </c>
    </row>
    <row r="135" spans="1:8">
      <c r="A135" s="100" t="s">
        <v>155</v>
      </c>
      <c r="B135" s="76" t="s">
        <v>156</v>
      </c>
      <c r="C135" s="175" t="s">
        <v>758</v>
      </c>
      <c r="D135" s="71"/>
      <c r="E135" s="71"/>
      <c r="F135" s="68"/>
      <c r="G135" s="69" t="str">
        <f>IF(OR(Table1[[#This Row],[English]]&lt;&gt;"",Table1[[#This Row],[Français]]&lt;&gt;""),Table1[[#This Row],[Français]]&amp;"//"&amp;Table1[[#This Row],[English]],"")</f>
        <v>Langue//Language</v>
      </c>
      <c r="H135" s="70" t="str">
        <f>IF(C135&lt;&gt;"",IF(D135&lt;&gt;"",C135&amp;"--"&amp;D135,C135),"")</f>
        <v>ENG</v>
      </c>
    </row>
    <row r="136" spans="1:8" ht="159.75" customHeight="1">
      <c r="A136" s="10" t="s">
        <v>238</v>
      </c>
      <c r="B136" s="10" t="s">
        <v>188</v>
      </c>
      <c r="C136" s="164" t="s">
        <v>932</v>
      </c>
      <c r="D136" s="10" t="s">
        <v>913</v>
      </c>
      <c r="E136" s="10" t="s">
        <v>914</v>
      </c>
      <c r="F136" s="11"/>
      <c r="G136" s="42" t="str">
        <f>IF(OR(Table1[[#This Row],[English]]&lt;&gt;"",Table1[[#This Row],[Français]]&lt;&gt;""),Table1[[#This Row],[Français]]&amp;"//"&amp;Table1[[#This Row],[English]],"")</f>
        <v>Obligations de reporting et autres méthodes de contrôle de la conformité//Reporting Requirements and other methods of monitoring compliance</v>
      </c>
      <c r="H136" s="51" t="str">
        <f>IF(C136&lt;&gt;"",IF(D136&lt;&gt;"",C136&amp;"--"&amp;D136,C136),"")</f>
        <v>Bassa Logging Timber Corporation consents to the Government or a designated representative conducting reasonable inspections of the contract area and premises. Bassa Logging Timber Corporation shall keep records to demonstrate compliance with the contract during the duration of the contract and for 5 years after the contract terminates. It shall provide a written report within 90 days after completing operations under each annual operational plan, and keep the contracting officer informed as to its operations and other contractual activities.--Arts. B5.3, B5.51 - B5.53</v>
      </c>
    </row>
    <row r="137" spans="1:8" ht="219" customHeight="1">
      <c r="A137" s="124" t="s">
        <v>222</v>
      </c>
      <c r="B137" s="124" t="s">
        <v>221</v>
      </c>
      <c r="C137" s="164" t="s">
        <v>935</v>
      </c>
      <c r="D137" s="10" t="s">
        <v>896</v>
      </c>
      <c r="E137" s="10" t="s">
        <v>897</v>
      </c>
      <c r="F137" s="11"/>
      <c r="G137" s="12" t="str">
        <f>IF(OR(Table1[[#This Row],[English]]&lt;&gt;"",Table1[[#This Row],[Français]]&lt;&gt;""),Table1[[#This Row],[Français]]&amp;"//"&amp;Table1[[#This Row],[English]],"")</f>
        <v>Clause de hardship ou force majeure//Hardship clause or force majeure</v>
      </c>
      <c r="H137" s="13" t="str">
        <f t="shared" si="2"/>
        <v>Force majeure means any unforeseen cause beyond the reasonable control of the parties that prevents the parties from performing contractual duties for 15 consecutive days or more. Force majeure includes, among other things, acts of God and other natural disasters, war, riot, epidemic, expropriation of facilities or goods, and unforeseen restrictions on trade. Failure by either party to fulfill terms and conditions of the contract as a result of force majeure is not a breach of the contract. Any party who fails to perform obligations as a result of force majeure shall take all reasonable steps to make good, and resume compliance with, those obligations.--Art. B10.23</v>
      </c>
    </row>
    <row r="138" spans="1:8">
      <c r="A138" s="10" t="s">
        <v>175</v>
      </c>
      <c r="B138" s="124" t="s">
        <v>173</v>
      </c>
      <c r="C138" s="189"/>
      <c r="D138" s="33"/>
      <c r="E138" s="33"/>
      <c r="F138" s="41"/>
      <c r="G138" s="42" t="str">
        <f>IF(OR(Table1[[#This Row],[English]]&lt;&gt;"",Table1[[#This Row],[Français]]&lt;&gt;""),Table1[[#This Row],[Français]]&amp;"//"&amp;Table1[[#This Row],[English]],"")</f>
        <v>Expropriation//Expropriation / nationalization</v>
      </c>
      <c r="H138" s="43" t="str">
        <f t="shared" si="2"/>
        <v/>
      </c>
    </row>
    <row r="139" spans="1:8">
      <c r="A139" s="83" t="s">
        <v>176</v>
      </c>
      <c r="B139" s="82" t="s">
        <v>174</v>
      </c>
      <c r="C139" s="186"/>
      <c r="D139" s="195"/>
      <c r="E139" s="160"/>
      <c r="F139" s="101"/>
      <c r="G139" s="102" t="str">
        <f>IF(OR(Table1[[#This Row],[English]]&lt;&gt;"",Table1[[#This Row],[Français]]&lt;&gt;""),Table1[[#This Row],[Français]]&amp;"//"&amp;Table1[[#This Row],[English]],"")</f>
        <v>Autre - [le nom de catégorie]//Other - [Name of Category]</v>
      </c>
      <c r="H139" s="103" t="str">
        <f>IF(C139&lt;&gt;"",IF(D139&lt;&gt;"",C139&amp;"--"&amp;D139,C139),"")</f>
        <v/>
      </c>
    </row>
    <row r="140" spans="1:8">
      <c r="A140" s="44"/>
      <c r="B140" s="14"/>
      <c r="C140" s="190"/>
      <c r="D140" s="155"/>
      <c r="E140" s="155"/>
      <c r="F140" s="15"/>
      <c r="G140" s="16" t="str">
        <f>IF(OR(Table1[[#This Row],[English]]&lt;&gt;"",Table1[[#This Row],[Français]]&lt;&gt;""),Table1[[#This Row],[Français]]&amp;"//"&amp;Table1[[#This Row],[English]],"")</f>
        <v/>
      </c>
      <c r="H140" s="17" t="str">
        <f t="shared" si="2"/>
        <v/>
      </c>
    </row>
    <row r="141" spans="1:8" ht="30">
      <c r="A141" s="21" t="s">
        <v>157</v>
      </c>
      <c r="B141" s="21" t="s">
        <v>158</v>
      </c>
      <c r="C141" s="187"/>
      <c r="D141" s="161"/>
      <c r="E141" s="161"/>
      <c r="F141" s="21"/>
      <c r="G141" s="45" t="str">
        <f>IF(OR(Table1[[#This Row],[English]]&lt;&gt;"",Table1[[#This Row],[Français]]&lt;&gt;""),Table1[[#This Row],[Français]]&amp;"//"&amp;Table1[[#This Row],[English]],"")</f>
        <v>III. Notes sur le document//III. Document notes</v>
      </c>
      <c r="H141" s="46" t="str">
        <f t="shared" si="2"/>
        <v/>
      </c>
    </row>
    <row r="142" spans="1:8" ht="45">
      <c r="A142" s="10" t="s">
        <v>159</v>
      </c>
      <c r="B142" s="10" t="s">
        <v>160</v>
      </c>
      <c r="C142" s="218" t="s">
        <v>887</v>
      </c>
      <c r="D142" s="33"/>
      <c r="E142" s="33"/>
      <c r="F142" s="22"/>
      <c r="G142" s="42" t="str">
        <f>IF(OR(Table1[[#This Row],[English]]&lt;&gt;"",Table1[[#This Row],[Français]]&lt;&gt;""),Table1[[#This Row],[Français]]&amp;"//"&amp;Table1[[#This Row],[English]],"")</f>
        <v>Pages Manquantes de la copie//Pages missing from  copy</v>
      </c>
      <c r="H142" s="43" t="str">
        <f t="shared" si="2"/>
        <v xml:space="preserve">13 (the existing 13 is a repeat of actual page 17), 14, 15 </v>
      </c>
    </row>
    <row r="143" spans="1:8" ht="30">
      <c r="A143" s="10" t="s">
        <v>161</v>
      </c>
      <c r="B143" s="10" t="s">
        <v>162</v>
      </c>
      <c r="C143" s="164"/>
      <c r="D143" s="10"/>
      <c r="E143" s="10"/>
      <c r="F143" s="22"/>
      <c r="G143" s="23" t="str">
        <f>IF(OR(Table1[[#This Row],[English]]&lt;&gt;"",Table1[[#This Row],[Français]]&lt;&gt;""),Table1[[#This Row],[Français]]&amp;"//"&amp;Table1[[#This Row],[English]],"")</f>
        <v>Annexes Manquantes de la copie//Annexes missing from copy</v>
      </c>
      <c r="H143" s="13" t="str">
        <f t="shared" si="2"/>
        <v/>
      </c>
    </row>
    <row r="147" spans="1:8">
      <c r="A147"/>
      <c r="B147"/>
      <c r="C147"/>
      <c r="D147"/>
      <c r="G147"/>
      <c r="H147"/>
    </row>
    <row r="148" spans="1:8">
      <c r="A148"/>
      <c r="B148"/>
      <c r="C148"/>
      <c r="D148"/>
      <c r="G148"/>
      <c r="H148"/>
    </row>
    <row r="149" spans="1:8">
      <c r="A149"/>
      <c r="B149"/>
      <c r="C149"/>
      <c r="D149"/>
      <c r="G149"/>
      <c r="H149"/>
    </row>
    <row r="150" spans="1:8">
      <c r="A150"/>
      <c r="B150"/>
      <c r="C150"/>
      <c r="D150"/>
      <c r="G150"/>
      <c r="H150"/>
    </row>
  </sheetData>
  <mergeCells count="3">
    <mergeCell ref="B16:C16"/>
    <mergeCell ref="G16:H16"/>
    <mergeCell ref="C12:D12"/>
  </mergeCells>
  <phoneticPr fontId="15" type="noConversion"/>
  <dataValidations count="2">
    <dataValidation type="list" allowBlank="1" showInputMessage="1" showErrorMessage="1" sqref="C19">
      <formula1>countries</formula1>
    </dataValidation>
    <dataValidation type="list" allowBlank="1" showInputMessage="1" showErrorMessage="1" sqref="C135">
      <formula1>language</formula1>
    </dataValidation>
  </dataValidations>
  <pageMargins left="0.75" right="0.75" top="1" bottom="1" header="0.5" footer="0.5"/>
  <pageSetup orientation="portrait" horizontalDpi="4294967292" verticalDpi="4294967292"/>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38"/>
  <sheetViews>
    <sheetView tabSelected="1" workbookViewId="0">
      <selection activeCell="B5" sqref="B5"/>
    </sheetView>
  </sheetViews>
  <sheetFormatPr baseColWidth="10" defaultColWidth="8.6640625" defaultRowHeight="16" x14ac:dyDescent="0"/>
  <cols>
    <col min="1" max="1" width="30.5" customWidth="1"/>
    <col min="2" max="2" width="31.83203125" style="211" customWidth="1"/>
    <col min="3" max="3" width="23" bestFit="1" customWidth="1"/>
  </cols>
  <sheetData>
    <row r="1" spans="1:2" ht="15">
      <c r="A1" s="49" t="s">
        <v>163</v>
      </c>
      <c r="B1" s="210" t="s">
        <v>164</v>
      </c>
    </row>
    <row r="2" spans="1:2">
      <c r="A2" s="208" t="s">
        <v>751</v>
      </c>
      <c r="B2" s="211" t="str">
        <f>IF(Categories!C135&lt;&gt;"",Categories!C135,"ENG")</f>
        <v>ENG</v>
      </c>
    </row>
    <row r="3" spans="1:2">
      <c r="A3" s="50" t="s">
        <v>245</v>
      </c>
      <c r="B3" s="212" t="str">
        <f>IF(Categories!C19&lt;&gt;"",Categories!C19,"")</f>
        <v>Liberia</v>
      </c>
    </row>
    <row r="4" spans="1:2">
      <c r="A4" s="50" t="s">
        <v>737</v>
      </c>
      <c r="B4" s="212" t="str">
        <f>IF(Categories!C19&lt;&gt;"",VLOOKUP(Categories!C19,picklists!A2:B248,2,FALSE), "")</f>
        <v>LBR</v>
      </c>
    </row>
    <row r="5" spans="1:2" ht="15">
      <c r="A5" t="s">
        <v>739</v>
      </c>
      <c r="B5" s="228" t="s">
        <v>937</v>
      </c>
    </row>
    <row r="6" spans="1:2" ht="15">
      <c r="A6" s="50" t="s">
        <v>165</v>
      </c>
      <c r="B6" s="163" t="s">
        <v>841</v>
      </c>
    </row>
    <row r="7" spans="1:2" ht="15">
      <c r="A7" s="50" t="s">
        <v>166</v>
      </c>
      <c r="B7" s="221">
        <v>40380</v>
      </c>
    </row>
    <row r="8" spans="1:2" ht="15">
      <c r="A8" t="s">
        <v>167</v>
      </c>
      <c r="B8" s="163">
        <f>IF(B7&lt;&gt;"",YEAR(B7),"")</f>
        <v>2010</v>
      </c>
    </row>
    <row r="9" spans="1:2">
      <c r="A9" t="s">
        <v>168</v>
      </c>
      <c r="B9" s="211" t="str">
        <f>IF(Categories!C49&lt;&gt;"",Categories!C49,"")</f>
        <v>3 years</v>
      </c>
    </row>
    <row r="10" spans="1:2" ht="15">
      <c r="A10" s="227" t="s">
        <v>747</v>
      </c>
      <c r="B10" s="227"/>
    </row>
    <row r="11" spans="1:2">
      <c r="A11" s="207" t="s">
        <v>12</v>
      </c>
      <c r="B11" s="211" t="str">
        <f>IF(Categories!C20&lt;&gt;"",Categories!C20,"")</f>
        <v>Bassa Logging Timber Corporation</v>
      </c>
    </row>
    <row r="12" spans="1:2">
      <c r="A12" s="207" t="s">
        <v>242</v>
      </c>
      <c r="B12" s="211" t="str">
        <f>IF(Categories!C21&lt;&gt;"",Categories!C21,"")</f>
        <v/>
      </c>
    </row>
    <row r="13" spans="1:2">
      <c r="A13" s="207" t="s">
        <v>14</v>
      </c>
      <c r="B13" s="211" t="str">
        <f>IF(Categories!C22&lt;&gt;"",Categories!C22,"")</f>
        <v>Broad Street, Monrovia, Liberia</v>
      </c>
    </row>
    <row r="14" spans="1:2">
      <c r="A14" s="207" t="s">
        <v>16</v>
      </c>
      <c r="B14" s="211" t="str">
        <f>IF(Categories!C23&lt;&gt;"",Categories!C23,"")</f>
        <v/>
      </c>
    </row>
    <row r="15" spans="1:2">
      <c r="A15" s="207" t="s">
        <v>748</v>
      </c>
      <c r="B15" s="211" t="str">
        <f>IF(Categories!C24&lt;&gt;"",Categories!C24,"")</f>
        <v/>
      </c>
    </row>
    <row r="16" spans="1:2">
      <c r="A16" s="207" t="s">
        <v>242</v>
      </c>
      <c r="B16" s="211" t="str">
        <f>IF(Categories!C25&lt;&gt;"",Categories!C25,"")</f>
        <v/>
      </c>
    </row>
    <row r="17" spans="1:2">
      <c r="A17" s="207" t="s">
        <v>19</v>
      </c>
      <c r="B17" s="211" t="str">
        <f>IF(Categories!C26&lt;&gt;"",Categories!C26,"")</f>
        <v/>
      </c>
    </row>
    <row r="18" spans="1:2">
      <c r="A18" s="207" t="s">
        <v>22</v>
      </c>
      <c r="B18" s="211" t="str">
        <f>IF(Categories!C28&lt;&gt;"",Categories!C28,"")</f>
        <v>Contract to Manage Timber Sale Area: A-11</v>
      </c>
    </row>
    <row r="19" spans="1:2" ht="30">
      <c r="A19" s="207" t="s">
        <v>23</v>
      </c>
      <c r="B19" s="211" t="str">
        <f>IF(Categories!C29&lt;&gt;"",Categories!C29,"")</f>
        <v>Region #1, Grand Cape Mount County, Prokpa and Gola Konneh Districts, Forest Area TSC Area "11"</v>
      </c>
    </row>
    <row r="20" spans="1:2">
      <c r="A20" s="207" t="s">
        <v>749</v>
      </c>
      <c r="B20" s="211" t="str">
        <f>IF(Categories!C30&lt;&gt;"",Categories!C30,"")</f>
        <v>Timber Sale Contract A-11 lies within Latitudes 7°9'36" - 7°18'0" North of the equator and Longitudes 10°54'36" - 11°1'48" West of the Greenwich meridian, located in Grand Cape Mount County-Liberia</v>
      </c>
    </row>
    <row r="21" spans="1:2">
      <c r="A21" s="207" t="s">
        <v>25</v>
      </c>
      <c r="B21" s="211" t="str">
        <f>IF(Categories!C31&lt;&gt;"",Categories!C31,"")</f>
        <v/>
      </c>
    </row>
    <row r="22" spans="1:2">
      <c r="A22" s="207" t="s">
        <v>27</v>
      </c>
      <c r="B22" s="211" t="str">
        <f>IF(Categories!C32&lt;&gt;"",Categories!C32,"")</f>
        <v/>
      </c>
    </row>
    <row r="23" spans="1:2">
      <c r="A23" s="207" t="s">
        <v>29</v>
      </c>
      <c r="B23" s="211" t="str">
        <f>IF(Categories!C33&lt;&gt;"",Categories!C33,"")</f>
        <v/>
      </c>
    </row>
    <row r="24" spans="1:2">
      <c r="A24" s="207" t="s">
        <v>31</v>
      </c>
      <c r="B24" s="211" t="str">
        <f>IF(Categories!C34&lt;&gt;"",Categories!C34,"")</f>
        <v/>
      </c>
    </row>
    <row r="25" spans="1:2">
      <c r="A25" s="207" t="s">
        <v>750</v>
      </c>
      <c r="B25" s="211" t="str">
        <f>IF(B24&lt;&gt;"",YEAR(B24),"")</f>
        <v/>
      </c>
    </row>
    <row r="26" spans="1:2">
      <c r="A26" s="207" t="s">
        <v>33</v>
      </c>
      <c r="B26" s="211" t="str">
        <f>IF(Categories!C35&lt;&gt;"",Categories!C35,"")</f>
        <v/>
      </c>
    </row>
    <row r="27" spans="1:2">
      <c r="A27" s="207" t="s">
        <v>35</v>
      </c>
      <c r="B27" s="211" t="str">
        <f>IF(Categories!C36&lt;&gt;"",Categories!C36,"")</f>
        <v/>
      </c>
    </row>
    <row r="28" spans="1:2" ht="45">
      <c r="A28" s="207" t="s">
        <v>41</v>
      </c>
      <c r="B28" s="211" t="str">
        <f>IF(Categories!C40&lt;&gt;"",Categories!C40,"")</f>
        <v>Bassa Logging Timber Corporation</v>
      </c>
    </row>
    <row r="29" spans="1:2">
      <c r="A29" s="207" t="s">
        <v>242</v>
      </c>
      <c r="B29" s="211" t="str">
        <f>IF(Categories!C41&lt;&gt;"",Categories!C41,"")</f>
        <v/>
      </c>
    </row>
    <row r="30" spans="1:2">
      <c r="A30" s="207" t="s">
        <v>43</v>
      </c>
      <c r="B30" s="211" t="str">
        <f>IF(Categories!C42&lt;&gt;"",Categories!C42,"")</f>
        <v>President/CEO, Bassa Logging Timber Corporation</v>
      </c>
    </row>
    <row r="31" spans="1:2" ht="30">
      <c r="A31" s="207" t="s">
        <v>45</v>
      </c>
      <c r="B31" s="211" t="str">
        <f>IF(Categories!C43&lt;&gt;"",Categories!C43,"")</f>
        <v>Forestry Development Authority</v>
      </c>
    </row>
    <row r="32" spans="1:2">
      <c r="A32" s="207" t="s">
        <v>47</v>
      </c>
      <c r="B32" s="211" t="str">
        <f>IF(Categories!C44&lt;&gt;"",Categories!C44,"")</f>
        <v>Managing Director, Forestry Development Authority ; In-House Lawyer, Forestry Development Authority</v>
      </c>
    </row>
    <row r="33" spans="1:2" ht="30">
      <c r="A33" s="207" t="s">
        <v>49</v>
      </c>
      <c r="B33" s="211" t="str">
        <f>IF(Categories!C45&lt;&gt;"",Categories!C45,"")</f>
        <v/>
      </c>
    </row>
    <row r="34" spans="1:2" ht="30">
      <c r="A34" s="207" t="s">
        <v>169</v>
      </c>
      <c r="B34" s="211" t="str">
        <f>IF(Categories!C46&lt;&gt;"",Categories!C46,"")</f>
        <v/>
      </c>
    </row>
    <row r="35" spans="1:2">
      <c r="A35" s="207" t="s">
        <v>57</v>
      </c>
      <c r="B35" s="211" t="str">
        <f>IF(Categories!C50&lt;&gt;"",Categories!C50,"")</f>
        <v/>
      </c>
    </row>
    <row r="36" spans="1:2">
      <c r="A36" s="207" t="s">
        <v>217</v>
      </c>
      <c r="B36" s="211" t="str">
        <f>IF(Categories!C52&lt;&gt;"",Categories!C52,"")</f>
        <v>5,000 hectares</v>
      </c>
    </row>
    <row r="37" spans="1:2">
      <c r="A37" s="209" t="s">
        <v>160</v>
      </c>
      <c r="B37" s="211" t="str">
        <f>IF(Categories!C142&lt;&gt;"",Categories!C142,"")</f>
        <v xml:space="preserve">13 (the existing 13 is a repeat of actual page 17), 14, 15 </v>
      </c>
    </row>
    <row r="38" spans="1:2">
      <c r="A38" s="209" t="s">
        <v>162</v>
      </c>
      <c r="B38" s="211" t="str">
        <f>IF(Categories!C143&lt;&gt;"",Categories!C143,"")</f>
        <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M248"/>
  <sheetViews>
    <sheetView workbookViewId="0">
      <selection activeCell="H25" sqref="H25"/>
    </sheetView>
  </sheetViews>
  <sheetFormatPr baseColWidth="10" defaultColWidth="11" defaultRowHeight="15" x14ac:dyDescent="0"/>
  <cols>
    <col min="8" max="8" width="35.6640625" customWidth="1"/>
    <col min="9" max="9" width="23.5" bestFit="1" customWidth="1"/>
    <col min="10" max="10" width="17.83203125" customWidth="1"/>
  </cols>
  <sheetData>
    <row r="1" spans="1:13">
      <c r="A1" t="s">
        <v>245</v>
      </c>
      <c r="B1" t="s">
        <v>246</v>
      </c>
      <c r="D1" t="s">
        <v>738</v>
      </c>
      <c r="H1" t="s">
        <v>740</v>
      </c>
      <c r="I1" t="s">
        <v>740</v>
      </c>
      <c r="L1" t="s">
        <v>751</v>
      </c>
    </row>
    <row r="2" spans="1:13">
      <c r="A2" t="s">
        <v>247</v>
      </c>
      <c r="B2" t="s">
        <v>248</v>
      </c>
      <c r="D2" t="str">
        <f>IF(Metadata!B2="ENG",E2,F2)</f>
        <v>Aluminium</v>
      </c>
      <c r="E2" t="s">
        <v>821</v>
      </c>
      <c r="F2" t="s">
        <v>822</v>
      </c>
      <c r="H2" t="str">
        <f>IF(Metadata!B2="ENG",I2,J2)</f>
        <v>Amodiation contract</v>
      </c>
      <c r="I2" t="s">
        <v>816</v>
      </c>
      <c r="J2" t="s">
        <v>817</v>
      </c>
      <c r="L2" t="s">
        <v>758</v>
      </c>
      <c r="M2" t="s">
        <v>760</v>
      </c>
    </row>
    <row r="3" spans="1:13">
      <c r="A3" t="s">
        <v>249</v>
      </c>
      <c r="B3" t="s">
        <v>250</v>
      </c>
      <c r="D3" t="str">
        <f>IF(Metadata!B2="ENG",E3,F3)</f>
        <v>Base metals</v>
      </c>
      <c r="E3" t="s">
        <v>771</v>
      </c>
      <c r="F3" t="s">
        <v>840</v>
      </c>
      <c r="H3" t="str">
        <f>IF(Metadata!B2="ENG",I3,J3)</f>
        <v>Concession</v>
      </c>
      <c r="I3" s="206" t="s">
        <v>742</v>
      </c>
      <c r="J3" s="206" t="s">
        <v>742</v>
      </c>
      <c r="L3" t="s">
        <v>759</v>
      </c>
      <c r="M3" t="s">
        <v>757</v>
      </c>
    </row>
    <row r="4" spans="1:13">
      <c r="A4" t="s">
        <v>251</v>
      </c>
      <c r="B4" t="s">
        <v>252</v>
      </c>
      <c r="D4" t="str">
        <f>IF(Metadata!B2="ENG",E4,F4)</f>
        <v>Bauxite</v>
      </c>
      <c r="E4" s="213" t="s">
        <v>772</v>
      </c>
      <c r="F4" s="213" t="s">
        <v>772</v>
      </c>
      <c r="H4" t="str">
        <f>IF(Metadata!B2="ENG",I4,J4)</f>
        <v>Convention</v>
      </c>
      <c r="I4" t="s">
        <v>761</v>
      </c>
      <c r="J4" t="s">
        <v>761</v>
      </c>
    </row>
    <row r="5" spans="1:13">
      <c r="A5" t="s">
        <v>253</v>
      </c>
      <c r="B5" t="s">
        <v>254</v>
      </c>
      <c r="D5" t="str">
        <f>IF(Metadata!B2="ENG",E5,F5)</f>
        <v>Coal</v>
      </c>
      <c r="E5" t="s">
        <v>773</v>
      </c>
      <c r="F5" t="s">
        <v>774</v>
      </c>
      <c r="H5" t="str">
        <f>IF(Metadata!B2="ENG",I5,J5)</f>
        <v>Exploration Permit/License</v>
      </c>
      <c r="I5" s="206" t="s">
        <v>741</v>
      </c>
      <c r="J5" t="s">
        <v>752</v>
      </c>
    </row>
    <row r="6" spans="1:13" ht="30">
      <c r="A6" t="s">
        <v>255</v>
      </c>
      <c r="B6" t="s">
        <v>256</v>
      </c>
      <c r="D6" t="str">
        <f>IF(Metadata!B2="ENG",E6,F6)</f>
        <v>Cobalt</v>
      </c>
      <c r="E6" t="s">
        <v>775</v>
      </c>
      <c r="F6" t="s">
        <v>775</v>
      </c>
      <c r="H6" t="str">
        <f>IF(Metadata!B2="ENG",I6,J6)</f>
        <v>Exploitation Permit/License</v>
      </c>
      <c r="I6" s="206" t="s">
        <v>762</v>
      </c>
      <c r="J6" t="s">
        <v>763</v>
      </c>
    </row>
    <row r="7" spans="1:13" ht="30">
      <c r="A7" t="s">
        <v>257</v>
      </c>
      <c r="B7" t="s">
        <v>258</v>
      </c>
      <c r="D7" t="str">
        <f>IF(Metadata!B2="ENG",E7,F7)</f>
        <v>Copper</v>
      </c>
      <c r="E7" t="s">
        <v>776</v>
      </c>
      <c r="F7" t="s">
        <v>828</v>
      </c>
      <c r="H7" t="str">
        <f>IF(Metadata!B2="ENG",I7,J7)</f>
        <v>Forestry Concession Contract</v>
      </c>
      <c r="I7" s="206" t="s">
        <v>769</v>
      </c>
      <c r="J7" t="s">
        <v>770</v>
      </c>
    </row>
    <row r="8" spans="1:13">
      <c r="A8" t="s">
        <v>259</v>
      </c>
      <c r="B8" t="s">
        <v>260</v>
      </c>
      <c r="D8" t="str">
        <f>IF(Metadata!B2="ENG",E8,F8)</f>
        <v>Crude oil</v>
      </c>
      <c r="E8" t="s">
        <v>777</v>
      </c>
      <c r="F8" t="s">
        <v>778</v>
      </c>
      <c r="H8" t="str">
        <f>IF(Metadata!B2="ENG",I8,J8)</f>
        <v>Investment Agreement</v>
      </c>
      <c r="I8" s="206" t="s">
        <v>764</v>
      </c>
      <c r="J8" t="s">
        <v>811</v>
      </c>
    </row>
    <row r="9" spans="1:13" ht="30">
      <c r="A9" t="s">
        <v>261</v>
      </c>
      <c r="B9" t="s">
        <v>262</v>
      </c>
      <c r="D9" t="str">
        <f>IF(Metadata!B2="ENG",E9,F9)</f>
        <v>Diamonds</v>
      </c>
      <c r="E9" t="s">
        <v>779</v>
      </c>
      <c r="F9" t="s">
        <v>829</v>
      </c>
      <c r="H9" t="str">
        <f>IF(Metadata!B2="ENG",I9,J9)</f>
        <v>Investment Incentive Contract</v>
      </c>
      <c r="I9" s="206" t="s">
        <v>765</v>
      </c>
      <c r="J9" t="s">
        <v>812</v>
      </c>
    </row>
    <row r="10" spans="1:13">
      <c r="A10" t="s">
        <v>263</v>
      </c>
      <c r="B10" t="s">
        <v>264</v>
      </c>
      <c r="D10" t="str">
        <f>IF(Metadata!B2="ENG",E10,F10)</f>
        <v>Gas</v>
      </c>
      <c r="E10" t="s">
        <v>780</v>
      </c>
      <c r="F10" t="s">
        <v>781</v>
      </c>
      <c r="H10" t="str">
        <f>IF(Metadata!B2="ENG",I10,J10)</f>
        <v>Joint Venture Contract</v>
      </c>
      <c r="I10" t="s">
        <v>766</v>
      </c>
      <c r="J10" t="s">
        <v>813</v>
      </c>
      <c r="K10" s="216"/>
    </row>
    <row r="11" spans="1:13">
      <c r="A11" t="s">
        <v>265</v>
      </c>
      <c r="B11" t="s">
        <v>266</v>
      </c>
      <c r="D11" t="str">
        <f>IF(Metadata!B2="ENG",E11,F11)</f>
        <v>Gold</v>
      </c>
      <c r="E11" t="s">
        <v>782</v>
      </c>
      <c r="F11" t="s">
        <v>783</v>
      </c>
      <c r="H11" t="str">
        <f>IF(Metadata!B2="ENG",I11,J11)</f>
        <v>Lease</v>
      </c>
      <c r="I11" t="s">
        <v>745</v>
      </c>
      <c r="J11" t="s">
        <v>755</v>
      </c>
    </row>
    <row r="12" spans="1:13" ht="30">
      <c r="A12" t="s">
        <v>267</v>
      </c>
      <c r="B12" t="s">
        <v>268</v>
      </c>
      <c r="D12" t="str">
        <f>IF(Metadata!B2="ENG",E12,F12)</f>
        <v>Iron ore</v>
      </c>
      <c r="E12" t="s">
        <v>784</v>
      </c>
      <c r="F12" t="s">
        <v>820</v>
      </c>
      <c r="H12" t="str">
        <f>IF(Metadata!B2="ENG",I12,J12)</f>
        <v>Production Sharing Agreement</v>
      </c>
      <c r="I12" s="206" t="s">
        <v>746</v>
      </c>
      <c r="J12" t="s">
        <v>753</v>
      </c>
    </row>
    <row r="13" spans="1:13" ht="45">
      <c r="A13" t="s">
        <v>269</v>
      </c>
      <c r="B13" t="s">
        <v>270</v>
      </c>
      <c r="D13" t="str">
        <f>IF(Metadata!B2="ENG",E13,F13)</f>
        <v>Lapis lazuli</v>
      </c>
      <c r="E13" t="s">
        <v>785</v>
      </c>
      <c r="F13" t="s">
        <v>825</v>
      </c>
      <c r="H13" t="str">
        <f>IF(Metadata!B2="ENG",I13,J13)</f>
        <v>Operating Agreement between Private Companies</v>
      </c>
      <c r="I13" s="206" t="s">
        <v>767</v>
      </c>
      <c r="J13" t="s">
        <v>814</v>
      </c>
    </row>
    <row r="14" spans="1:13">
      <c r="A14" t="s">
        <v>271</v>
      </c>
      <c r="B14" t="s">
        <v>272</v>
      </c>
      <c r="D14" t="str">
        <f>IF(Metadata!B2="ENG",E14,F14)</f>
        <v>Lead</v>
      </c>
      <c r="E14" t="s">
        <v>786</v>
      </c>
      <c r="F14" t="s">
        <v>826</v>
      </c>
      <c r="H14" t="str">
        <f>IF(Metadata!B2="ENG",I14,J14)</f>
        <v>Options contract</v>
      </c>
      <c r="I14" s="206" t="s">
        <v>818</v>
      </c>
      <c r="J14" t="s">
        <v>819</v>
      </c>
    </row>
    <row r="15" spans="1:13">
      <c r="A15" t="s">
        <v>273</v>
      </c>
      <c r="B15" t="s">
        <v>274</v>
      </c>
      <c r="D15" t="str">
        <f>IF(Metadata!B2="ENG",E15,F15)</f>
        <v>Lithium</v>
      </c>
      <c r="E15" t="s">
        <v>787</v>
      </c>
      <c r="F15" t="s">
        <v>787</v>
      </c>
      <c r="H15" t="str">
        <f>IF(Metadata!B2="ENG",I15,J15)</f>
        <v>Profit Sharing Contract</v>
      </c>
      <c r="I15" s="206" t="s">
        <v>768</v>
      </c>
      <c r="J15" t="s">
        <v>815</v>
      </c>
    </row>
    <row r="16" spans="1:13">
      <c r="A16" t="s">
        <v>275</v>
      </c>
      <c r="B16" t="s">
        <v>276</v>
      </c>
      <c r="D16" t="str">
        <f>IF(Metadata!B2="ENG",E16,F16)</f>
        <v>Manganese</v>
      </c>
      <c r="E16" t="s">
        <v>788</v>
      </c>
      <c r="F16" t="s">
        <v>827</v>
      </c>
      <c r="H16" t="str">
        <f>IF(Metadata!B2="ENG",I16,J16)</f>
        <v>Service Contract</v>
      </c>
      <c r="I16" s="206" t="s">
        <v>743</v>
      </c>
      <c r="J16" t="s">
        <v>754</v>
      </c>
    </row>
    <row r="17" spans="1:10">
      <c r="A17" t="s">
        <v>277</v>
      </c>
      <c r="B17" t="s">
        <v>278</v>
      </c>
      <c r="D17" t="str">
        <f>IF(Metadata!B2="ENG",E17,F17)</f>
        <v>Molybdenum</v>
      </c>
      <c r="E17" t="s">
        <v>823</v>
      </c>
      <c r="F17" t="s">
        <v>824</v>
      </c>
      <c r="H17" t="str">
        <f>IF(Metadata!B2="ENG",I17,J17)</f>
        <v>Other</v>
      </c>
      <c r="I17" s="206" t="s">
        <v>744</v>
      </c>
      <c r="J17" t="s">
        <v>756</v>
      </c>
    </row>
    <row r="18" spans="1:10">
      <c r="A18" t="s">
        <v>279</v>
      </c>
      <c r="B18" t="s">
        <v>280</v>
      </c>
      <c r="D18" t="str">
        <f>IF(Metadata!B2="ENG",E18,F18)</f>
        <v>Nickel</v>
      </c>
      <c r="E18" t="s">
        <v>789</v>
      </c>
      <c r="F18" t="s">
        <v>789</v>
      </c>
      <c r="H18">
        <f>IF(Metadata!B2="ENG",I18,J18)</f>
        <v>0</v>
      </c>
    </row>
    <row r="19" spans="1:10">
      <c r="A19" t="s">
        <v>281</v>
      </c>
      <c r="B19" t="s">
        <v>282</v>
      </c>
      <c r="D19" t="str">
        <f>IF(Metadata!B2="ENG",E19,F19)</f>
        <v>Phosphate rock</v>
      </c>
      <c r="E19" t="s">
        <v>790</v>
      </c>
      <c r="F19" t="s">
        <v>830</v>
      </c>
      <c r="H19">
        <f>IF(Metadata!B2="ENG",I19,J19)</f>
        <v>0</v>
      </c>
    </row>
    <row r="20" spans="1:10">
      <c r="A20" t="s">
        <v>283</v>
      </c>
      <c r="B20" t="s">
        <v>284</v>
      </c>
      <c r="D20" t="str">
        <f>IF(Metadata!B2="ENG",E20,F20)</f>
        <v>Platinum Group Metals</v>
      </c>
      <c r="E20" t="s">
        <v>791</v>
      </c>
      <c r="F20" t="s">
        <v>831</v>
      </c>
      <c r="H20">
        <f>IF(Metadata!B2="ENG",I20,J20)</f>
        <v>0</v>
      </c>
    </row>
    <row r="21" spans="1:10">
      <c r="A21" t="s">
        <v>285</v>
      </c>
      <c r="B21" t="s">
        <v>286</v>
      </c>
      <c r="D21" t="str">
        <f>IF(Metadata!B2="ENG",E21,F21)</f>
        <v>Precious stones</v>
      </c>
      <c r="E21" t="s">
        <v>792</v>
      </c>
      <c r="F21" t="s">
        <v>832</v>
      </c>
      <c r="H21">
        <f>IF(Metadata!B2="ENG",I21,J21)</f>
        <v>0</v>
      </c>
    </row>
    <row r="22" spans="1:10">
      <c r="A22" t="s">
        <v>287</v>
      </c>
      <c r="B22" t="s">
        <v>288</v>
      </c>
      <c r="D22" t="str">
        <f>IF(Metadata!B2="ENG",E22,F22)</f>
        <v>Quartz</v>
      </c>
      <c r="E22" t="s">
        <v>793</v>
      </c>
      <c r="F22" t="s">
        <v>793</v>
      </c>
      <c r="H22">
        <f>IF(Metadata!B2="ENG",I22,J22)</f>
        <v>0</v>
      </c>
    </row>
    <row r="23" spans="1:10">
      <c r="A23" t="s">
        <v>289</v>
      </c>
      <c r="B23" t="s">
        <v>290</v>
      </c>
      <c r="D23" t="str">
        <f>IF(Metadata!B2="ENG",E23,F23)</f>
        <v>Semi-precious stones</v>
      </c>
      <c r="E23" t="s">
        <v>794</v>
      </c>
      <c r="F23" t="s">
        <v>833</v>
      </c>
      <c r="H23">
        <f>IF(Metadata!B2="ENG",I23,J23)</f>
        <v>0</v>
      </c>
    </row>
    <row r="24" spans="1:10">
      <c r="A24" t="s">
        <v>291</v>
      </c>
      <c r="B24" t="s">
        <v>292</v>
      </c>
      <c r="D24" t="str">
        <f>IF(Metadata!B2="ENG",E24,F24)</f>
        <v>Silver</v>
      </c>
      <c r="E24" t="s">
        <v>795</v>
      </c>
      <c r="F24" t="s">
        <v>834</v>
      </c>
      <c r="H24">
        <f>IF(Metadata!B2="ENG",I24,J24)</f>
        <v>0</v>
      </c>
    </row>
    <row r="25" spans="1:10">
      <c r="A25" t="s">
        <v>293</v>
      </c>
      <c r="B25" t="s">
        <v>294</v>
      </c>
      <c r="D25" t="str">
        <f>IF(Metadata!B2="ENG",E25,F25)</f>
        <v>Titanium</v>
      </c>
      <c r="E25" t="s">
        <v>796</v>
      </c>
      <c r="F25" t="s">
        <v>835</v>
      </c>
      <c r="H25">
        <f>IF(Metadata!B2="ENG",I25,J25)</f>
        <v>0</v>
      </c>
    </row>
    <row r="26" spans="1:10">
      <c r="A26" t="s">
        <v>295</v>
      </c>
      <c r="B26" t="s">
        <v>296</v>
      </c>
      <c r="D26" t="str">
        <f>IF(Metadata!B2="ENG",E26,F26)</f>
        <v>Uranium</v>
      </c>
      <c r="E26" t="s">
        <v>797</v>
      </c>
      <c r="F26" t="s">
        <v>797</v>
      </c>
      <c r="H26">
        <f>IF(Metadata!B2="ENG",I26,J26)</f>
        <v>0</v>
      </c>
    </row>
    <row r="27" spans="1:10">
      <c r="A27" t="s">
        <v>297</v>
      </c>
      <c r="B27" t="s">
        <v>298</v>
      </c>
      <c r="D27" t="str">
        <f>IF(Metadata!B2="ENG",E27,F27)</f>
        <v>Zinc</v>
      </c>
      <c r="E27" t="s">
        <v>798</v>
      </c>
      <c r="F27" t="s">
        <v>798</v>
      </c>
      <c r="H27">
        <f>IF(Metadata!B2="ENG",I27,J27)</f>
        <v>0</v>
      </c>
    </row>
    <row r="28" spans="1:10">
      <c r="A28" t="s">
        <v>299</v>
      </c>
      <c r="B28" t="s">
        <v>300</v>
      </c>
      <c r="D28" t="str">
        <f>IF(Metadata!B2="ENG",E28,F28)</f>
        <v>Citrus</v>
      </c>
      <c r="E28" t="s">
        <v>799</v>
      </c>
      <c r="F28" t="s">
        <v>799</v>
      </c>
      <c r="H28">
        <f>IF(Metadata!B2="ENG",I28,J28)</f>
        <v>0</v>
      </c>
    </row>
    <row r="29" spans="1:10">
      <c r="A29" t="s">
        <v>301</v>
      </c>
      <c r="B29" t="s">
        <v>302</v>
      </c>
      <c r="D29" t="str">
        <f>IF(Metadata!B2="ENG",E29,F29)</f>
        <v>Food crops</v>
      </c>
      <c r="E29" t="s">
        <v>800</v>
      </c>
      <c r="F29" t="s">
        <v>801</v>
      </c>
      <c r="H29">
        <f>IF(Metadata!B2="ENG",I29,J29)</f>
        <v>0</v>
      </c>
    </row>
    <row r="30" spans="1:10">
      <c r="A30" t="s">
        <v>303</v>
      </c>
      <c r="B30" t="s">
        <v>304</v>
      </c>
      <c r="D30" t="str">
        <f>IF(Metadata!B2="ENG",E30,F30)</f>
        <v>Hydrocarbons</v>
      </c>
      <c r="E30" t="s">
        <v>802</v>
      </c>
      <c r="F30" t="s">
        <v>836</v>
      </c>
      <c r="H30">
        <f>IF(Metadata!B2="ENG",I30,J30)</f>
        <v>0</v>
      </c>
    </row>
    <row r="31" spans="1:10">
      <c r="A31" t="s">
        <v>305</v>
      </c>
      <c r="B31" t="s">
        <v>306</v>
      </c>
      <c r="D31" t="str">
        <f>IF(Metadata!B2="ENG",E31,F31)</f>
        <v>Palm oil</v>
      </c>
      <c r="E31" t="s">
        <v>803</v>
      </c>
      <c r="F31" t="s">
        <v>804</v>
      </c>
      <c r="H31">
        <f>IF(Metadata!B2="ENG",I31,J31)</f>
        <v>0</v>
      </c>
    </row>
    <row r="32" spans="1:10">
      <c r="A32" t="s">
        <v>307</v>
      </c>
      <c r="B32" t="s">
        <v>308</v>
      </c>
      <c r="D32" t="str">
        <f>IF(Metadata!B2="ENG",E32,F32)</f>
        <v>Rubber</v>
      </c>
      <c r="E32" t="s">
        <v>805</v>
      </c>
      <c r="F32" t="s">
        <v>837</v>
      </c>
      <c r="H32">
        <f>IF(Metadata!B2="ENG",I32,J32)</f>
        <v>0</v>
      </c>
    </row>
    <row r="33" spans="1:8">
      <c r="A33" t="s">
        <v>309</v>
      </c>
      <c r="B33" t="s">
        <v>310</v>
      </c>
      <c r="D33" t="str">
        <f>IF(Metadata!B2="ENG",E33,F33)</f>
        <v>Soy</v>
      </c>
      <c r="E33" t="s">
        <v>806</v>
      </c>
      <c r="F33" t="s">
        <v>838</v>
      </c>
      <c r="H33">
        <f>IF(Metadata!B2="ENG",I33,J33)</f>
        <v>0</v>
      </c>
    </row>
    <row r="34" spans="1:8">
      <c r="A34" t="s">
        <v>311</v>
      </c>
      <c r="B34" t="s">
        <v>312</v>
      </c>
      <c r="D34" t="str">
        <f>IF(Metadata!B2="ENG",E34,F34)</f>
        <v>Sugar</v>
      </c>
      <c r="E34" t="s">
        <v>807</v>
      </c>
      <c r="F34" t="s">
        <v>808</v>
      </c>
      <c r="H34">
        <f>IF(Metadata!B2="ENG",I34,J34)</f>
        <v>0</v>
      </c>
    </row>
    <row r="35" spans="1:8">
      <c r="A35" t="s">
        <v>313</v>
      </c>
      <c r="B35" t="s">
        <v>314</v>
      </c>
      <c r="D35" t="str">
        <f>IF(Metadata!B2="ENG",E35,F35)</f>
        <v>Timber</v>
      </c>
      <c r="E35" t="s">
        <v>809</v>
      </c>
      <c r="F35" t="s">
        <v>810</v>
      </c>
      <c r="H35">
        <f>IF(Metadata!B2="ENG",I35,J35)</f>
        <v>0</v>
      </c>
    </row>
    <row r="36" spans="1:8">
      <c r="A36" t="s">
        <v>315</v>
      </c>
      <c r="B36" t="s">
        <v>316</v>
      </c>
      <c r="D36">
        <f>IF(Metadata!B2="ENG",E36,F36)</f>
        <v>0</v>
      </c>
      <c r="H36">
        <f>IF(Metadata!B2="ENG",I36,J36)</f>
        <v>0</v>
      </c>
    </row>
    <row r="37" spans="1:8">
      <c r="A37" t="s">
        <v>317</v>
      </c>
      <c r="B37" t="s">
        <v>318</v>
      </c>
      <c r="D37">
        <f>IF(Metadata!B2="ENG",E37,F37)</f>
        <v>0</v>
      </c>
      <c r="H37">
        <f>IF(Metadata!B2="ENG",I37,J37)</f>
        <v>0</v>
      </c>
    </row>
    <row r="38" spans="1:8">
      <c r="A38" t="s">
        <v>319</v>
      </c>
      <c r="B38" t="s">
        <v>320</v>
      </c>
      <c r="D38">
        <f>IF(Metadata!B2="ENG",E38,F38)</f>
        <v>0</v>
      </c>
      <c r="H38">
        <f>IF(Metadata!B2="ENG",I38,J38)</f>
        <v>0</v>
      </c>
    </row>
    <row r="39" spans="1:8">
      <c r="A39" t="s">
        <v>321</v>
      </c>
      <c r="B39" t="s">
        <v>322</v>
      </c>
      <c r="D39">
        <f>IF(Metadata!B2="ENG",E39,F39)</f>
        <v>0</v>
      </c>
      <c r="H39">
        <f>IF(Metadata!B2="ENG",I39,J39)</f>
        <v>0</v>
      </c>
    </row>
    <row r="40" spans="1:8">
      <c r="A40" t="s">
        <v>323</v>
      </c>
      <c r="B40" t="s">
        <v>324</v>
      </c>
      <c r="D40">
        <f>IF(Metadata!B2="ENG",E40,F40)</f>
        <v>0</v>
      </c>
      <c r="H40">
        <f>IF(Metadata!B2="ENG",I40,J40)</f>
        <v>0</v>
      </c>
    </row>
    <row r="41" spans="1:8">
      <c r="A41" t="s">
        <v>325</v>
      </c>
      <c r="B41" t="s">
        <v>326</v>
      </c>
      <c r="D41">
        <f>IF(Metadata!B2="ENG",E41,F41)</f>
        <v>0</v>
      </c>
      <c r="H41">
        <f>IF(Metadata!B2="ENG",I41,J41)</f>
        <v>0</v>
      </c>
    </row>
    <row r="42" spans="1:8">
      <c r="A42" t="s">
        <v>327</v>
      </c>
      <c r="B42" t="s">
        <v>328</v>
      </c>
      <c r="D42">
        <f>IF(Metadata!B2="ENG",E42,F42)</f>
        <v>0</v>
      </c>
      <c r="H42">
        <f>IF(Metadata!B2="ENG",I42,J42)</f>
        <v>0</v>
      </c>
    </row>
    <row r="43" spans="1:8">
      <c r="A43" t="s">
        <v>329</v>
      </c>
      <c r="B43" t="s">
        <v>330</v>
      </c>
      <c r="D43">
        <f>IF(Metadata!B2="ENG",E43,F43)</f>
        <v>0</v>
      </c>
      <c r="H43">
        <f>IF(Metadata!B2="ENG",I43,J43)</f>
        <v>0</v>
      </c>
    </row>
    <row r="44" spans="1:8">
      <c r="A44" t="s">
        <v>331</v>
      </c>
      <c r="B44" t="s">
        <v>332</v>
      </c>
      <c r="D44">
        <f>IF(Metadata!B2="ENG",E44,F44)</f>
        <v>0</v>
      </c>
      <c r="H44">
        <f>IF(Metadata!B2="ENG",I44,J44)</f>
        <v>0</v>
      </c>
    </row>
    <row r="45" spans="1:8">
      <c r="A45" t="s">
        <v>333</v>
      </c>
      <c r="B45" t="s">
        <v>334</v>
      </c>
      <c r="D45">
        <f>IF(Metadata!B2="ENG",E45,F45)</f>
        <v>0</v>
      </c>
      <c r="H45">
        <f>IF(Metadata!B2="ENG",I45,J45)</f>
        <v>0</v>
      </c>
    </row>
    <row r="46" spans="1:8">
      <c r="A46" t="s">
        <v>335</v>
      </c>
      <c r="B46" t="s">
        <v>336</v>
      </c>
      <c r="D46">
        <f>IF(Metadata!B2="ENG",E46,F46)</f>
        <v>0</v>
      </c>
      <c r="H46">
        <f>IF(Metadata!B2="ENG",I46,J46)</f>
        <v>0</v>
      </c>
    </row>
    <row r="47" spans="1:8">
      <c r="A47" t="s">
        <v>337</v>
      </c>
      <c r="B47" t="s">
        <v>338</v>
      </c>
      <c r="D47">
        <f>IF(Metadata!B2="ENG",E47,F47)</f>
        <v>0</v>
      </c>
      <c r="H47">
        <f>IF(Metadata!B2="ENG",I47,J47)</f>
        <v>0</v>
      </c>
    </row>
    <row r="48" spans="1:8">
      <c r="A48" t="s">
        <v>339</v>
      </c>
      <c r="B48" t="s">
        <v>340</v>
      </c>
      <c r="D48">
        <f>IF(Metadata!B2="ENG",E48,F48)</f>
        <v>0</v>
      </c>
      <c r="H48">
        <f>IF(Metadata!B2="ENG",I48,J48)</f>
        <v>0</v>
      </c>
    </row>
    <row r="49" spans="1:8">
      <c r="A49" t="s">
        <v>341</v>
      </c>
      <c r="B49" t="s">
        <v>342</v>
      </c>
      <c r="D49">
        <f>IF(Metadata!B2="ENG",E49,F49)</f>
        <v>0</v>
      </c>
      <c r="H49">
        <f>IF(Metadata!B2="ENG",I49,J49)</f>
        <v>0</v>
      </c>
    </row>
    <row r="50" spans="1:8">
      <c r="A50" t="s">
        <v>343</v>
      </c>
      <c r="B50" t="s">
        <v>344</v>
      </c>
      <c r="D50">
        <f>IF(Metadata!B2="ENG",E50,F50)</f>
        <v>0</v>
      </c>
      <c r="H50">
        <f>IF(Metadata!B2="ENG",I50,J50)</f>
        <v>0</v>
      </c>
    </row>
    <row r="51" spans="1:8">
      <c r="A51" t="s">
        <v>345</v>
      </c>
      <c r="B51" t="s">
        <v>346</v>
      </c>
      <c r="D51">
        <f>IF(Metadata!B2="ENG",E51,F51)</f>
        <v>0</v>
      </c>
      <c r="H51">
        <f>IF(Metadata!B2="ENG",I51,J51)</f>
        <v>0</v>
      </c>
    </row>
    <row r="52" spans="1:8">
      <c r="A52" t="s">
        <v>347</v>
      </c>
      <c r="B52" t="s">
        <v>348</v>
      </c>
      <c r="D52">
        <f>IF(Metadata!B2="ENG",E52,F52)</f>
        <v>0</v>
      </c>
      <c r="H52">
        <f>IF(Metadata!B2="ENG",I52,J52)</f>
        <v>0</v>
      </c>
    </row>
    <row r="53" spans="1:8">
      <c r="A53" t="s">
        <v>349</v>
      </c>
      <c r="B53" t="s">
        <v>350</v>
      </c>
      <c r="D53">
        <f>IF(Metadata!B2="ENG",E53,F53)</f>
        <v>0</v>
      </c>
      <c r="H53">
        <f>IF(Metadata!B2="ENG",I53,J53)</f>
        <v>0</v>
      </c>
    </row>
    <row r="54" spans="1:8">
      <c r="A54" t="s">
        <v>351</v>
      </c>
      <c r="B54" t="s">
        <v>352</v>
      </c>
      <c r="D54">
        <f>IF(Metadata!B2="ENG",E54,F54)</f>
        <v>0</v>
      </c>
      <c r="H54">
        <f>IF(Metadata!B2="ENG",I54,J54)</f>
        <v>0</v>
      </c>
    </row>
    <row r="55" spans="1:8">
      <c r="A55" t="s">
        <v>353</v>
      </c>
      <c r="B55" t="s">
        <v>354</v>
      </c>
      <c r="D55">
        <f>IF(Metadata!B2="ENG",E55,F55)</f>
        <v>0</v>
      </c>
      <c r="H55">
        <f>IF(Metadata!B2="ENG",I55,J55)</f>
        <v>0</v>
      </c>
    </row>
    <row r="56" spans="1:8">
      <c r="A56" t="s">
        <v>355</v>
      </c>
      <c r="B56" t="s">
        <v>356</v>
      </c>
      <c r="D56">
        <f>IF(Metadata!B2="ENG",E56,F56)</f>
        <v>0</v>
      </c>
      <c r="H56">
        <f>IF(Metadata!B2="ENG",I56,J56)</f>
        <v>0</v>
      </c>
    </row>
    <row r="57" spans="1:8">
      <c r="A57" t="s">
        <v>357</v>
      </c>
      <c r="B57" t="s">
        <v>358</v>
      </c>
      <c r="D57">
        <f>IF(Metadata!B2="ENG",E57,F57)</f>
        <v>0</v>
      </c>
      <c r="H57">
        <f>IF(Metadata!B2="ENG",I57,J57)</f>
        <v>0</v>
      </c>
    </row>
    <row r="58" spans="1:8">
      <c r="A58" t="s">
        <v>359</v>
      </c>
      <c r="B58" t="s">
        <v>360</v>
      </c>
      <c r="D58">
        <f>IF(Metadata!B2="ENG",E58,F58)</f>
        <v>0</v>
      </c>
      <c r="H58">
        <f>IF(Metadata!B2="ENG",I58,J58)</f>
        <v>0</v>
      </c>
    </row>
    <row r="59" spans="1:8">
      <c r="A59" t="s">
        <v>361</v>
      </c>
      <c r="B59" t="s">
        <v>362</v>
      </c>
      <c r="D59">
        <f>IF(Metadata!B2="ENG",E59,F59)</f>
        <v>0</v>
      </c>
      <c r="H59">
        <f>IF(Metadata!B2="ENG",I59,J59)</f>
        <v>0</v>
      </c>
    </row>
    <row r="60" spans="1:8">
      <c r="A60" t="s">
        <v>363</v>
      </c>
      <c r="B60" t="s">
        <v>364</v>
      </c>
      <c r="D60">
        <f>IF(Metadata!B2="ENG",E60,F60)</f>
        <v>0</v>
      </c>
      <c r="H60">
        <f>IF(Metadata!B2="ENG",I60,J60)</f>
        <v>0</v>
      </c>
    </row>
    <row r="61" spans="1:8">
      <c r="A61" t="s">
        <v>365</v>
      </c>
      <c r="B61" t="s">
        <v>366</v>
      </c>
      <c r="D61">
        <f>IF(Metadata!B2="ENG",E61,F61)</f>
        <v>0</v>
      </c>
      <c r="H61">
        <f>IF(Metadata!B2="ENG",I61,J61)</f>
        <v>0</v>
      </c>
    </row>
    <row r="62" spans="1:8">
      <c r="A62" t="s">
        <v>367</v>
      </c>
      <c r="B62" t="s">
        <v>368</v>
      </c>
    </row>
    <row r="63" spans="1:8">
      <c r="A63" t="s">
        <v>369</v>
      </c>
      <c r="B63" t="s">
        <v>370</v>
      </c>
    </row>
    <row r="64" spans="1:8">
      <c r="A64" t="s">
        <v>371</v>
      </c>
      <c r="B64" t="s">
        <v>372</v>
      </c>
    </row>
    <row r="65" spans="1:2">
      <c r="A65" t="s">
        <v>373</v>
      </c>
      <c r="B65" t="s">
        <v>374</v>
      </c>
    </row>
    <row r="66" spans="1:2">
      <c r="A66" t="s">
        <v>375</v>
      </c>
      <c r="B66" t="s">
        <v>376</v>
      </c>
    </row>
    <row r="67" spans="1:2">
      <c r="A67" t="s">
        <v>377</v>
      </c>
      <c r="B67" t="s">
        <v>378</v>
      </c>
    </row>
    <row r="68" spans="1:2">
      <c r="A68" t="s">
        <v>379</v>
      </c>
      <c r="B68" t="s">
        <v>380</v>
      </c>
    </row>
    <row r="69" spans="1:2">
      <c r="A69" t="s">
        <v>381</v>
      </c>
      <c r="B69" t="s">
        <v>382</v>
      </c>
    </row>
    <row r="70" spans="1:2">
      <c r="A70" t="s">
        <v>383</v>
      </c>
      <c r="B70" t="s">
        <v>384</v>
      </c>
    </row>
    <row r="71" spans="1:2">
      <c r="A71" t="s">
        <v>385</v>
      </c>
      <c r="B71" t="s">
        <v>386</v>
      </c>
    </row>
    <row r="72" spans="1:2">
      <c r="A72" t="s">
        <v>387</v>
      </c>
      <c r="B72" t="s">
        <v>388</v>
      </c>
    </row>
    <row r="73" spans="1:2">
      <c r="A73" t="s">
        <v>389</v>
      </c>
      <c r="B73" t="s">
        <v>390</v>
      </c>
    </row>
    <row r="74" spans="1:2">
      <c r="A74" t="s">
        <v>391</v>
      </c>
      <c r="B74" t="s">
        <v>392</v>
      </c>
    </row>
    <row r="75" spans="1:2">
      <c r="A75" t="s">
        <v>393</v>
      </c>
      <c r="B75" t="s">
        <v>394</v>
      </c>
    </row>
    <row r="76" spans="1:2">
      <c r="A76" t="s">
        <v>395</v>
      </c>
      <c r="B76" t="s">
        <v>396</v>
      </c>
    </row>
    <row r="77" spans="1:2">
      <c r="A77" t="s">
        <v>397</v>
      </c>
      <c r="B77" t="s">
        <v>398</v>
      </c>
    </row>
    <row r="78" spans="1:2">
      <c r="A78" t="s">
        <v>399</v>
      </c>
      <c r="B78" t="s">
        <v>400</v>
      </c>
    </row>
    <row r="79" spans="1:2">
      <c r="A79" t="s">
        <v>401</v>
      </c>
      <c r="B79" t="s">
        <v>402</v>
      </c>
    </row>
    <row r="80" spans="1:2">
      <c r="A80" t="s">
        <v>403</v>
      </c>
      <c r="B80" t="s">
        <v>404</v>
      </c>
    </row>
    <row r="81" spans="1:2">
      <c r="A81" t="s">
        <v>405</v>
      </c>
      <c r="B81" t="s">
        <v>406</v>
      </c>
    </row>
    <row r="82" spans="1:2">
      <c r="A82" t="s">
        <v>407</v>
      </c>
      <c r="B82" t="s">
        <v>408</v>
      </c>
    </row>
    <row r="83" spans="1:2">
      <c r="A83" t="s">
        <v>409</v>
      </c>
      <c r="B83" t="s">
        <v>410</v>
      </c>
    </row>
    <row r="84" spans="1:2">
      <c r="A84" t="s">
        <v>411</v>
      </c>
      <c r="B84" t="s">
        <v>412</v>
      </c>
    </row>
    <row r="85" spans="1:2">
      <c r="A85" t="s">
        <v>413</v>
      </c>
      <c r="B85" t="s">
        <v>414</v>
      </c>
    </row>
    <row r="86" spans="1:2">
      <c r="A86" t="s">
        <v>415</v>
      </c>
      <c r="B86" t="s">
        <v>416</v>
      </c>
    </row>
    <row r="87" spans="1:2">
      <c r="A87" t="s">
        <v>417</v>
      </c>
      <c r="B87" t="s">
        <v>418</v>
      </c>
    </row>
    <row r="88" spans="1:2">
      <c r="A88" t="s">
        <v>419</v>
      </c>
      <c r="B88" t="s">
        <v>420</v>
      </c>
    </row>
    <row r="89" spans="1:2">
      <c r="A89" t="s">
        <v>421</v>
      </c>
      <c r="B89" t="s">
        <v>422</v>
      </c>
    </row>
    <row r="90" spans="1:2">
      <c r="A90" t="s">
        <v>423</v>
      </c>
      <c r="B90" t="s">
        <v>424</v>
      </c>
    </row>
    <row r="91" spans="1:2">
      <c r="A91" t="s">
        <v>425</v>
      </c>
      <c r="B91" t="s">
        <v>426</v>
      </c>
    </row>
    <row r="92" spans="1:2">
      <c r="A92" t="s">
        <v>427</v>
      </c>
      <c r="B92" t="s">
        <v>428</v>
      </c>
    </row>
    <row r="93" spans="1:2">
      <c r="A93" t="s">
        <v>429</v>
      </c>
      <c r="B93" t="s">
        <v>430</v>
      </c>
    </row>
    <row r="94" spans="1:2">
      <c r="A94" t="s">
        <v>431</v>
      </c>
      <c r="B94" t="s">
        <v>432</v>
      </c>
    </row>
    <row r="95" spans="1:2">
      <c r="A95" t="s">
        <v>433</v>
      </c>
      <c r="B95" t="s">
        <v>434</v>
      </c>
    </row>
    <row r="96" spans="1:2">
      <c r="A96" t="s">
        <v>435</v>
      </c>
      <c r="B96" t="s">
        <v>108</v>
      </c>
    </row>
    <row r="97" spans="1:2">
      <c r="A97" t="s">
        <v>436</v>
      </c>
      <c r="B97" t="s">
        <v>437</v>
      </c>
    </row>
    <row r="98" spans="1:2">
      <c r="A98" t="s">
        <v>438</v>
      </c>
      <c r="B98" t="s">
        <v>439</v>
      </c>
    </row>
    <row r="99" spans="1:2">
      <c r="A99" t="s">
        <v>440</v>
      </c>
      <c r="B99" t="s">
        <v>441</v>
      </c>
    </row>
    <row r="100" spans="1:2">
      <c r="A100" t="s">
        <v>442</v>
      </c>
      <c r="B100" t="s">
        <v>443</v>
      </c>
    </row>
    <row r="101" spans="1:2">
      <c r="A101" t="s">
        <v>444</v>
      </c>
      <c r="B101" t="s">
        <v>445</v>
      </c>
    </row>
    <row r="102" spans="1:2">
      <c r="A102" t="s">
        <v>446</v>
      </c>
      <c r="B102" t="s">
        <v>447</v>
      </c>
    </row>
    <row r="103" spans="1:2">
      <c r="A103" t="s">
        <v>448</v>
      </c>
      <c r="B103" t="s">
        <v>449</v>
      </c>
    </row>
    <row r="104" spans="1:2">
      <c r="A104" t="s">
        <v>450</v>
      </c>
      <c r="B104" t="s">
        <v>451</v>
      </c>
    </row>
    <row r="105" spans="1:2">
      <c r="A105" t="s">
        <v>452</v>
      </c>
      <c r="B105" t="s">
        <v>453</v>
      </c>
    </row>
    <row r="106" spans="1:2">
      <c r="A106" t="s">
        <v>454</v>
      </c>
      <c r="B106" t="s">
        <v>455</v>
      </c>
    </row>
    <row r="107" spans="1:2">
      <c r="A107" t="s">
        <v>456</v>
      </c>
      <c r="B107" t="s">
        <v>457</v>
      </c>
    </row>
    <row r="108" spans="1:2">
      <c r="A108" t="s">
        <v>458</v>
      </c>
      <c r="B108" t="s">
        <v>459</v>
      </c>
    </row>
    <row r="109" spans="1:2">
      <c r="A109" t="s">
        <v>460</v>
      </c>
      <c r="B109" t="s">
        <v>461</v>
      </c>
    </row>
    <row r="110" spans="1:2">
      <c r="A110" t="s">
        <v>462</v>
      </c>
      <c r="B110" t="s">
        <v>463</v>
      </c>
    </row>
    <row r="111" spans="1:2">
      <c r="A111" t="s">
        <v>464</v>
      </c>
      <c r="B111" t="s">
        <v>465</v>
      </c>
    </row>
    <row r="112" spans="1:2">
      <c r="A112" t="s">
        <v>466</v>
      </c>
      <c r="B112" t="s">
        <v>467</v>
      </c>
    </row>
    <row r="113" spans="1:2">
      <c r="A113" t="s">
        <v>468</v>
      </c>
      <c r="B113" t="s">
        <v>469</v>
      </c>
    </row>
    <row r="114" spans="1:2">
      <c r="A114" t="s">
        <v>470</v>
      </c>
      <c r="B114" t="s">
        <v>471</v>
      </c>
    </row>
    <row r="115" spans="1:2">
      <c r="A115" t="s">
        <v>472</v>
      </c>
      <c r="B115" t="s">
        <v>473</v>
      </c>
    </row>
    <row r="116" spans="1:2">
      <c r="A116" t="s">
        <v>474</v>
      </c>
      <c r="B116" t="s">
        <v>475</v>
      </c>
    </row>
    <row r="117" spans="1:2">
      <c r="A117" t="s">
        <v>476</v>
      </c>
      <c r="B117" t="s">
        <v>477</v>
      </c>
    </row>
    <row r="118" spans="1:2">
      <c r="A118" t="s">
        <v>478</v>
      </c>
      <c r="B118" t="s">
        <v>479</v>
      </c>
    </row>
    <row r="119" spans="1:2">
      <c r="A119" t="s">
        <v>480</v>
      </c>
      <c r="B119" t="s">
        <v>481</v>
      </c>
    </row>
    <row r="120" spans="1:2">
      <c r="A120" t="s">
        <v>482</v>
      </c>
      <c r="B120" t="s">
        <v>483</v>
      </c>
    </row>
    <row r="121" spans="1:2">
      <c r="A121" t="s">
        <v>484</v>
      </c>
      <c r="B121" t="s">
        <v>485</v>
      </c>
    </row>
    <row r="122" spans="1:2">
      <c r="A122" t="s">
        <v>486</v>
      </c>
      <c r="B122" t="s">
        <v>487</v>
      </c>
    </row>
    <row r="123" spans="1:2">
      <c r="A123" t="s">
        <v>488</v>
      </c>
      <c r="B123" t="s">
        <v>489</v>
      </c>
    </row>
    <row r="124" spans="1:2">
      <c r="A124" t="s">
        <v>490</v>
      </c>
      <c r="B124" t="s">
        <v>491</v>
      </c>
    </row>
    <row r="125" spans="1:2">
      <c r="A125" t="s">
        <v>492</v>
      </c>
      <c r="B125" t="s">
        <v>493</v>
      </c>
    </row>
    <row r="126" spans="1:2">
      <c r="A126" t="s">
        <v>494</v>
      </c>
      <c r="B126" t="s">
        <v>495</v>
      </c>
    </row>
    <row r="127" spans="1:2">
      <c r="A127" t="s">
        <v>496</v>
      </c>
      <c r="B127" t="s">
        <v>497</v>
      </c>
    </row>
    <row r="128" spans="1:2">
      <c r="A128" t="s">
        <v>498</v>
      </c>
      <c r="B128" t="s">
        <v>499</v>
      </c>
    </row>
    <row r="129" spans="1:2">
      <c r="A129" t="s">
        <v>500</v>
      </c>
      <c r="B129" t="s">
        <v>501</v>
      </c>
    </row>
    <row r="130" spans="1:2">
      <c r="A130" t="s">
        <v>502</v>
      </c>
      <c r="B130" t="s">
        <v>503</v>
      </c>
    </row>
    <row r="131" spans="1:2">
      <c r="A131" t="s">
        <v>504</v>
      </c>
      <c r="B131" t="s">
        <v>505</v>
      </c>
    </row>
    <row r="132" spans="1:2">
      <c r="A132" t="s">
        <v>506</v>
      </c>
      <c r="B132" t="s">
        <v>507</v>
      </c>
    </row>
    <row r="133" spans="1:2">
      <c r="A133" t="s">
        <v>508</v>
      </c>
      <c r="B133" t="s">
        <v>509</v>
      </c>
    </row>
    <row r="134" spans="1:2">
      <c r="A134" t="s">
        <v>510</v>
      </c>
      <c r="B134" t="s">
        <v>511</v>
      </c>
    </row>
    <row r="135" spans="1:2">
      <c r="A135" t="s">
        <v>512</v>
      </c>
      <c r="B135" t="s">
        <v>513</v>
      </c>
    </row>
    <row r="136" spans="1:2">
      <c r="A136" t="s">
        <v>514</v>
      </c>
      <c r="B136" t="s">
        <v>515</v>
      </c>
    </row>
    <row r="137" spans="1:2">
      <c r="A137" t="s">
        <v>516</v>
      </c>
      <c r="B137" t="s">
        <v>517</v>
      </c>
    </row>
    <row r="138" spans="1:2">
      <c r="A138" t="s">
        <v>518</v>
      </c>
      <c r="B138" t="s">
        <v>519</v>
      </c>
    </row>
    <row r="139" spans="1:2">
      <c r="A139" t="s">
        <v>520</v>
      </c>
      <c r="B139" t="s">
        <v>521</v>
      </c>
    </row>
    <row r="140" spans="1:2">
      <c r="A140" t="s">
        <v>522</v>
      </c>
      <c r="B140" t="s">
        <v>523</v>
      </c>
    </row>
    <row r="141" spans="1:2">
      <c r="A141" t="s">
        <v>524</v>
      </c>
      <c r="B141" t="s">
        <v>525</v>
      </c>
    </row>
    <row r="142" spans="1:2">
      <c r="A142" t="s">
        <v>526</v>
      </c>
      <c r="B142" t="s">
        <v>527</v>
      </c>
    </row>
    <row r="143" spans="1:2">
      <c r="A143" t="s">
        <v>528</v>
      </c>
      <c r="B143" t="s">
        <v>529</v>
      </c>
    </row>
    <row r="144" spans="1:2">
      <c r="A144" t="s">
        <v>530</v>
      </c>
      <c r="B144" t="s">
        <v>531</v>
      </c>
    </row>
    <row r="145" spans="1:2">
      <c r="A145" t="s">
        <v>532</v>
      </c>
      <c r="B145" t="s">
        <v>533</v>
      </c>
    </row>
    <row r="146" spans="1:2">
      <c r="A146" t="s">
        <v>534</v>
      </c>
      <c r="B146" t="s">
        <v>535</v>
      </c>
    </row>
    <row r="147" spans="1:2">
      <c r="A147" t="s">
        <v>536</v>
      </c>
      <c r="B147" t="s">
        <v>537</v>
      </c>
    </row>
    <row r="148" spans="1:2">
      <c r="A148" t="s">
        <v>538</v>
      </c>
      <c r="B148" t="s">
        <v>539</v>
      </c>
    </row>
    <row r="149" spans="1:2">
      <c r="A149" t="s">
        <v>540</v>
      </c>
      <c r="B149" t="s">
        <v>541</v>
      </c>
    </row>
    <row r="150" spans="1:2">
      <c r="A150" t="s">
        <v>542</v>
      </c>
      <c r="B150" t="s">
        <v>543</v>
      </c>
    </row>
    <row r="151" spans="1:2">
      <c r="A151" t="s">
        <v>544</v>
      </c>
      <c r="B151" t="s">
        <v>545</v>
      </c>
    </row>
    <row r="152" spans="1:2">
      <c r="A152" t="s">
        <v>546</v>
      </c>
      <c r="B152" t="s">
        <v>547</v>
      </c>
    </row>
    <row r="153" spans="1:2">
      <c r="A153" t="s">
        <v>548</v>
      </c>
      <c r="B153" t="s">
        <v>549</v>
      </c>
    </row>
    <row r="154" spans="1:2">
      <c r="A154" t="s">
        <v>550</v>
      </c>
      <c r="B154" t="s">
        <v>551</v>
      </c>
    </row>
    <row r="155" spans="1:2">
      <c r="A155" t="s">
        <v>552</v>
      </c>
      <c r="B155" t="s">
        <v>553</v>
      </c>
    </row>
    <row r="156" spans="1:2">
      <c r="A156" t="s">
        <v>554</v>
      </c>
      <c r="B156" t="s">
        <v>555</v>
      </c>
    </row>
    <row r="157" spans="1:2">
      <c r="A157" t="s">
        <v>556</v>
      </c>
      <c r="B157" t="s">
        <v>557</v>
      </c>
    </row>
    <row r="158" spans="1:2">
      <c r="A158" t="s">
        <v>558</v>
      </c>
      <c r="B158" t="s">
        <v>559</v>
      </c>
    </row>
    <row r="159" spans="1:2">
      <c r="A159" t="s">
        <v>560</v>
      </c>
      <c r="B159" t="s">
        <v>561</v>
      </c>
    </row>
    <row r="160" spans="1:2">
      <c r="A160" t="s">
        <v>562</v>
      </c>
      <c r="B160" t="s">
        <v>563</v>
      </c>
    </row>
    <row r="161" spans="1:2">
      <c r="A161" t="s">
        <v>564</v>
      </c>
      <c r="B161" t="s">
        <v>565</v>
      </c>
    </row>
    <row r="162" spans="1:2">
      <c r="A162" t="s">
        <v>566</v>
      </c>
      <c r="B162" t="s">
        <v>567</v>
      </c>
    </row>
    <row r="163" spans="1:2">
      <c r="A163" t="s">
        <v>568</v>
      </c>
      <c r="B163" t="s">
        <v>569</v>
      </c>
    </row>
    <row r="164" spans="1:2">
      <c r="A164" t="s">
        <v>570</v>
      </c>
      <c r="B164" t="s">
        <v>571</v>
      </c>
    </row>
    <row r="165" spans="1:2">
      <c r="A165" t="s">
        <v>572</v>
      </c>
      <c r="B165" t="s">
        <v>573</v>
      </c>
    </row>
    <row r="166" spans="1:2">
      <c r="A166" t="s">
        <v>574</v>
      </c>
      <c r="B166" t="s">
        <v>575</v>
      </c>
    </row>
    <row r="167" spans="1:2">
      <c r="A167" t="s">
        <v>576</v>
      </c>
      <c r="B167" t="s">
        <v>577</v>
      </c>
    </row>
    <row r="168" spans="1:2">
      <c r="A168" t="s">
        <v>578</v>
      </c>
      <c r="B168" t="s">
        <v>579</v>
      </c>
    </row>
    <row r="169" spans="1:2">
      <c r="A169" t="s">
        <v>580</v>
      </c>
      <c r="B169" t="s">
        <v>581</v>
      </c>
    </row>
    <row r="170" spans="1:2">
      <c r="A170" t="s">
        <v>582</v>
      </c>
      <c r="B170" t="s">
        <v>583</v>
      </c>
    </row>
    <row r="171" spans="1:2">
      <c r="A171" t="s">
        <v>584</v>
      </c>
      <c r="B171" t="s">
        <v>585</v>
      </c>
    </row>
    <row r="172" spans="1:2">
      <c r="A172" t="s">
        <v>586</v>
      </c>
      <c r="B172" t="s">
        <v>587</v>
      </c>
    </row>
    <row r="173" spans="1:2">
      <c r="A173" t="s">
        <v>588</v>
      </c>
      <c r="B173" t="s">
        <v>589</v>
      </c>
    </row>
    <row r="174" spans="1:2">
      <c r="A174" t="s">
        <v>590</v>
      </c>
      <c r="B174" t="s">
        <v>591</v>
      </c>
    </row>
    <row r="175" spans="1:2">
      <c r="A175" t="s">
        <v>592</v>
      </c>
      <c r="B175" t="s">
        <v>593</v>
      </c>
    </row>
    <row r="176" spans="1:2">
      <c r="A176" t="s">
        <v>594</v>
      </c>
      <c r="B176" t="s">
        <v>595</v>
      </c>
    </row>
    <row r="177" spans="1:2">
      <c r="A177" t="s">
        <v>596</v>
      </c>
      <c r="B177" t="s">
        <v>597</v>
      </c>
    </row>
    <row r="178" spans="1:2">
      <c r="A178" t="s">
        <v>598</v>
      </c>
      <c r="B178" t="s">
        <v>599</v>
      </c>
    </row>
    <row r="179" spans="1:2">
      <c r="A179" t="s">
        <v>600</v>
      </c>
      <c r="B179" t="s">
        <v>601</v>
      </c>
    </row>
    <row r="180" spans="1:2">
      <c r="A180" t="s">
        <v>602</v>
      </c>
      <c r="B180" t="s">
        <v>603</v>
      </c>
    </row>
    <row r="181" spans="1:2">
      <c r="A181" t="s">
        <v>604</v>
      </c>
      <c r="B181" t="s">
        <v>605</v>
      </c>
    </row>
    <row r="182" spans="1:2">
      <c r="A182" t="s">
        <v>606</v>
      </c>
      <c r="B182" t="s">
        <v>607</v>
      </c>
    </row>
    <row r="183" spans="1:2">
      <c r="A183" t="s">
        <v>608</v>
      </c>
      <c r="B183" t="s">
        <v>609</v>
      </c>
    </row>
    <row r="184" spans="1:2">
      <c r="A184" t="s">
        <v>610</v>
      </c>
      <c r="B184" t="s">
        <v>298</v>
      </c>
    </row>
    <row r="185" spans="1:2">
      <c r="A185" t="s">
        <v>611</v>
      </c>
      <c r="B185" t="s">
        <v>612</v>
      </c>
    </row>
    <row r="186" spans="1:2">
      <c r="A186" t="s">
        <v>613</v>
      </c>
      <c r="B186" t="s">
        <v>614</v>
      </c>
    </row>
    <row r="187" spans="1:2">
      <c r="A187" t="s">
        <v>615</v>
      </c>
      <c r="B187" t="s">
        <v>616</v>
      </c>
    </row>
    <row r="188" spans="1:2">
      <c r="A188" t="s">
        <v>617</v>
      </c>
      <c r="B188" t="s">
        <v>618</v>
      </c>
    </row>
    <row r="189" spans="1:2">
      <c r="A189" t="s">
        <v>619</v>
      </c>
      <c r="B189" t="s">
        <v>620</v>
      </c>
    </row>
    <row r="190" spans="1:2">
      <c r="A190" t="s">
        <v>621</v>
      </c>
      <c r="B190" t="s">
        <v>622</v>
      </c>
    </row>
    <row r="191" spans="1:2">
      <c r="A191" t="s">
        <v>623</v>
      </c>
      <c r="B191" t="s">
        <v>624</v>
      </c>
    </row>
    <row r="192" spans="1:2">
      <c r="A192" t="s">
        <v>625</v>
      </c>
      <c r="B192" t="s">
        <v>626</v>
      </c>
    </row>
    <row r="193" spans="1:2">
      <c r="A193" t="s">
        <v>627</v>
      </c>
      <c r="B193" t="s">
        <v>628</v>
      </c>
    </row>
    <row r="194" spans="1:2">
      <c r="A194" t="s">
        <v>629</v>
      </c>
      <c r="B194" t="s">
        <v>630</v>
      </c>
    </row>
    <row r="195" spans="1:2">
      <c r="A195" t="s">
        <v>631</v>
      </c>
      <c r="B195" t="s">
        <v>632</v>
      </c>
    </row>
    <row r="196" spans="1:2">
      <c r="A196" t="s">
        <v>633</v>
      </c>
      <c r="B196" t="s">
        <v>634</v>
      </c>
    </row>
    <row r="197" spans="1:2">
      <c r="A197" t="s">
        <v>635</v>
      </c>
      <c r="B197" t="s">
        <v>636</v>
      </c>
    </row>
    <row r="198" spans="1:2">
      <c r="A198" t="s">
        <v>637</v>
      </c>
      <c r="B198" t="s">
        <v>638</v>
      </c>
    </row>
    <row r="199" spans="1:2">
      <c r="A199" t="s">
        <v>639</v>
      </c>
      <c r="B199" t="s">
        <v>640</v>
      </c>
    </row>
    <row r="200" spans="1:2">
      <c r="A200" t="s">
        <v>641</v>
      </c>
      <c r="B200" t="s">
        <v>642</v>
      </c>
    </row>
    <row r="201" spans="1:2">
      <c r="A201" t="s">
        <v>643</v>
      </c>
      <c r="B201" t="s">
        <v>298</v>
      </c>
    </row>
    <row r="202" spans="1:2">
      <c r="A202" t="s">
        <v>644</v>
      </c>
      <c r="B202" t="s">
        <v>645</v>
      </c>
    </row>
    <row r="203" spans="1:2">
      <c r="A203" t="s">
        <v>646</v>
      </c>
      <c r="B203" t="s">
        <v>647</v>
      </c>
    </row>
    <row r="204" spans="1:2">
      <c r="A204" t="s">
        <v>648</v>
      </c>
      <c r="B204" t="s">
        <v>649</v>
      </c>
    </row>
    <row r="205" spans="1:2">
      <c r="A205" t="s">
        <v>650</v>
      </c>
      <c r="B205" t="s">
        <v>651</v>
      </c>
    </row>
    <row r="206" spans="1:2">
      <c r="A206" t="s">
        <v>652</v>
      </c>
      <c r="B206" t="s">
        <v>653</v>
      </c>
    </row>
    <row r="207" spans="1:2">
      <c r="A207" t="s">
        <v>654</v>
      </c>
      <c r="B207" t="s">
        <v>653</v>
      </c>
    </row>
    <row r="208" spans="1:2">
      <c r="A208" t="s">
        <v>655</v>
      </c>
      <c r="B208" t="s">
        <v>656</v>
      </c>
    </row>
    <row r="209" spans="1:2">
      <c r="A209" t="s">
        <v>657</v>
      </c>
      <c r="B209" t="s">
        <v>658</v>
      </c>
    </row>
    <row r="210" spans="1:2">
      <c r="A210" t="s">
        <v>659</v>
      </c>
      <c r="B210" t="s">
        <v>660</v>
      </c>
    </row>
    <row r="211" spans="1:2">
      <c r="A211" t="s">
        <v>661</v>
      </c>
      <c r="B211" t="s">
        <v>662</v>
      </c>
    </row>
    <row r="212" spans="1:2">
      <c r="A212" t="s">
        <v>663</v>
      </c>
      <c r="B212" t="s">
        <v>664</v>
      </c>
    </row>
    <row r="213" spans="1:2">
      <c r="A213" t="s">
        <v>665</v>
      </c>
      <c r="B213" t="s">
        <v>666</v>
      </c>
    </row>
    <row r="214" spans="1:2">
      <c r="A214" t="s">
        <v>667</v>
      </c>
      <c r="B214" t="s">
        <v>668</v>
      </c>
    </row>
    <row r="215" spans="1:2">
      <c r="A215" t="s">
        <v>669</v>
      </c>
      <c r="B215" t="s">
        <v>670</v>
      </c>
    </row>
    <row r="216" spans="1:2">
      <c r="A216" t="s">
        <v>671</v>
      </c>
      <c r="B216" t="s">
        <v>672</v>
      </c>
    </row>
    <row r="217" spans="1:2">
      <c r="A217" t="s">
        <v>673</v>
      </c>
      <c r="B217" t="s">
        <v>674</v>
      </c>
    </row>
    <row r="218" spans="1:2">
      <c r="A218" t="s">
        <v>675</v>
      </c>
      <c r="B218" t="s">
        <v>676</v>
      </c>
    </row>
    <row r="219" spans="1:2">
      <c r="A219" t="s">
        <v>677</v>
      </c>
      <c r="B219" t="s">
        <v>678</v>
      </c>
    </row>
    <row r="220" spans="1:2">
      <c r="A220" t="s">
        <v>679</v>
      </c>
      <c r="B220" t="s">
        <v>680</v>
      </c>
    </row>
    <row r="221" spans="1:2">
      <c r="A221" t="s">
        <v>681</v>
      </c>
      <c r="B221" t="s">
        <v>682</v>
      </c>
    </row>
    <row r="222" spans="1:2">
      <c r="A222" t="s">
        <v>683</v>
      </c>
      <c r="B222" t="s">
        <v>684</v>
      </c>
    </row>
    <row r="223" spans="1:2">
      <c r="A223" t="s">
        <v>685</v>
      </c>
      <c r="B223" t="s">
        <v>686</v>
      </c>
    </row>
    <row r="224" spans="1:2">
      <c r="A224" t="s">
        <v>687</v>
      </c>
      <c r="B224" t="s">
        <v>688</v>
      </c>
    </row>
    <row r="225" spans="1:2">
      <c r="A225" t="s">
        <v>689</v>
      </c>
      <c r="B225" t="s">
        <v>690</v>
      </c>
    </row>
    <row r="226" spans="1:2">
      <c r="A226" t="s">
        <v>691</v>
      </c>
      <c r="B226" t="s">
        <v>692</v>
      </c>
    </row>
    <row r="227" spans="1:2">
      <c r="A227" t="s">
        <v>693</v>
      </c>
      <c r="B227" t="s">
        <v>694</v>
      </c>
    </row>
    <row r="228" spans="1:2">
      <c r="A228" t="s">
        <v>695</v>
      </c>
      <c r="B228" t="s">
        <v>696</v>
      </c>
    </row>
    <row r="229" spans="1:2">
      <c r="A229" t="s">
        <v>697</v>
      </c>
      <c r="B229" t="s">
        <v>698</v>
      </c>
    </row>
    <row r="230" spans="1:2">
      <c r="A230" t="s">
        <v>699</v>
      </c>
      <c r="B230" t="s">
        <v>700</v>
      </c>
    </row>
    <row r="231" spans="1:2">
      <c r="A231" t="s">
        <v>701</v>
      </c>
      <c r="B231" t="s">
        <v>702</v>
      </c>
    </row>
    <row r="232" spans="1:2">
      <c r="A232" t="s">
        <v>703</v>
      </c>
      <c r="B232" t="s">
        <v>704</v>
      </c>
    </row>
    <row r="233" spans="1:2">
      <c r="A233" t="s">
        <v>705</v>
      </c>
      <c r="B233" t="s">
        <v>706</v>
      </c>
    </row>
    <row r="234" spans="1:2">
      <c r="A234" t="s">
        <v>707</v>
      </c>
      <c r="B234" t="s">
        <v>708</v>
      </c>
    </row>
    <row r="235" spans="1:2">
      <c r="A235" t="s">
        <v>709</v>
      </c>
      <c r="B235" t="s">
        <v>710</v>
      </c>
    </row>
    <row r="236" spans="1:2">
      <c r="A236" t="s">
        <v>711</v>
      </c>
      <c r="B236" t="s">
        <v>712</v>
      </c>
    </row>
    <row r="237" spans="1:2">
      <c r="A237" t="s">
        <v>713</v>
      </c>
      <c r="B237" t="s">
        <v>714</v>
      </c>
    </row>
    <row r="238" spans="1:2">
      <c r="A238" t="s">
        <v>715</v>
      </c>
      <c r="B238" t="s">
        <v>716</v>
      </c>
    </row>
    <row r="239" spans="1:2">
      <c r="A239" t="s">
        <v>717</v>
      </c>
      <c r="B239" t="s">
        <v>718</v>
      </c>
    </row>
    <row r="240" spans="1:2">
      <c r="A240" t="s">
        <v>719</v>
      </c>
      <c r="B240" t="s">
        <v>720</v>
      </c>
    </row>
    <row r="241" spans="1:2">
      <c r="A241" t="s">
        <v>721</v>
      </c>
      <c r="B241" t="s">
        <v>722</v>
      </c>
    </row>
    <row r="242" spans="1:2">
      <c r="A242" t="s">
        <v>723</v>
      </c>
      <c r="B242" t="s">
        <v>724</v>
      </c>
    </row>
    <row r="243" spans="1:2">
      <c r="A243" t="s">
        <v>725</v>
      </c>
      <c r="B243" t="s">
        <v>726</v>
      </c>
    </row>
    <row r="244" spans="1:2">
      <c r="A244" t="s">
        <v>727</v>
      </c>
      <c r="B244" t="s">
        <v>728</v>
      </c>
    </row>
    <row r="245" spans="1:2">
      <c r="A245" t="s">
        <v>729</v>
      </c>
      <c r="B245" t="s">
        <v>730</v>
      </c>
    </row>
    <row r="246" spans="1:2">
      <c r="A246" t="s">
        <v>731</v>
      </c>
      <c r="B246" t="s">
        <v>732</v>
      </c>
    </row>
    <row r="247" spans="1:2">
      <c r="A247" t="s">
        <v>733</v>
      </c>
      <c r="B247" t="s">
        <v>734</v>
      </c>
    </row>
    <row r="248" spans="1:2">
      <c r="A248" t="s">
        <v>735</v>
      </c>
      <c r="B248" t="s">
        <v>736</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Categories</vt:lpstr>
      <vt:lpstr>Metadata</vt:lpstr>
      <vt:lpstr>picklists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Sam Burke</cp:lastModifiedBy>
  <cp:lastPrinted>2014-02-01T19:00:50Z</cp:lastPrinted>
  <dcterms:created xsi:type="dcterms:W3CDTF">2013-09-30T16:43:43Z</dcterms:created>
  <dcterms:modified xsi:type="dcterms:W3CDTF">2015-09-17T23:04:50Z</dcterms:modified>
</cp:coreProperties>
</file>