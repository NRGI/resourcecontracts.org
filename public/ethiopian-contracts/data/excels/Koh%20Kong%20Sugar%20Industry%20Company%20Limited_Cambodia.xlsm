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7A2D7E96-6E34-419A-AE5F-296B3A7E7977}"/>
  <workbookPr showInkAnnotation="0" codeName="ThisWorkbook" autoCompressPictures="0"/>
  <bookViews>
    <workbookView xWindow="560" yWindow="560" windowWidth="25040" windowHeight="15440" tabRatio="500" activeTab="1"/>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5" i="2"/>
  <c r="B3" i="2"/>
  <c r="B4" i="2"/>
  <c r="B6" i="2"/>
  <c r="C48" i="1"/>
  <c r="B8" i="2"/>
  <c r="B9" i="2"/>
  <c r="B11" i="2"/>
  <c r="B12" i="2"/>
  <c r="B13" i="2"/>
  <c r="B14" i="2"/>
  <c r="B15" i="2"/>
  <c r="B16" i="2"/>
  <c r="B17" i="2"/>
  <c r="B18" i="2"/>
  <c r="B19" i="2"/>
  <c r="B20" i="2"/>
  <c r="B21" i="2"/>
  <c r="B22" i="2"/>
  <c r="C33" i="1"/>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1" i="1"/>
  <c r="H111" i="1"/>
  <c r="G79" i="1"/>
  <c r="H79" i="1"/>
  <c r="G66" i="1"/>
  <c r="H66" i="1"/>
  <c r="G115" i="1"/>
  <c r="H115" i="1"/>
  <c r="G65" i="1"/>
  <c r="H65" i="1"/>
  <c r="G140" i="1"/>
  <c r="H140" i="1"/>
  <c r="G137" i="1"/>
  <c r="H137" i="1"/>
  <c r="G126" i="1"/>
  <c r="H126" i="1"/>
  <c r="G110" i="1"/>
  <c r="H110" i="1"/>
  <c r="G125" i="1"/>
  <c r="H125" i="1"/>
  <c r="G124" i="1"/>
  <c r="H124" i="1"/>
  <c r="G99" i="1"/>
  <c r="H99" i="1"/>
  <c r="G64" i="1"/>
  <c r="H64" i="1"/>
  <c r="G63" i="1"/>
  <c r="H63" i="1"/>
  <c r="G46" i="1"/>
  <c r="H46" i="1"/>
  <c r="H144" i="1"/>
  <c r="G144" i="1"/>
  <c r="H143" i="1"/>
  <c r="G143" i="1"/>
  <c r="H142" i="1"/>
  <c r="G142" i="1"/>
  <c r="H141" i="1"/>
  <c r="G141" i="1"/>
  <c r="H139" i="1"/>
  <c r="G139" i="1"/>
  <c r="H138" i="1"/>
  <c r="G138" i="1"/>
  <c r="H136" i="1"/>
  <c r="G136" i="1"/>
  <c r="H135" i="1"/>
  <c r="G135" i="1"/>
  <c r="H134" i="1"/>
  <c r="G134" i="1"/>
  <c r="H133" i="1"/>
  <c r="G133" i="1"/>
  <c r="H132" i="1"/>
  <c r="G132" i="1"/>
  <c r="H131" i="1"/>
  <c r="G131" i="1"/>
  <c r="H130" i="1"/>
  <c r="G130" i="1"/>
  <c r="H129" i="1"/>
  <c r="G129" i="1"/>
  <c r="H128" i="1"/>
  <c r="G128" i="1"/>
  <c r="H127" i="1"/>
  <c r="G127" i="1"/>
  <c r="H123" i="1"/>
  <c r="G123" i="1"/>
  <c r="H122" i="1"/>
  <c r="G122" i="1"/>
  <c r="H121" i="1"/>
  <c r="G121" i="1"/>
  <c r="H120" i="1"/>
  <c r="G120" i="1"/>
  <c r="H119" i="1"/>
  <c r="G119" i="1"/>
  <c r="H118" i="1"/>
  <c r="G118" i="1"/>
  <c r="H117" i="1"/>
  <c r="G117" i="1"/>
  <c r="H116" i="1"/>
  <c r="G116" i="1"/>
  <c r="H114" i="1"/>
  <c r="G114" i="1"/>
  <c r="H113" i="1"/>
  <c r="G113" i="1"/>
  <c r="H112" i="1"/>
  <c r="G112" i="1"/>
  <c r="H109" i="1"/>
  <c r="G109" i="1"/>
  <c r="H108" i="1"/>
  <c r="G108" i="1"/>
  <c r="H107" i="1"/>
  <c r="G107" i="1"/>
  <c r="H106" i="1"/>
  <c r="G106" i="1"/>
  <c r="H105" i="1"/>
  <c r="G105" i="1"/>
  <c r="H104" i="1"/>
  <c r="G104" i="1"/>
  <c r="H103" i="1"/>
  <c r="G103" i="1"/>
  <c r="H102" i="1"/>
  <c r="G102" i="1"/>
  <c r="H101" i="1"/>
  <c r="G101" i="1"/>
  <c r="H100" i="1"/>
  <c r="G100" i="1"/>
  <c r="H98" i="1"/>
  <c r="G98"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8" i="1"/>
  <c r="G78"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<sst xmlns="http://schemas.openxmlformats.org/spreadsheetml/2006/main" count="999" uniqueCount="916">
  <si>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</si>
  <si>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</si>
  <si>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</si>
  <si>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</si>
  <si>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</si>
  <si>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</si>
  <si>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</si>
  <si>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</si>
  <si>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</si>
  <si>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</si>
  <si>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</si>
  <si>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</si>
  <si>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</si>
  <si>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</si>
  <si>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</si>
  <si>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</si>
  <si>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</si>
  <si>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</si>
  <si>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</si>
  <si>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</si>
  <si>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</si>
  <si>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</si>
  <si>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</si>
  <si>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</si>
  <si>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</si>
  <si>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</si>
  <si>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</si>
  <si>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</si>
  <si>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</si>
  <si>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</si>
  <si>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</si>
  <si>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</si>
  <si>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</si>
  <si>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</si>
  <si>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</si>
  <si>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</si>
  <si>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</si>
  <si>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</si>
  <si>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</si>
  <si>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</si>
  <si>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</si>
  <si>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</si>
  <si>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</si>
  <si>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</si>
  <si>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</si>
  <si>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</si>
  <si>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</si>
  <si>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</si>
  <si>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</si>
  <si>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</si>
  <si>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</si>
  <si>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</si>
  <si>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</si>
  <si>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</si>
  <si>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</si>
  <si>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</si>
  <si>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</si>
  <si>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</si>
  <si>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</si>
  <si>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</si>
  <si>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</si>
  <si>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</si>
  <si>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</si>
  <si>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</si>
  <si>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</si>
  <si>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</si>
  <si>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</si>
  <si>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</si>
  <si>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</si>
  <si>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</si>
  <si>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</si>
  <si>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</si>
  <si>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</si>
  <si>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</si>
  <si>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</si>
  <si>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</si>
  <si>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Production Share - "Cost Oil" features  (basis of calculation, limits on cost recovery - e.g. as % of revenue or production, capex uplift, etc.)</t>
  </si>
  <si>
    <t>Production Share - "Profit Oil" features  (triggers for variations in split - IRR, "r" factor, production, etc.)</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</si>
  <si>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</si>
  <si>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</si>
  <si>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</si>
  <si>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</si>
  <si>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</si>
  <si>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</si>
  <si>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</si>
  <si>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</si>
  <si>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</si>
  <si>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</si>
  <si>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</si>
  <si>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</si>
  <si>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</si>
  <si>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</si>
  <si>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</si>
  <si>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</si>
  <si>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</si>
  <si>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</si>
  <si>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</si>
  <si>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</si>
  <si>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</si>
  <si>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</si>
  <si>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</si>
  <si>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</si>
  <si>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</si>
  <si>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</si>
  <si>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</si>
  <si>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</si>
  <si>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</si>
  <si>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</si>
  <si>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</si>
  <si>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</si>
  <si>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 xml:space="preserve">Fixed fee for grant and renewal of license  </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</si>
  <si>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</si>
  <si>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</si>
  <si>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</si>
  <si>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</si>
  <si>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</si>
  <si>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</si>
  <si>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</si>
  <si>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</si>
  <si>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</si>
  <si>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</si>
  <si>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</si>
  <si>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</si>
  <si>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</si>
  <si>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</si>
  <si>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</si>
  <si>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</si>
  <si>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</si>
  <si>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</si>
  <si>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</si>
  <si>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</si>
  <si>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</si>
  <si>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</si>
  <si>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</si>
  <si>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</si>
  <si>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</si>
  <si>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</si>
  <si>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</si>
  <si>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</si>
  <si>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</si>
  <si>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</si>
  <si>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</si>
  <si>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</si>
  <si>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</si>
  <si>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</si>
  <si>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</si>
  <si>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</si>
  <si>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</si>
  <si>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</si>
  <si>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</si>
  <si>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</si>
  <si>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</si>
  <si>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</si>
  <si>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</si>
  <si>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</si>
  <si>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</si>
  <si>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</si>
  <si>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</si>
  <si>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</si>
  <si>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</si>
  <si>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</si>
  <si>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</si>
  <si>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</si>
  <si>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</si>
  <si>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</si>
  <si>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</si>
  <si>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</si>
  <si>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</si>
  <si>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</si>
  <si>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</si>
  <si>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</si>
  <si>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</si>
  <si>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</si>
  <si>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</si>
  <si>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</si>
  <si>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</si>
  <si>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</si>
  <si>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Type of resources (mineral type, crude oil, gas, timber, etc.) OR specific crops planned (ex:  food crops, oil palm, etc.)</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</si>
  <si>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</si>
  <si>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</si>
  <si>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</si>
  <si>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</si>
  <si>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</si>
  <si>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</si>
  <si>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</si>
  <si>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</si>
  <si>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</si>
  <si>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</si>
  <si>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</si>
  <si>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</si>
  <si>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</si>
  <si>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</si>
  <si>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</si>
  <si>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</si>
  <si>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</si>
  <si>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</si>
  <si>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</si>
  <si>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</si>
  <si>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</si>
  <si>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</si>
  <si>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</si>
  <si>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</si>
  <si>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</si>
  <si>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</si>
  <si>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</si>
  <si>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Location, longitude and latitude /  Onshore vs Offshore (shallow vs. deep) </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</si>
  <si>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</si>
  <si>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</si>
  <si>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</si>
  <si>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</si>
  <si>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</si>
  <si>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</si>
  <si>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</si>
  <si>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</si>
  <si>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</si>
  <si>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</si>
  <si>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</si>
  <si>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</si>
  <si>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</si>
  <si>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</si>
  <si>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</si>
  <si>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</si>
  <si>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</si>
  <si>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</si>
  <si>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</si>
  <si>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</si>
  <si>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</si>
  <si>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</si>
  <si>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</si>
  <si>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</si>
  <si>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</si>
  <si>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</si>
  <si>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Programme de sous-traitance  avec les petits planteurs (détails, des terres supplémentaires fournis, etc)</t>
  </si>
  <si>
    <t>Obligations liées a l'approvisionnement en biens et services locaux</t>
  </si>
  <si>
    <t>Contrat de Service - Frais du détenteur du titre défrayés  (base de calcul)</t>
  </si>
  <si>
    <t>Consultations communautaires requises</t>
  </si>
  <si>
    <t>Obligations liées a la formation des cadres locaux</t>
  </si>
  <si>
    <t>Impôt sur les Revenus des Valeurs Mobilières (IRVM)</t>
  </si>
  <si>
    <t>Obligations de reporting et autres méthodes de contrôle de la conformité</t>
  </si>
  <si>
    <t>Other - [Environmental liability]</t>
  </si>
  <si>
    <t>Autre - [Responsabilité environnementale]</t>
  </si>
  <si>
    <t>Numéro d'entreprise légal</t>
  </si>
  <si>
    <t>Legal Enterprise Identifier</t>
  </si>
  <si>
    <t>Details  - value</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</si>
  <si>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</si>
  <si>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</si>
  <si>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</si>
  <si>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</si>
  <si>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</si>
  <si>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</si>
  <si>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</si>
  <si>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</si>
  <si>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</si>
  <si>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</si>
  <si>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</si>
  <si>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</si>
  <si>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</si>
  <si>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</si>
  <si>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</si>
  <si>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</si>
  <si>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</si>
  <si>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</si>
  <si>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</si>
  <si>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</si>
  <si>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</si>
  <si>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</si>
  <si>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</si>
  <si>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</si>
  <si>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</si>
  <si>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</si>
  <si>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</si>
  <si>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</si>
  <si>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</si>
  <si>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</si>
  <si>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</si>
  <si>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</si>
  <si>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</si>
  <si>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</si>
  <si>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</si>
  <si>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</si>
  <si>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</si>
  <si>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</si>
  <si>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</si>
  <si>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</si>
  <si>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</si>
  <si>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</si>
  <si>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</si>
  <si>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</si>
  <si>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</si>
  <si>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</si>
  <si>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</si>
  <si>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</si>
  <si>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</si>
  <si>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</si>
  <si>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</si>
  <si>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</si>
  <si>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</si>
  <si>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</si>
  <si>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</si>
  <si>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</si>
  <si>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</si>
  <si>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</si>
  <si>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</si>
  <si>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</si>
  <si>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</si>
  <si>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</si>
  <si>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</si>
  <si>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</si>
  <si>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</si>
  <si>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</si>
  <si>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</si>
  <si>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</si>
  <si>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</si>
  <si>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</si>
  <si>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</si>
  <si>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</si>
  <si>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</si>
  <si>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</si>
  <si>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</si>
  <si>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</si>
  <si>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</si>
  <si>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</si>
  <si>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</si>
  <si>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</si>
  <si>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</si>
  <si>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</si>
  <si>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</si>
  <si>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</si>
  <si>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</si>
  <si>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</si>
  <si>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</si>
  <si>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</si>
  <si>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</si>
  <si>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</si>
  <si>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</si>
  <si>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</si>
  <si>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</si>
  <si>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</si>
  <si>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</si>
  <si>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</si>
  <si>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</si>
  <si>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</si>
  <si>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</si>
  <si>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</si>
  <si>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</si>
  <si>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</si>
  <si>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</si>
  <si>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</si>
  <si>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</si>
  <si>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</si>
  <si>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</si>
  <si>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</si>
  <si>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</si>
  <si>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</si>
  <si>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</si>
  <si>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</si>
  <si>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</si>
  <si>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</si>
  <si>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</si>
  <si>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</si>
  <si>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</si>
  <si>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</si>
  <si>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</si>
  <si>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</si>
  <si>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</si>
  <si>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</si>
  <si>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</si>
  <si>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</si>
  <si>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</si>
  <si>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</si>
  <si>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</si>
  <si>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</si>
  <si>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</si>
  <si>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</si>
  <si>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</si>
  <si>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</si>
  <si>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</si>
  <si>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</si>
  <si>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</si>
  <si>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</si>
  <si>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</si>
  <si>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</si>
  <si>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</si>
  <si>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</si>
  <si>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</si>
  <si>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</si>
  <si>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</si>
  <si>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</si>
  <si>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</si>
  <si>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</si>
  <si>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</si>
  <si>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</si>
  <si>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</si>
  <si>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</si>
  <si>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</si>
  <si>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</si>
  <si>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</si>
  <si>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</si>
  <si>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</si>
  <si>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</si>
  <si>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</si>
  <si>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</si>
  <si>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</si>
  <si>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</si>
  <si>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</si>
  <si>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</si>
  <si>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</si>
  <si>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</si>
  <si>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</si>
  <si>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</si>
  <si>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</si>
  <si>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</si>
  <si>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</si>
  <si>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</si>
  <si>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</si>
  <si>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</si>
  <si>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</si>
  <si>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</si>
  <si>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</si>
  <si>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</si>
  <si>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</si>
  <si>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</si>
  <si>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</si>
  <si>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</si>
  <si>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</si>
  <si>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</si>
  <si>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</si>
  <si>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</si>
  <si>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</si>
  <si>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</si>
  <si>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</si>
  <si>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</si>
  <si>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</si>
  <si>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</si>
  <si>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</si>
  <si>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</si>
  <si>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</si>
  <si>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</si>
  <si>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</si>
  <si>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</si>
  <si>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</si>
  <si>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</si>
  <si>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</si>
  <si>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</si>
  <si>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</si>
  <si>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</si>
  <si>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</si>
  <si>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</si>
  <si>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</si>
  <si>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</si>
  <si>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</si>
  <si>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</si>
  <si>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</si>
  <si>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</si>
  <si>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</si>
  <si>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</si>
  <si>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</si>
  <si>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</si>
  <si>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</si>
  <si>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</si>
  <si>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</si>
  <si>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</si>
  <si>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</si>
  <si>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</si>
  <si>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</si>
  <si>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</si>
  <si>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</si>
  <si>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</si>
  <si>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</si>
  <si>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</si>
  <si>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</si>
  <si>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</si>
  <si>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</si>
  <si>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</si>
  <si>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</si>
  <si>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</si>
  <si>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</si>
  <si>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</si>
  <si>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</si>
  <si>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</si>
  <si>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</si>
  <si>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</si>
  <si>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</si>
  <si>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</si>
  <si>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</si>
  <si>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</si>
  <si>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</si>
  <si>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</si>
  <si>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</si>
  <si>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</si>
  <si>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</si>
  <si>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</si>
  <si>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</si>
  <si>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</si>
  <si>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</si>
  <si>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</si>
  <si>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</si>
  <si>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</si>
  <si>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</si>
  <si>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</si>
  <si>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</si>
  <si>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</si>
  <si>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</si>
  <si>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</si>
  <si>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</si>
  <si>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</si>
  <si>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</si>
  <si>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</si>
  <si>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</si>
  <si>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</si>
  <si>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</si>
  <si>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</si>
  <si>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</si>
  <si>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</si>
  <si>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</si>
  <si>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</si>
  <si>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</si>
  <si>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</si>
  <si>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</si>
  <si>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</si>
  <si>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</si>
  <si>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</si>
  <si>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</si>
  <si>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</si>
  <si>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</si>
  <si>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</si>
  <si>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</si>
  <si>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</si>
  <si>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</si>
  <si>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</si>
  <si>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</si>
  <si>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</si>
  <si>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</si>
  <si>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</si>
  <si>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</si>
  <si>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</si>
  <si>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</si>
  <si>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</si>
  <si>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</si>
  <si>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</si>
  <si>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</si>
  <si>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</si>
  <si>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</si>
  <si>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</si>
  <si>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</si>
  <si>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</si>
  <si>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</si>
  <si>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</si>
  <si>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</si>
  <si>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</si>
  <si>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</si>
  <si>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</si>
  <si>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</si>
  <si>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</si>
  <si>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</si>
  <si>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</si>
  <si>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</si>
  <si>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</si>
  <si>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</si>
  <si>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</si>
  <si>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</si>
  <si>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</si>
  <si>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</si>
  <si>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</si>
  <si>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</si>
  <si>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</si>
  <si>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</si>
  <si>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</si>
  <si>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</si>
  <si>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</si>
  <si>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</si>
  <si>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</si>
  <si>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</si>
  <si>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</si>
  <si>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</si>
  <si>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</si>
  <si>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</si>
  <si>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</si>
  <si>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</si>
  <si>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</si>
  <si>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</si>
  <si>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</si>
  <si>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</si>
  <si>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</si>
  <si>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</si>
  <si>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</si>
  <si>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</si>
  <si>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</si>
  <si>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</si>
  <si>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</si>
  <si>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</si>
  <si>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</si>
  <si>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</si>
  <si>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</si>
  <si>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</si>
  <si>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</si>
  <si>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</si>
  <si>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</si>
  <si>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</si>
  <si>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</si>
  <si>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</si>
  <si>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</si>
  <si>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</si>
  <si>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</si>
  <si>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</si>
  <si>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</si>
  <si>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</si>
  <si>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</si>
  <si>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</si>
  <si>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</si>
  <si>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</si>
  <si>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</si>
  <si>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</si>
  <si>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</si>
  <si>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</si>
  <si>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</si>
  <si>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</si>
  <si>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</si>
  <si>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</si>
  <si>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</si>
  <si>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</si>
  <si>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</si>
  <si>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</si>
  <si>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</si>
  <si>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</si>
  <si>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</si>
  <si>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</si>
  <si>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</si>
  <si>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</si>
  <si>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</si>
  <si>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</si>
  <si>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</si>
  <si>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</si>
  <si>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</si>
  <si>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</si>
  <si>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</si>
  <si>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</si>
  <si>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</si>
  <si>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</si>
  <si>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</si>
  <si>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</si>
  <si>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</si>
  <si>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</si>
  <si>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</si>
  <si>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</si>
  <si>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</si>
  <si>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</si>
  <si>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</si>
  <si>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</si>
  <si>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</si>
  <si>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</si>
  <si>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</si>
  <si>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</si>
  <si>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</si>
  <si>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</si>
  <si>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</si>
  <si>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</si>
  <si>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</si>
  <si>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</si>
  <si>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</si>
  <si>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</si>
  <si>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</si>
  <si>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</si>
  <si>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</si>
  <si>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</si>
  <si>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</si>
  <si>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</si>
  <si>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</si>
  <si>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</si>
  <si>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</si>
  <si>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</si>
  <si>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</si>
  <si>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</si>
  <si>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</si>
  <si>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</si>
  <si>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</si>
  <si>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</si>
  <si>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</si>
  <si>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</si>
  <si>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</si>
  <si>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</si>
  <si>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</si>
  <si>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</si>
  <si>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</si>
  <si>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</si>
  <si>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</si>
  <si>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</si>
  <si>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</si>
  <si>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</si>
  <si>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</si>
  <si>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</si>
  <si>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</si>
  <si>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</si>
  <si>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</si>
  <si>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</si>
  <si>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</si>
  <si>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</si>
  <si>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</si>
  <si>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</si>
  <si>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</si>
  <si>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</si>
  <si>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</si>
  <si>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</si>
  <si>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</si>
  <si>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</si>
  <si>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</si>
  <si>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</si>
  <si>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</si>
  <si>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</si>
  <si>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</si>
  <si>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</si>
  <si>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</si>
  <si>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</si>
  <si>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</si>
  <si>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</si>
  <si>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</si>
  <si>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</si>
  <si>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</si>
  <si>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</si>
  <si>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</si>
  <si>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</si>
  <si>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</si>
  <si>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</si>
  <si>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</si>
  <si>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</si>
  <si>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</si>
  <si>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</si>
  <si>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</si>
  <si>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</si>
  <si>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</si>
  <si>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</si>
  <si>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</si>
  <si>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</si>
  <si>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</si>
  <si>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</si>
  <si>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</si>
  <si>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</si>
  <si>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</si>
  <si>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</si>
  <si>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</si>
  <si>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</si>
  <si>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</si>
  <si>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</si>
  <si>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</si>
  <si>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</si>
  <si>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</si>
  <si>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</si>
  <si>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</si>
  <si>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</si>
  <si>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</si>
  <si>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</si>
  <si>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</si>
  <si>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</si>
  <si>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</si>
  <si>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</si>
  <si>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</si>
  <si>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</si>
  <si>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</si>
  <si>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</si>
  <si>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</si>
  <si>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</si>
  <si>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</si>
  <si>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</si>
  <si>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</si>
  <si>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</si>
  <si>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</si>
  <si>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</si>
  <si>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</si>
  <si>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</si>
  <si>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</si>
  <si>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</si>
  <si>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</si>
  <si>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</si>
  <si>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</si>
  <si>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</si>
  <si>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</si>
  <si>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</si>
  <si>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</si>
  <si>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</si>
  <si>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</si>
  <si>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</si>
  <si>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</si>
  <si>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</si>
  <si>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</si>
  <si>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</si>
  <si>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</si>
  <si>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</si>
  <si>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</si>
  <si>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</si>
  <si>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</si>
  <si>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</si>
  <si>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</si>
  <si>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</si>
  <si>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</si>
  <si>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</si>
  <si>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</si>
  <si>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</si>
  <si>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</si>
  <si>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</si>
  <si>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</si>
  <si>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</si>
  <si>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</si>
  <si>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</si>
  <si>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</si>
  <si>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</si>
  <si>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</si>
  <si>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</si>
  <si>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</si>
  <si>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</si>
  <si>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</si>
  <si>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</si>
  <si>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</si>
  <si>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</si>
  <si>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</si>
  <si>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</si>
  <si>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</si>
  <si>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</si>
  <si>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</si>
  <si>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</si>
  <si>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</si>
  <si>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</si>
  <si>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</si>
  <si>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</si>
  <si>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</si>
  <si>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</si>
  <si>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</si>
  <si>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</si>
  <si>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</si>
  <si>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</si>
  <si>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</si>
  <si>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</si>
  <si>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</si>
  <si>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</si>
  <si>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</si>
  <si>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</si>
  <si>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</si>
  <si>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</si>
  <si>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</si>
  <si>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</si>
  <si>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TEMPLATE OIL/GAS/MINING/LAND -   RESOURCECONTRACTS.ORG and OPENLANDCONTRACTS.ORG</t>
  </si>
  <si>
    <t>Les metaux de base</t>
  </si>
  <si>
    <t>Preamble</t>
  </si>
  <si>
    <t>1 (middle)</t>
  </si>
  <si>
    <t xml:space="preserve">Koh Kong Sugar Industry Company Limited </t>
  </si>
  <si>
    <t>Agreement</t>
  </si>
  <si>
    <t>Art. 1</t>
  </si>
  <si>
    <t>2 (top)</t>
  </si>
  <si>
    <t>Map of concession land</t>
  </si>
  <si>
    <t>Signature page</t>
  </si>
  <si>
    <t>9 (top)</t>
  </si>
  <si>
    <t>9 (middle)</t>
  </si>
  <si>
    <t xml:space="preserve">The Minister of Agriculture, Forestry and Fisheries </t>
  </si>
  <si>
    <t xml:space="preserve">Dr Chan Sarun, The Minister of Agriculture, Forestry and Fisheries </t>
  </si>
  <si>
    <t>90 years</t>
  </si>
  <si>
    <t>3 (top)</t>
  </si>
  <si>
    <t>Art. 2.1</t>
  </si>
  <si>
    <t>Art. 2.2</t>
  </si>
  <si>
    <t>Arts. 1, 3.1</t>
  </si>
  <si>
    <t>2 (top), 3 (middle)</t>
  </si>
  <si>
    <t>Art. 7.5</t>
  </si>
  <si>
    <t>6 (top)</t>
  </si>
  <si>
    <t>The land which contains national and cultural heritage sites, mountains, reservoirs, traditional forests and other natural protected areas shall be excluded from Koh Kong Sugar Industry Company's use and preserved in their natural conditions</t>
  </si>
  <si>
    <t>Art. 1.3</t>
  </si>
  <si>
    <t>2 (bottom)</t>
  </si>
  <si>
    <t>Art. 7.4</t>
  </si>
  <si>
    <t>Koh Kong Sugar Industry Company shall be obliged to pay taxes to the State in accordance with the law in force of the Kingdom of Cambodia</t>
  </si>
  <si>
    <t>Art. 4.5</t>
  </si>
  <si>
    <t>4 (bottom)</t>
  </si>
  <si>
    <t>Machinery equipment, spare parts and chemical materials that are imported for the purpose of business production will incur taxes according to the law of the Kingdom of Cambodia</t>
  </si>
  <si>
    <t>Art. 7.9</t>
  </si>
  <si>
    <t>6 (middle)</t>
  </si>
  <si>
    <t>Art. 7.6</t>
  </si>
  <si>
    <t>Koh Kong Sugar Industry Company has an obligation to allow the Cambodian Ministry of Agriculture, Forestry and Fisheries and relevant institutions to monitor and evaluate its activities regarding environmental impact and subsequently follow their instructions to protect the environment</t>
  </si>
  <si>
    <t>Art. 7.10</t>
  </si>
  <si>
    <t>Art. 8</t>
  </si>
  <si>
    <t>6 (bottom)</t>
  </si>
  <si>
    <t>Koh Kong Sugar Industry Company shall be allowed to carry out all construction activities on the location in accordance with the laws in force of the Kingdom of Cambodia and in harmony with the objectives article 3 (article 3 outlines the production-business goal and location usage schedule). All construction of infrastructure such as dams and canals that may affect the surrounding areas shall be permitted by the Cambodian Ministry of Agriculture, Forestry and Fisheries and relevant institutions.</t>
  </si>
  <si>
    <t>Art. 9</t>
  </si>
  <si>
    <t>7 (top)</t>
  </si>
  <si>
    <t>The arbitration proceedings shall follow the arbitration rules of the United Nations Commission on International Trade Law (UNCITRAL)</t>
  </si>
  <si>
    <t>Art. 11.4</t>
  </si>
  <si>
    <t>7 (bottom)</t>
  </si>
  <si>
    <t>Art. 11</t>
  </si>
  <si>
    <t>In case of disputes during the execution of the agreement, the two parties shall mediate and settle the dispute based on the rights and obligation of each party as set out in the agreement. If the parties cannot mediate or settle the dispute within 60 days, the dispute shall be submitted to the Council for the Development of Cambodia for mediation and reconciliation. If the dispute cannot be settled by the Council for the Development of Cambodia within 60 days, either party shall have the right to refer to the arbitration. Any decision or award given by the arbitrators shall be final, conclusive and binding on the parties.</t>
  </si>
  <si>
    <t>Art. 5</t>
  </si>
  <si>
    <t>Art. 15</t>
  </si>
  <si>
    <t>8 (middle)</t>
  </si>
  <si>
    <t>Art. 16.1</t>
  </si>
  <si>
    <t>8 (bottom)</t>
  </si>
  <si>
    <t>Arts. 4, 7.1</t>
  </si>
  <si>
    <t>4 (middle), 5 (bottom)</t>
  </si>
  <si>
    <t>Arts. 6.3, 7.11</t>
  </si>
  <si>
    <t>5 (middle), 6 (bottom)</t>
  </si>
  <si>
    <t>Koh Kong Sugar Industry Company must use the local labor force. In the event that there is no Khmer expert available, the right to hire foreign experts shall be granted under the law of the Kingdom of Cambodia.</t>
  </si>
  <si>
    <t>Koh Kong Sugar Industry Company shall pay the land fee annually from the fifth year from the signing date (02/08/2006) onwards. The land fee is, per hectare, US$ 1 for the years 5-15, US$ 2 for the years 16-30, US$ 3 for the years 31-50, and US$ 4 for the years 51-90. The fee shall be paid annually to the State budget through the account of the Ministry of Agriculture, Forestry and Fisheries no later than 31 January of each year. A 2% late fee will be charged monthly if there is delay in paying the fee. Koh Kong Sugar Industry Company agrees to pay the fee until the termination of the agreement.</t>
  </si>
  <si>
    <t>All building and infrastructure constructed by Koh Kong Sugar Industry Company shall be under the control of Koh Kong Sugar Industry Company until the termination of the agreement. All machinery, equipment and vehicles used by Koh Kong Sugar Industry Company for the activities specified in the agreement, including boats for storing machinery, freighters and accessories, shall belong to Koh Kong Sugar Industry Company.</t>
  </si>
  <si>
    <t xml:space="preserve">"Force majeure" refers to fire, flood, storm, war, earthquake, civil unrest, insurgency, strike, explosion, epidemic and other events or circumstances beyond the control of the two parties. If Koh Kong Sugar Industry Company is not able to perform its duties in part or in whole pursuant to the terms and conditions of this agreement due to force majeure, it shall notify the Cambodian Ministry of Agriculture, Forestry and Fisheries in writing, specifying the reasons and its obligations shall be temporarily suspended during this period. </t>
  </si>
  <si>
    <t>Koh Kong Sugar Industry Company has the obligation to implement business activities as planned including cultivation and maintenance by following sustainable conditions for natural resources of the location and environmental impact caused by business production</t>
  </si>
  <si>
    <t>Koh Kong Sugar Industry Company is entitled to make a transfer to its successors. Legal successors refer to individuals who have been authorized by the law in force to inherit from Koh Kong Sugar Industry Company, or those individuals recognized by the law to as its affinity. Notification on rights transfer or any decision regarding the handover to the successors shall be given to the Cambodian Ministry of Agriculture, Forestry and Fisheries at least 6 months before the execution. If Koh Kong Sugar Industry Company transfers the agreement, it shall be in accord with the investment law of the Kingdom of Cambodia and have obtained the approval of the Council for the Development of Cambodia at the request of the Cambodian Ministry of Agriculture, Forestry and Fisheries.</t>
  </si>
  <si>
    <t>The Cambodian Ministry of Agriculture, Forestry and Fisheries has the right to monitor the implementation of the agreement, and the technical work and business production program of Koh Kong Sugar Industry Company.  Koh Kong Sugar Industry Company has an obligation to report to the Cambodian Ministry of Agriculture, Forestry and Fisheries the achievement of the implementation of the investment works in semi-annual and annual periods.</t>
  </si>
  <si>
    <t xml:space="preserve">The land that is legally owned by local residents is not available for Koh Kong Sugar Industry Company unless a mutual agreement is reached. In the event of an illegal violation of the ownership of this land, Koh Kong Sugar Industry Company reserves the right to file a lawsuit with the competent institution. </t>
  </si>
  <si>
    <t>Art. 1.2</t>
  </si>
  <si>
    <t>7 (top), 5 (middle)</t>
  </si>
  <si>
    <t>Arts. 10, 6.2</t>
  </si>
  <si>
    <t>If Koh Kong Sugar Industry Company faces a situation beyond its control, it has the right to withdraw from the whole project or part of the project, provided it has received approval for the withdrawal from the Cambodian Ministry of Agriculture, Forestry and Fisheries. If Koh Kong Sugar Industry Company withdraws without approval, it shall be held responsible according to the Investment Law of the Kingdom of Cambodia. If Koh Kong Sugar Industry Company fails to use its best effort to implement the activities set out in the agreement within 1 year starting from the completion of the survey specified in article 1.4, the Cambodian Ministry of Agriculture, Forestry and Fisheries shall have the right to terminate the agreement unconditionally and without compensation for damages. The deposit paid by Koh Kong Sugar Industry Company will also become State property. If the Cambodian Ministry of Agriculture, Forestry and Fisheries is not able to perform its duties in relation to providing interventions to address any problems involving those who commit offense and violate the rights of Koh Kong Sugar Industry Company and resolving conflict pursuant to article 6, Koh Kong Sugar Industry Company shall have the right to terminate the agreement. If the agreement is terminated, Koh Kong Sugar Industry Company has the right to harvest the principle crops product (sugar cane) of the last season.C65</t>
  </si>
  <si>
    <t>Art. 6.2</t>
  </si>
  <si>
    <t>5 (middle)</t>
  </si>
  <si>
    <t>Koh Kong Sugar Industry Company has an obligation to focus on the livelihood, health and education of its employees, workers and their families by building suitable houses, hospital, temple, school and recreation center</t>
  </si>
  <si>
    <t>Also in Khmer</t>
  </si>
  <si>
    <t>Sre Ambel, Koh Kong Province. Exact coordinates are listed at Art. 1.</t>
  </si>
  <si>
    <t>Chamroon Chinthammit, Koh Kong Sugar Industry Company Limited</t>
  </si>
  <si>
    <t>Koh Kong Sugar Industry Company may ask to renew the agreement 1 year prior to its expiration. The renewal can only be made once an approval has been obtained from the Government, at the request of the Ministry for Agriculture, Forestry and Fisheries and according to the mutual agreement from Koh Kong Sugar Industry Company on the terms and conditions of the new contract.</t>
  </si>
  <si>
    <t>Sugar cane</t>
  </si>
  <si>
    <t>9,700 hectares</t>
  </si>
  <si>
    <t>If during the implementation of the investment project on the land concession any land conflict between Koh Kong Sugar Industry Company and local residents/people arises, competent authorities have the right to suspend the conflict land concession area for solving the problems and protecting the interests of people. For any conflict that occurs between the military and local residents/people, the resolution shall be considered fairly.</t>
  </si>
  <si>
    <t>Before clearing the land for the development activities, Koh Kong Sugar Industry Company shall obtain approval from the Ministry of Agriculture, Forestry and Fisheries for the logging, processing or transporting of trees found on the lands and pay royalties and premiums to the Ministry in accordance with the principles and Forestry Law in force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</si>
</sst>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22" x14ac:knownFonts="1">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family val="2"/>
      <scheme val="minor"/>
    </font>
    <font>
      <sz val="12"/>
      <name val="Calibri"/>
      <family val="2"/>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family val="2"/>
      <scheme val="minor"/>
    </font>
    <font>
      <b/>
      <sz val="18"/>
      <color theme="1"/>
      <name val="Calibri"/>
      <family val="2"/>
      <scheme val="minor"/>
    </font>
    <font>
      <b/>
      <sz val="22"/>
      <color theme="1"/>
      <name val="Calibri"/>
      <family val="2"/>
      <scheme val="minor"/>
    </font>
    <font>
      <sz val="20"/>
      <color theme="1"/>
      <name val="Calibri"/>
      <family val="2"/>
      <scheme val="minor"/>
    </font>
    <font>
      <b/>
      <sz val="12"/>
      <color rgb="FFFF0000"/>
      <name val="Calibri"/>
      <family val="2"/>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family val="2"/>
      <scheme val="minor"/>
    </font>
    <font>
      <sz val="12"/>
      <name val="Calibri (Body)"/>
    </font>
    <font>
      <b/>
      <sz val="11"/>
      <name val="Calibri (Body)"/>
    </font>
    <font>
      <b/>
      <sz val="12"/>
      <color theme="1"/>
      <name val="Calibri"/>
      <family val="2"/>
      <scheme val="minor"/>
    </font>
  </fonts>
  <fills count="14">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s>
  <borders count="13">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s>
  <cellStyleXfs count="283">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33">
    <xf numFmtId="0" fontId="0" fillId="0" borderId="0" xfId="0"/>
    <xf numFmtId="0" fontId="0" fillId="0" borderId="0" xfId="0" applyAlignment="1">
      <alignment wrapText="1"/>
    </xf>
    <xf numFmtId="49" fontId="2" fillId="0" borderId="0" xfId="0" applyNumberFormat="1" applyFont="1"/>
    <xf numFmtId="49" fontId="2" fillId="0" borderId="0" xfId="0" applyNumberFormat="1" applyFont="1" applyAlignment="1">
      <alignment wrapText="1"/>
    </xf>
    <xf numFmtId="0" fontId="0" fillId="2" borderId="3" xfId="0" applyFill="1" applyBorder="1"/>
    <xf numFmtId="49" fontId="2" fillId="0" borderId="4" xfId="0" applyNumberFormat="1" applyFont="1" applyBorder="1" applyAlignment="1">
      <alignment wrapText="1"/>
    </xf>
    <xf numFmtId="0" fontId="4" fillId="3" borderId="5" xfId="0" applyFont="1" applyFill="1" applyBorder="1" applyAlignment="1">
      <alignment horizontal="left" wrapText="1"/>
    </xf>
    <xf numFmtId="0" fontId="4" fillId="3" borderId="6" xfId="0" applyFont="1" applyFill="1" applyBorder="1" applyAlignment="1">
      <alignment horizontal="left" wrapText="1"/>
    </xf>
    <xf numFmtId="0" fontId="4" fillId="3" borderId="7" xfId="0" applyFont="1" applyFill="1" applyBorder="1" applyAlignment="1">
      <alignment horizontal="left" wrapText="1"/>
    </xf>
    <xf numFmtId="0" fontId="0" fillId="2" borderId="8" xfId="0" applyFill="1" applyBorder="1" applyAlignment="1"/>
    <xf numFmtId="0" fontId="5" fillId="2" borderId="9" xfId="0" applyFont="1" applyFill="1" applyBorder="1" applyAlignment="1">
      <alignment wrapText="1"/>
    </xf>
    <xf numFmtId="0" fontId="5" fillId="2" borderId="5" xfId="0" applyFont="1" applyFill="1" applyBorder="1"/>
    <xf numFmtId="0" fontId="5" fillId="2" borderId="7" xfId="0" applyFont="1" applyFill="1" applyBorder="1"/>
    <xf numFmtId="0" fontId="5" fillId="2" borderId="8" xfId="0" applyFont="1" applyFill="1" applyBorder="1" applyAlignment="1">
      <alignment wrapText="1"/>
    </xf>
    <xf numFmtId="0" fontId="2" fillId="2" borderId="0" xfId="0" applyFont="1" applyFill="1" applyAlignment="1">
      <alignment wrapText="1"/>
    </xf>
    <xf numFmtId="0" fontId="2" fillId="2" borderId="0" xfId="0" applyFont="1" applyFill="1"/>
    <xf numFmtId="0" fontId="2" fillId="2" borderId="3" xfId="0" applyFont="1" applyFill="1" applyBorder="1"/>
    <xf numFmtId="0" fontId="2" fillId="2" borderId="4" xfId="0" applyFont="1" applyFill="1" applyBorder="1" applyAlignment="1">
      <alignment wrapText="1"/>
    </xf>
    <xf numFmtId="0" fontId="2" fillId="3" borderId="6" xfId="0" applyFont="1" applyFill="1" applyBorder="1" applyAlignment="1">
      <alignment horizontal="left" wrapText="1"/>
    </xf>
    <xf numFmtId="0" fontId="2" fillId="3" borderId="7" xfId="0" applyFont="1" applyFill="1" applyBorder="1" applyAlignment="1">
      <alignment horizontal="left" wrapText="1"/>
    </xf>
    <xf numFmtId="0" fontId="2" fillId="3" borderId="10" xfId="0" applyFont="1" applyFill="1" applyBorder="1" applyAlignment="1">
      <alignment horizontal="left" wrapText="1"/>
    </xf>
    <xf numFmtId="0" fontId="2" fillId="3" borderId="5" xfId="0" applyFont="1" applyFill="1" applyBorder="1" applyAlignment="1">
      <alignment horizontal="left" wrapText="1"/>
    </xf>
    <xf numFmtId="0" fontId="5" fillId="2" borderId="5" xfId="0" applyFont="1" applyFill="1" applyBorder="1" applyAlignment="1">
      <alignment wrapText="1"/>
    </xf>
    <xf numFmtId="0" fontId="5" fillId="2" borderId="7" xfId="0" applyFont="1" applyFill="1" applyBorder="1" applyAlignment="1">
      <alignment wrapText="1"/>
    </xf>
    <xf numFmtId="0" fontId="2" fillId="2" borderId="9" xfId="0" applyFont="1" applyFill="1" applyBorder="1" applyAlignment="1"/>
    <xf numFmtId="0" fontId="2" fillId="2" borderId="8" xfId="0" applyFont="1" applyFill="1" applyBorder="1" applyAlignment="1"/>
    <xf numFmtId="0" fontId="2" fillId="3" borderId="9" xfId="0" applyFont="1" applyFill="1" applyBorder="1" applyAlignment="1">
      <alignment horizontal="left" wrapText="1"/>
    </xf>
    <xf numFmtId="0" fontId="5" fillId="2" borderId="9" xfId="0" applyFont="1" applyFill="1" applyBorder="1" applyAlignment="1">
      <alignment horizontal="left" wrapText="1"/>
    </xf>
    <xf numFmtId="0" fontId="5" fillId="2" borderId="9"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wrapText="1"/>
    </xf>
    <xf numFmtId="0" fontId="5" fillId="2" borderId="8" xfId="0" applyFont="1" applyFill="1" applyBorder="1"/>
    <xf numFmtId="0" fontId="5" fillId="2" borderId="0" xfId="0" applyFont="1" applyFill="1" applyAlignment="1">
      <alignment wrapText="1"/>
    </xf>
    <xf numFmtId="0" fontId="4" fillId="2" borderId="9" xfId="0" applyFont="1" applyFill="1" applyBorder="1" applyAlignment="1">
      <alignment wrapText="1"/>
    </xf>
    <xf numFmtId="0" fontId="2" fillId="2" borderId="8" xfId="0" applyFont="1" applyFill="1" applyBorder="1"/>
    <xf numFmtId="0" fontId="5" fillId="2" borderId="9" xfId="0" applyFont="1" applyFill="1" applyBorder="1" applyAlignment="1"/>
    <xf numFmtId="0" fontId="2" fillId="2" borderId="5" xfId="0" applyFont="1" applyFill="1" applyBorder="1" applyAlignment="1">
      <alignment horizontal="left" wrapText="1"/>
    </xf>
    <xf numFmtId="0" fontId="2" fillId="2" borderId="9" xfId="0" applyFont="1" applyFill="1" applyBorder="1" applyAlignment="1">
      <alignment wrapText="1"/>
    </xf>
    <xf numFmtId="0" fontId="5" fillId="2" borderId="0" xfId="0" applyFont="1" applyFill="1" applyAlignment="1"/>
    <xf numFmtId="0" fontId="4" fillId="2" borderId="5" xfId="0" applyFont="1" applyFill="1" applyBorder="1" applyAlignment="1">
      <alignment horizontal="left" wrapText="1"/>
    </xf>
    <xf numFmtId="0" fontId="5" fillId="2" borderId="0" xfId="0" applyFont="1" applyFill="1"/>
    <xf numFmtId="0" fontId="5" fillId="2" borderId="3" xfId="0" applyFont="1" applyFill="1" applyBorder="1"/>
    <xf numFmtId="0" fontId="5" fillId="2" borderId="4" xfId="0" applyFont="1" applyFill="1" applyBorder="1" applyAlignment="1">
      <alignment wrapText="1"/>
    </xf>
    <xf numFmtId="0" fontId="7" fillId="2" borderId="0" xfId="0" applyFont="1" applyFill="1" applyAlignment="1"/>
    <xf numFmtId="0" fontId="2" fillId="3" borderId="11" xfId="0" applyFont="1" applyFill="1" applyBorder="1" applyAlignment="1">
      <alignment horizontal="left" wrapText="1"/>
    </xf>
    <xf numFmtId="0" fontId="2" fillId="3" borderId="8" xfId="0" applyFont="1" applyFill="1" applyBorder="1" applyAlignment="1">
      <alignment horizontal="left" wrapText="1"/>
    </xf>
    <xf numFmtId="0" fontId="0" fillId="0" borderId="3" xfId="0" applyBorder="1"/>
    <xf numFmtId="0" fontId="0" fillId="0" borderId="4" xfId="0" applyBorder="1"/>
    <xf numFmtId="0" fontId="3" fillId="0" borderId="0" xfId="0" applyFont="1"/>
    <xf numFmtId="0" fontId="0" fillId="0" borderId="0" xfId="0" applyFont="1"/>
    <xf numFmtId="0" fontId="5" fillId="2" borderId="4" xfId="0" applyNumberFormat="1" applyFont="1" applyFill="1" applyBorder="1" applyAlignment="1">
      <alignment wrapText="1"/>
    </xf>
    <xf numFmtId="0" fontId="5" fillId="2" borderId="3" xfId="0" applyFont="1" applyFill="1" applyBorder="1" applyAlignment="1">
      <alignment horizontal="left"/>
    </xf>
    <xf numFmtId="0" fontId="5" fillId="2" borderId="4" xfId="0" applyNumberFormat="1" applyFont="1" applyFill="1" applyBorder="1" applyAlignment="1">
      <alignment horizontal="left" wrapText="1"/>
    </xf>
    <xf numFmtId="0" fontId="5" fillId="2" borderId="0" xfId="0" applyFont="1" applyFill="1" applyBorder="1" applyAlignment="1">
      <alignment horizontal="left"/>
    </xf>
    <xf numFmtId="0" fontId="5" fillId="2" borderId="5" xfId="0" applyFont="1" applyFill="1" applyBorder="1" applyAlignment="1">
      <alignment horizontal="left" wrapText="1"/>
    </xf>
    <xf numFmtId="0" fontId="5" fillId="2" borderId="0" xfId="0" applyFont="1" applyFill="1" applyBorder="1" applyAlignment="1">
      <alignment wrapText="1"/>
    </xf>
    <xf numFmtId="0" fontId="10" fillId="0" borderId="9" xfId="0" applyFont="1" applyFill="1" applyBorder="1" applyAlignment="1">
      <alignment wrapText="1"/>
    </xf>
    <xf numFmtId="0" fontId="10" fillId="0" borderId="5" xfId="0" applyFont="1" applyFill="1" applyBorder="1" applyAlignment="1">
      <alignment wrapText="1"/>
    </xf>
    <xf numFmtId="0" fontId="10" fillId="0" borderId="3" xfId="0" applyFont="1" applyFill="1" applyBorder="1" applyAlignment="1">
      <alignment wrapText="1"/>
    </xf>
    <xf numFmtId="0" fontId="10" fillId="0" borderId="4" xfId="0" applyNumberFormat="1" applyFont="1" applyFill="1" applyBorder="1" applyAlignment="1">
      <alignment wrapText="1"/>
    </xf>
    <xf numFmtId="0" fontId="5"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5" fillId="2" borderId="6" xfId="0" applyFont="1" applyFill="1" applyBorder="1" applyAlignment="1">
      <alignment horizontal="left" wrapText="1"/>
    </xf>
    <xf numFmtId="0" fontId="5" fillId="2" borderId="6" xfId="0" applyFont="1" applyFill="1" applyBorder="1" applyAlignment="1">
      <alignment wrapText="1"/>
    </xf>
    <xf numFmtId="0" fontId="5" fillId="2" borderId="3" xfId="0" applyFont="1" applyFill="1" applyBorder="1" applyAlignment="1">
      <alignment horizontal="left" wrapText="1"/>
    </xf>
    <xf numFmtId="0" fontId="2" fillId="4" borderId="9" xfId="0" applyFont="1" applyFill="1" applyBorder="1" applyAlignment="1">
      <alignment wrapText="1"/>
    </xf>
    <xf numFmtId="0" fontId="2" fillId="4" borderId="5" xfId="0" applyFont="1" applyFill="1" applyBorder="1"/>
    <xf numFmtId="0" fontId="2" fillId="4" borderId="7" xfId="0" applyFont="1" applyFill="1" applyBorder="1"/>
    <xf numFmtId="0" fontId="2" fillId="4" borderId="8" xfId="0" applyFont="1" applyFill="1" applyBorder="1" applyAlignment="1">
      <alignment wrapText="1"/>
    </xf>
    <xf numFmtId="0" fontId="0" fillId="4" borderId="9" xfId="0" applyFont="1" applyFill="1" applyBorder="1" applyAlignment="1">
      <alignment wrapText="1"/>
    </xf>
    <xf numFmtId="0" fontId="6" fillId="4" borderId="9" xfId="0" applyFont="1" applyFill="1" applyBorder="1" applyAlignment="1">
      <alignment wrapText="1"/>
    </xf>
    <xf numFmtId="0" fontId="2" fillId="4" borderId="5" xfId="0" applyFont="1" applyFill="1" applyBorder="1" applyAlignment="1">
      <alignment wrapText="1"/>
    </xf>
    <xf numFmtId="0" fontId="2" fillId="4" borderId="7" xfId="0" applyFont="1" applyFill="1" applyBorder="1" applyAlignment="1">
      <alignment wrapText="1"/>
    </xf>
    <xf numFmtId="0" fontId="2" fillId="4" borderId="9" xfId="0" applyFont="1" applyFill="1" applyBorder="1" applyAlignment="1"/>
    <xf numFmtId="0" fontId="7" fillId="4" borderId="9" xfId="0" applyFont="1" applyFill="1" applyBorder="1" applyAlignment="1">
      <alignment wrapText="1"/>
    </xf>
    <xf numFmtId="0" fontId="7" fillId="4" borderId="5" xfId="0" applyFont="1" applyFill="1" applyBorder="1" applyAlignment="1">
      <alignment wrapText="1"/>
    </xf>
    <xf numFmtId="0" fontId="7" fillId="4" borderId="7" xfId="0" applyFont="1" applyFill="1" applyBorder="1" applyAlignment="1">
      <alignment wrapText="1"/>
    </xf>
    <xf numFmtId="0" fontId="7" fillId="4" borderId="8" xfId="0" applyFont="1" applyFill="1" applyBorder="1" applyAlignment="1">
      <alignment wrapText="1"/>
    </xf>
    <xf numFmtId="0" fontId="7" fillId="4" borderId="3" xfId="0" applyFont="1" applyFill="1" applyBorder="1" applyAlignment="1">
      <alignment wrapText="1"/>
    </xf>
    <xf numFmtId="0" fontId="7" fillId="4" borderId="4" xfId="0" applyNumberFormat="1" applyFont="1" applyFill="1" applyBorder="1" applyAlignment="1">
      <alignment wrapText="1"/>
    </xf>
    <xf numFmtId="0" fontId="7" fillId="4" borderId="0" xfId="0" applyFont="1" applyFill="1" applyBorder="1" applyAlignment="1">
      <alignment wrapText="1"/>
    </xf>
    <xf numFmtId="0" fontId="4" fillId="5" borderId="9" xfId="0" applyFont="1" applyFill="1" applyBorder="1" applyAlignment="1">
      <alignment horizontal="left" wrapText="1"/>
    </xf>
    <xf numFmtId="0" fontId="4" fillId="4" borderId="9" xfId="0" applyFont="1" applyFill="1" applyBorder="1" applyAlignment="1">
      <alignment horizontal="left"/>
    </xf>
    <xf numFmtId="0" fontId="4" fillId="4" borderId="9" xfId="0" applyFont="1" applyFill="1" applyBorder="1" applyAlignment="1">
      <alignment horizontal="left" wrapText="1"/>
    </xf>
    <xf numFmtId="0" fontId="2" fillId="4" borderId="5" xfId="0" applyFont="1" applyFill="1" applyBorder="1" applyAlignment="1">
      <alignment horizontal="left"/>
    </xf>
    <xf numFmtId="0" fontId="2" fillId="4" borderId="7" xfId="0" applyFont="1" applyFill="1" applyBorder="1" applyAlignment="1">
      <alignment horizontal="left"/>
    </xf>
    <xf numFmtId="0" fontId="2" fillId="4" borderId="8" xfId="0" applyFont="1" applyFill="1" applyBorder="1" applyAlignment="1">
      <alignment horizontal="left" wrapText="1"/>
    </xf>
    <xf numFmtId="0" fontId="7" fillId="4" borderId="9" xfId="0" applyFont="1" applyFill="1" applyBorder="1" applyAlignment="1">
      <alignment horizontal="left" wrapText="1"/>
    </xf>
    <xf numFmtId="0" fontId="7" fillId="4" borderId="5" xfId="0" applyFont="1" applyFill="1" applyBorder="1" applyAlignment="1">
      <alignment horizontal="left"/>
    </xf>
    <xf numFmtId="0" fontId="7" fillId="4" borderId="7" xfId="0" applyFont="1" applyFill="1" applyBorder="1" applyAlignment="1">
      <alignment horizontal="left"/>
    </xf>
    <xf numFmtId="0" fontId="7" fillId="4" borderId="8" xfId="0" applyFont="1" applyFill="1" applyBorder="1" applyAlignment="1">
      <alignment horizontal="left" wrapText="1"/>
    </xf>
    <xf numFmtId="0" fontId="4" fillId="4" borderId="9" xfId="0" applyFont="1" applyFill="1" applyBorder="1" applyAlignment="1">
      <alignment wrapText="1"/>
    </xf>
    <xf numFmtId="0" fontId="7" fillId="4" borderId="0" xfId="0" applyFont="1" applyFill="1" applyBorder="1" applyAlignment="1">
      <alignment horizontal="left" wrapText="1"/>
    </xf>
    <xf numFmtId="0" fontId="7" fillId="4" borderId="5" xfId="0" applyFont="1" applyFill="1" applyBorder="1" applyAlignment="1">
      <alignment horizontal="left" wrapText="1"/>
    </xf>
    <xf numFmtId="0" fontId="7" fillId="4" borderId="0" xfId="0" applyFont="1" applyFill="1" applyBorder="1" applyAlignment="1">
      <alignment horizontal="left"/>
    </xf>
    <xf numFmtId="0" fontId="7" fillId="4" borderId="3" xfId="0" applyFont="1" applyFill="1" applyBorder="1" applyAlignment="1">
      <alignment horizontal="left"/>
    </xf>
    <xf numFmtId="0" fontId="7" fillId="4" borderId="4" xfId="0" applyNumberFormat="1" applyFont="1" applyFill="1" applyBorder="1" applyAlignment="1">
      <alignment horizontal="left" wrapText="1"/>
    </xf>
    <xf numFmtId="0" fontId="4" fillId="4" borderId="9" xfId="0" applyFont="1" applyFill="1" applyBorder="1" applyAlignment="1"/>
    <xf numFmtId="0" fontId="7" fillId="4" borderId="9" xfId="0" applyFont="1" applyFill="1" applyBorder="1" applyAlignment="1"/>
    <xf numFmtId="0" fontId="5" fillId="4" borderId="0" xfId="0" applyFont="1" applyFill="1"/>
    <xf numFmtId="0" fontId="5" fillId="4" borderId="3" xfId="0" applyFont="1" applyFill="1" applyBorder="1"/>
    <xf numFmtId="0" fontId="5" fillId="4" borderId="4" xfId="0" applyNumberFormat="1" applyFont="1" applyFill="1" applyBorder="1" applyAlignment="1">
      <alignment wrapText="1"/>
    </xf>
    <xf numFmtId="0" fontId="4" fillId="6" borderId="9" xfId="0" applyFont="1" applyFill="1" applyBorder="1" applyAlignment="1">
      <alignment horizontal="left" wrapText="1"/>
    </xf>
    <xf numFmtId="0" fontId="7" fillId="2" borderId="9" xfId="0" applyFont="1" applyFill="1" applyBorder="1" applyAlignment="1">
      <alignment wrapText="1"/>
    </xf>
    <xf numFmtId="0" fontId="7" fillId="7" borderId="9" xfId="0" applyFont="1" applyFill="1" applyBorder="1" applyAlignment="1">
      <alignment horizontal="left" wrapText="1"/>
    </xf>
    <xf numFmtId="0" fontId="7" fillId="7" borderId="5" xfId="0" applyFont="1" applyFill="1" applyBorder="1" applyAlignment="1">
      <alignment horizontal="left"/>
    </xf>
    <xf numFmtId="0" fontId="7" fillId="7" borderId="7" xfId="0" applyFont="1" applyFill="1" applyBorder="1" applyAlignment="1">
      <alignment horizontal="left"/>
    </xf>
    <xf numFmtId="0" fontId="7" fillId="7" borderId="8" xfId="0" applyFont="1" applyFill="1" applyBorder="1" applyAlignment="1">
      <alignment horizontal="left" wrapText="1"/>
    </xf>
    <xf numFmtId="0" fontId="5" fillId="2" borderId="3" xfId="0" applyFont="1" applyFill="1" applyBorder="1" applyAlignment="1">
      <alignment wrapText="1"/>
    </xf>
    <xf numFmtId="0" fontId="0" fillId="4" borderId="9" xfId="0" applyFill="1" applyBorder="1" applyAlignment="1">
      <alignment wrapText="1"/>
    </xf>
    <xf numFmtId="0" fontId="7" fillId="8" borderId="9" xfId="0" applyFont="1" applyFill="1" applyBorder="1" applyAlignment="1">
      <alignment wrapText="1"/>
    </xf>
    <xf numFmtId="0" fontId="7" fillId="8" borderId="0" xfId="0" applyFont="1" applyFill="1" applyAlignment="1"/>
    <xf numFmtId="0" fontId="7" fillId="8" borderId="0" xfId="0" applyFont="1" applyFill="1" applyAlignment="1">
      <alignment wrapText="1"/>
    </xf>
    <xf numFmtId="0" fontId="7" fillId="8" borderId="5" xfId="0" applyFont="1" applyFill="1" applyBorder="1"/>
    <xf numFmtId="0" fontId="7" fillId="8" borderId="7" xfId="0" applyFont="1" applyFill="1" applyBorder="1"/>
    <xf numFmtId="0" fontId="7" fillId="8" borderId="8" xfId="0" applyFont="1" applyFill="1" applyBorder="1" applyAlignment="1">
      <alignment wrapText="1"/>
    </xf>
    <xf numFmtId="0" fontId="15" fillId="2" borderId="0" xfId="0" applyFont="1" applyFill="1" applyBorder="1" applyAlignment="1">
      <alignment horizontal="left" wrapText="1"/>
    </xf>
    <xf numFmtId="0" fontId="15" fillId="2" borderId="0" xfId="0" applyFont="1" applyFill="1" applyBorder="1" applyAlignment="1">
      <alignment wrapText="1"/>
    </xf>
    <xf numFmtId="0" fontId="15" fillId="2" borderId="0" xfId="0" applyFont="1" applyFill="1" applyBorder="1" applyAlignment="1">
      <alignment horizontal="left"/>
    </xf>
    <xf numFmtId="0" fontId="15" fillId="2" borderId="3" xfId="0" applyFont="1" applyFill="1" applyBorder="1" applyAlignment="1">
      <alignment horizontal="left"/>
    </xf>
    <xf numFmtId="0" fontId="15" fillId="2" borderId="4" xfId="0" applyNumberFormat="1" applyFont="1" applyFill="1" applyBorder="1" applyAlignment="1">
      <alignment horizontal="left" wrapText="1"/>
    </xf>
    <xf numFmtId="0" fontId="15" fillId="9" borderId="9" xfId="0" applyFont="1" applyFill="1" applyBorder="1" applyAlignment="1">
      <alignment horizontal="left" wrapText="1"/>
    </xf>
    <xf numFmtId="0" fontId="15" fillId="2" borderId="9" xfId="0" applyFont="1" applyFill="1" applyBorder="1" applyAlignment="1">
      <alignment wrapText="1"/>
    </xf>
    <xf numFmtId="0" fontId="15" fillId="2" borderId="5" xfId="0" applyFont="1" applyFill="1" applyBorder="1" applyAlignment="1">
      <alignment wrapText="1"/>
    </xf>
    <xf numFmtId="0" fontId="15" fillId="2" borderId="3" xfId="0" applyFont="1" applyFill="1" applyBorder="1" applyAlignment="1">
      <alignment wrapText="1"/>
    </xf>
    <xf numFmtId="0" fontId="15" fillId="2" borderId="4" xfId="0" applyNumberFormat="1" applyFont="1" applyFill="1" applyBorder="1" applyAlignment="1">
      <alignment wrapText="1"/>
    </xf>
    <xf numFmtId="0" fontId="15" fillId="2" borderId="9" xfId="0" applyFont="1" applyFill="1" applyBorder="1" applyAlignment="1">
      <alignment horizontal="left" wrapText="1"/>
    </xf>
    <xf numFmtId="0" fontId="15" fillId="2" borderId="5" xfId="0" applyFont="1" applyFill="1" applyBorder="1" applyAlignment="1">
      <alignment horizontal="left"/>
    </xf>
    <xf numFmtId="0" fontId="15" fillId="2" borderId="7" xfId="0" applyFont="1" applyFill="1" applyBorder="1" applyAlignment="1">
      <alignment horizontal="left"/>
    </xf>
    <xf numFmtId="0" fontId="15" fillId="2" borderId="8" xfId="0" applyFont="1" applyFill="1" applyBorder="1" applyAlignment="1">
      <alignment horizontal="left" wrapText="1"/>
    </xf>
    <xf numFmtId="0" fontId="7" fillId="10" borderId="9" xfId="0" applyFont="1" applyFill="1" applyBorder="1" applyAlignment="1">
      <alignment wrapText="1"/>
    </xf>
    <xf numFmtId="0" fontId="7" fillId="10" borderId="5" xfId="0" applyFont="1" applyFill="1" applyBorder="1" applyAlignment="1">
      <alignment wrapText="1"/>
    </xf>
    <xf numFmtId="0" fontId="7" fillId="10" borderId="3" xfId="0" applyFont="1" applyFill="1" applyBorder="1" applyAlignment="1">
      <alignment wrapText="1"/>
    </xf>
    <xf numFmtId="0" fontId="7" fillId="10" borderId="4" xfId="0" applyNumberFormat="1" applyFont="1" applyFill="1" applyBorder="1" applyAlignment="1">
      <alignment wrapText="1"/>
    </xf>
    <xf numFmtId="0" fontId="7" fillId="10" borderId="0" xfId="0" applyFont="1" applyFill="1" applyBorder="1" applyAlignment="1">
      <alignment wrapText="1"/>
    </xf>
    <xf numFmtId="0" fontId="7" fillId="10" borderId="0" xfId="0" applyFont="1" applyFill="1" applyBorder="1" applyAlignment="1">
      <alignment horizontal="left" wrapText="1"/>
    </xf>
    <xf numFmtId="0" fontId="7" fillId="10" borderId="5" xfId="0" applyFont="1" applyFill="1" applyBorder="1" applyAlignment="1">
      <alignment horizontal="left" wrapText="1"/>
    </xf>
    <xf numFmtId="0" fontId="7" fillId="10" borderId="0" xfId="0" applyFont="1" applyFill="1" applyBorder="1" applyAlignment="1">
      <alignment horizontal="left"/>
    </xf>
    <xf numFmtId="0" fontId="7" fillId="10" borderId="3" xfId="0" applyFont="1" applyFill="1" applyBorder="1" applyAlignment="1">
      <alignment horizontal="left"/>
    </xf>
    <xf numFmtId="0" fontId="7" fillId="10" borderId="4" xfId="0" applyNumberFormat="1" applyFont="1" applyFill="1" applyBorder="1" applyAlignment="1">
      <alignment horizontal="left" wrapText="1"/>
    </xf>
    <xf numFmtId="0" fontId="15" fillId="2" borderId="5" xfId="0" applyFont="1" applyFill="1" applyBorder="1"/>
    <xf numFmtId="0" fontId="15" fillId="2" borderId="7" xfId="0" applyFont="1" applyFill="1" applyBorder="1"/>
    <xf numFmtId="0" fontId="15" fillId="2" borderId="8" xfId="0" applyFont="1" applyFill="1" applyBorder="1" applyAlignment="1">
      <alignment wrapText="1"/>
    </xf>
    <xf numFmtId="0" fontId="7" fillId="11" borderId="9" xfId="0" applyFont="1" applyFill="1" applyBorder="1" applyAlignment="1">
      <alignment horizontal="left" wrapText="1"/>
    </xf>
    <xf numFmtId="0" fontId="7" fillId="12" borderId="0" xfId="0" applyFont="1" applyFill="1" applyBorder="1" applyAlignment="1">
      <alignment wrapText="1"/>
    </xf>
    <xf numFmtId="0" fontId="7" fillId="12" borderId="9" xfId="0" applyFont="1" applyFill="1" applyBorder="1" applyAlignment="1">
      <alignment wrapText="1"/>
    </xf>
    <xf numFmtId="0" fontId="7" fillId="12" borderId="5" xfId="0" applyFont="1" applyFill="1" applyBorder="1" applyAlignment="1">
      <alignment wrapText="1"/>
    </xf>
    <xf numFmtId="0" fontId="7" fillId="12" borderId="3" xfId="0" applyFont="1" applyFill="1" applyBorder="1" applyAlignment="1">
      <alignment wrapText="1"/>
    </xf>
    <xf numFmtId="0" fontId="7"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4" fillId="3" borderId="6" xfId="0" applyFont="1" applyFill="1" applyBorder="1" applyAlignment="1">
      <alignment horizontal="left" wrapText="1"/>
    </xf>
    <xf numFmtId="0" fontId="1" fillId="4" borderId="9" xfId="0" applyFont="1" applyFill="1" applyBorder="1" applyAlignment="1">
      <alignment wrapText="1"/>
    </xf>
    <xf numFmtId="0" fontId="1" fillId="2" borderId="0" xfId="0" applyFont="1" applyFill="1" applyAlignment="1">
      <alignment wrapText="1"/>
    </xf>
    <xf numFmtId="0" fontId="1" fillId="3" borderId="6" xfId="0" applyFont="1" applyFill="1" applyBorder="1" applyAlignment="1">
      <alignment horizontal="left" wrapText="1"/>
    </xf>
    <xf numFmtId="0" fontId="17" fillId="4" borderId="9" xfId="0" applyFont="1" applyFill="1" applyBorder="1" applyAlignment="1">
      <alignment wrapText="1"/>
    </xf>
    <xf numFmtId="0" fontId="1" fillId="4" borderId="9" xfId="0" applyFont="1" applyFill="1" applyBorder="1" applyAlignment="1">
      <alignment horizontal="left" wrapText="1"/>
    </xf>
    <xf numFmtId="0" fontId="7" fillId="4" borderId="0" xfId="0" applyFont="1" applyFill="1" applyAlignment="1">
      <alignment wrapText="1"/>
    </xf>
    <xf numFmtId="0" fontId="1" fillId="3" borderId="5" xfId="0" applyFont="1" applyFill="1" applyBorder="1" applyAlignment="1">
      <alignment horizontal="left" wrapText="1"/>
    </xf>
    <xf numFmtId="0" fontId="4" fillId="3" borderId="6" xfId="0" applyFont="1" applyFill="1" applyBorder="1" applyAlignment="1">
      <alignment horizontal="left" vertical="top" wrapText="1"/>
    </xf>
    <xf numFmtId="0" fontId="0" fillId="4" borderId="9" xfId="0" applyFont="1" applyFill="1" applyBorder="1" applyAlignment="1">
      <alignment vertical="top" wrapText="1"/>
    </xf>
    <xf numFmtId="0" fontId="5" fillId="2" borderId="9" xfId="0" applyFont="1" applyFill="1" applyBorder="1" applyAlignment="1">
      <alignment vertical="top" wrapText="1"/>
    </xf>
    <xf numFmtId="0" fontId="2" fillId="4" borderId="9" xfId="0" applyFont="1" applyFill="1" applyBorder="1" applyAlignment="1">
      <alignment vertical="top" wrapText="1"/>
    </xf>
    <xf numFmtId="0" fontId="2" fillId="2" borderId="0" xfId="0" applyFont="1" applyFill="1" applyAlignment="1">
      <alignment vertical="top" wrapText="1"/>
    </xf>
    <xf numFmtId="0" fontId="2" fillId="3" borderId="6" xfId="0" applyFont="1" applyFill="1" applyBorder="1" applyAlignment="1">
      <alignment horizontal="left" vertical="top" wrapText="1"/>
    </xf>
    <xf numFmtId="0" fontId="10" fillId="0" borderId="9" xfId="0" applyFont="1" applyFill="1" applyBorder="1" applyAlignment="1">
      <alignment vertical="top" wrapText="1"/>
    </xf>
    <xf numFmtId="0" fontId="15" fillId="2" borderId="0" xfId="0" applyFont="1" applyFill="1" applyBorder="1" applyAlignment="1">
      <alignment vertical="top" wrapText="1"/>
    </xf>
    <xf numFmtId="0" fontId="7" fillId="4" borderId="9" xfId="0" applyFont="1" applyFill="1" applyBorder="1" applyAlignment="1">
      <alignment vertical="top" wrapText="1"/>
    </xf>
    <xf numFmtId="0" fontId="7" fillId="10" borderId="9" xfId="0" applyFont="1" applyFill="1" applyBorder="1" applyAlignment="1">
      <alignment vertical="top" wrapText="1"/>
    </xf>
    <xf numFmtId="0" fontId="7" fillId="2" borderId="9" xfId="0" applyFont="1" applyFill="1" applyBorder="1" applyAlignment="1">
      <alignment vertical="top" wrapText="1"/>
    </xf>
    <xf numFmtId="0" fontId="7" fillId="4" borderId="0" xfId="0" applyFont="1" applyFill="1" applyBorder="1" applyAlignment="1">
      <alignment vertical="top" wrapText="1"/>
    </xf>
    <xf numFmtId="0" fontId="7" fillId="12" borderId="0" xfId="0" applyFont="1" applyFill="1" applyBorder="1" applyAlignment="1">
      <alignment vertical="top" wrapText="1"/>
    </xf>
    <xf numFmtId="0" fontId="0" fillId="4" borderId="9" xfId="0" applyFont="1" applyFill="1" applyBorder="1" applyAlignment="1">
      <alignment horizontal="left" vertical="top" wrapText="1"/>
    </xf>
    <xf numFmtId="0" fontId="2" fillId="4" borderId="9" xfId="0" applyFont="1" applyFill="1" applyBorder="1" applyAlignment="1">
      <alignment horizontal="left" vertical="top" wrapText="1"/>
    </xf>
    <xf numFmtId="0" fontId="7" fillId="7" borderId="9" xfId="0" applyFont="1" applyFill="1" applyBorder="1" applyAlignment="1">
      <alignment horizontal="left" vertical="top" wrapText="1"/>
    </xf>
    <xf numFmtId="0" fontId="5" fillId="2" borderId="9" xfId="0" applyFont="1" applyFill="1" applyBorder="1" applyAlignment="1">
      <alignment horizontal="left" vertical="top" wrapText="1"/>
    </xf>
    <xf numFmtId="0" fontId="7" fillId="2" borderId="9" xfId="0" applyFont="1" applyFill="1" applyBorder="1" applyAlignment="1">
      <alignment horizontal="left" vertical="top" wrapText="1"/>
    </xf>
    <xf numFmtId="0" fontId="5" fillId="2" borderId="0" xfId="0" applyFont="1" applyFill="1" applyBorder="1" applyAlignment="1">
      <alignment vertical="top" wrapText="1"/>
    </xf>
    <xf numFmtId="0" fontId="2" fillId="2" borderId="9" xfId="0" applyFont="1" applyFill="1" applyBorder="1" applyAlignment="1">
      <alignment vertical="top" wrapText="1"/>
    </xf>
    <xf numFmtId="0" fontId="2" fillId="2" borderId="6" xfId="0" applyFont="1" applyFill="1" applyBorder="1" applyAlignment="1">
      <alignment vertical="top" wrapText="1"/>
    </xf>
    <xf numFmtId="0" fontId="5" fillId="2" borderId="6" xfId="0" applyFont="1" applyFill="1" applyBorder="1" applyAlignment="1">
      <alignment vertical="top" wrapText="1"/>
    </xf>
    <xf numFmtId="0" fontId="14" fillId="2" borderId="9" xfId="0" applyFont="1" applyFill="1" applyBorder="1" applyAlignment="1">
      <alignment vertical="top" wrapText="1"/>
    </xf>
    <xf numFmtId="0" fontId="7" fillId="8" borderId="9" xfId="0" applyFont="1" applyFill="1" applyBorder="1" applyAlignment="1">
      <alignment vertical="top" wrapText="1"/>
    </xf>
    <xf numFmtId="0" fontId="7" fillId="10" borderId="0" xfId="0" applyFont="1" applyFill="1" applyBorder="1" applyAlignment="1">
      <alignment vertical="top" wrapText="1"/>
    </xf>
    <xf numFmtId="0" fontId="5" fillId="4" borderId="0" xfId="0" applyFont="1" applyFill="1" applyAlignment="1">
      <alignment vertical="top" wrapText="1"/>
    </xf>
    <xf numFmtId="0" fontId="2" fillId="3" borderId="5" xfId="0" applyFont="1" applyFill="1" applyBorder="1" applyAlignment="1">
      <alignment horizontal="left" vertical="top" wrapText="1"/>
    </xf>
    <xf numFmtId="0" fontId="5" fillId="2" borderId="0" xfId="0" applyFont="1" applyFill="1" applyAlignment="1">
      <alignment vertical="top" wrapText="1"/>
    </xf>
    <xf numFmtId="9" fontId="5" fillId="2" borderId="9" xfId="0" applyNumberFormat="1" applyFont="1" applyFill="1" applyBorder="1" applyAlignment="1">
      <alignment horizontal="left" vertical="top" wrapText="1"/>
    </xf>
    <xf numFmtId="0" fontId="5" fillId="2" borderId="0" xfId="0" applyFont="1" applyFill="1" applyAlignment="1">
      <alignment horizontal="left" vertical="top" wrapText="1"/>
    </xf>
    <xf numFmtId="0" fontId="2" fillId="2" borderId="0" xfId="0" applyFont="1" applyFill="1" applyAlignment="1">
      <alignment horizontal="left" vertical="top" wrapText="1"/>
    </xf>
    <xf numFmtId="0" fontId="1" fillId="2" borderId="9" xfId="0" applyFont="1" applyFill="1" applyBorder="1" applyAlignment="1">
      <alignment wrapText="1"/>
    </xf>
    <xf numFmtId="0" fontId="5" fillId="2" borderId="0" xfId="0" applyFont="1" applyFill="1" applyBorder="1" applyAlignment="1">
      <alignment horizontal="left" wrapText="1"/>
    </xf>
    <xf numFmtId="0" fontId="0" fillId="2" borderId="9" xfId="0" applyFont="1" applyFill="1" applyBorder="1" applyAlignment="1">
      <alignment vertical="top" wrapText="1"/>
    </xf>
    <xf numFmtId="0" fontId="1" fillId="4" borderId="9" xfId="0" applyFont="1" applyFill="1" applyBorder="1" applyAlignment="1">
      <alignment horizontal="left" vertical="top" wrapText="1"/>
    </xf>
    <xf numFmtId="0" fontId="14" fillId="13" borderId="0" xfId="0" applyFont="1" applyFill="1" applyAlignment="1">
      <alignment wrapText="1"/>
    </xf>
    <xf numFmtId="0" fontId="18" fillId="2" borderId="9" xfId="0" applyFont="1" applyFill="1" applyBorder="1" applyAlignment="1">
      <alignment wrapText="1"/>
    </xf>
    <xf numFmtId="0" fontId="0" fillId="2" borderId="0" xfId="0" applyFont="1" applyFill="1" applyAlignment="1">
      <alignment wrapText="1"/>
    </xf>
    <xf numFmtId="0" fontId="7" fillId="2" borderId="0" xfId="0" applyFont="1" applyFill="1" applyAlignment="1">
      <alignment vertical="top" wrapText="1"/>
    </xf>
    <xf numFmtId="0" fontId="7" fillId="2" borderId="0" xfId="0" applyFont="1" applyFill="1" applyAlignment="1">
      <alignment wrapText="1"/>
    </xf>
    <xf numFmtId="0" fontId="7" fillId="4" borderId="9" xfId="0" applyFont="1" applyFill="1" applyBorder="1" applyAlignment="1">
      <alignment horizontal="left" vertical="top" wrapText="1"/>
    </xf>
    <xf numFmtId="0" fontId="7" fillId="5" borderId="12" xfId="0" applyFont="1" applyFill="1" applyBorder="1" applyAlignment="1">
      <alignment wrapText="1"/>
    </xf>
    <xf numFmtId="0" fontId="0" fillId="4" borderId="5" xfId="0" applyFont="1" applyFill="1" applyBorder="1"/>
    <xf numFmtId="0" fontId="2"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4" fillId="0" borderId="0" xfId="0" applyFont="1" applyAlignment="1">
      <alignment wrapText="1"/>
    </xf>
    <xf numFmtId="0" fontId="6" fillId="0" borderId="0" xfId="0" applyFont="1" applyFill="1" applyBorder="1" applyAlignment="1">
      <alignment wrapText="1"/>
    </xf>
    <xf numFmtId="0" fontId="19" fillId="0" borderId="0" xfId="0" applyFont="1" applyFill="1" applyBorder="1" applyAlignment="1"/>
    <xf numFmtId="0" fontId="19" fillId="0" borderId="0" xfId="0" applyFont="1" applyFill="1" applyBorder="1" applyAlignment="1">
      <alignment wrapText="1"/>
    </xf>
    <xf numFmtId="0" fontId="20" fillId="0" borderId="0" xfId="0" applyFont="1"/>
    <xf numFmtId="0" fontId="19" fillId="0" borderId="0" xfId="0" applyFont="1"/>
    <xf numFmtId="0" fontId="19" fillId="0" borderId="0" xfId="0" applyFont="1" applyAlignment="1">
      <alignment wrapText="1"/>
    </xf>
    <xf numFmtId="0" fontId="4" fillId="0" borderId="0" xfId="0" applyFont="1"/>
    <xf numFmtId="0" fontId="0" fillId="0" borderId="0" xfId="0" applyFill="1" applyAlignment="1">
      <alignment wrapText="1"/>
    </xf>
    <xf numFmtId="0" fontId="12" fillId="0" borderId="0" xfId="0" applyFont="1" applyAlignment="1"/>
    <xf numFmtId="0" fontId="21" fillId="0" borderId="0" xfId="0" applyFont="1"/>
    <xf numFmtId="0" fontId="7" fillId="6" borderId="9" xfId="0" applyFont="1" applyFill="1" applyBorder="1" applyAlignment="1">
      <alignment wrapText="1"/>
    </xf>
    <xf numFmtId="0" fontId="10" fillId="2" borderId="9" xfId="0" applyFont="1" applyFill="1" applyBorder="1" applyAlignment="1">
      <alignment wrapText="1"/>
    </xf>
    <xf numFmtId="0" fontId="7" fillId="6" borderId="0" xfId="0" applyFont="1" applyFill="1" applyBorder="1" applyAlignment="1">
      <alignment vertical="top" wrapText="1"/>
    </xf>
    <xf numFmtId="0" fontId="7" fillId="6" borderId="9" xfId="0" applyFont="1" applyFill="1" applyBorder="1" applyAlignment="1">
      <alignment horizontal="left" wrapText="1"/>
    </xf>
    <xf numFmtId="0" fontId="0" fillId="6" borderId="9" xfId="0" applyFont="1" applyFill="1" applyBorder="1" applyAlignment="1">
      <alignment vertical="top" wrapText="1"/>
    </xf>
    <xf numFmtId="0" fontId="1" fillId="6" borderId="9" xfId="0" applyFont="1" applyFill="1" applyBorder="1" applyAlignment="1">
      <alignment wrapText="1"/>
    </xf>
    <xf numFmtId="164" fontId="0" fillId="4" borderId="9" xfId="0" applyNumberFormat="1" applyFont="1" applyFill="1" applyBorder="1" applyAlignment="1">
      <alignment vertical="top" wrapText="1"/>
    </xf>
    <xf numFmtId="0" fontId="0" fillId="4" borderId="5" xfId="0" applyFont="1" applyFill="1" applyBorder="1" applyAlignment="1">
      <alignment wrapText="1"/>
    </xf>
    <xf numFmtId="0" fontId="11" fillId="0" borderId="0" xfId="0" applyFont="1" applyAlignment="1">
      <alignment horizontal="center" wrapText="1"/>
    </xf>
    <xf numFmtId="0" fontId="3" fillId="2" borderId="1" xfId="0" applyFont="1" applyFill="1" applyBorder="1" applyAlignment="1">
      <alignment horizontal="center"/>
    </xf>
    <xf numFmtId="0" fontId="3" fillId="2" borderId="2" xfId="0" applyFont="1" applyFill="1" applyBorder="1" applyAlignment="1">
      <alignment horizontal="center"/>
    </xf>
    <xf numFmtId="17" fontId="13" fillId="0" borderId="0" xfId="0" applyNumberFormat="1" applyFont="1" applyAlignment="1">
      <alignment horizontal="right" wrapText="1"/>
    </xf>
    <xf numFmtId="0" fontId="13" fillId="0" borderId="0" xfId="0" applyFont="1" applyAlignment="1">
      <alignment horizontal="right" wrapText="1"/>
    </xf>
    <xf numFmtId="0" fontId="0" fillId="0" borderId="0" xfId="0" applyAlignment="1">
      <alignment horizontal="center"/>
    </xf>
  </cellXfs>
  <cellStyles count="28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1</xdr:col>
      <xdr:colOff>3469974</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193729</xdr:colOff>
      <xdr:row>1</xdr:row>
      <xdr:rowOff>215254</xdr:rowOff>
    </xdr:from>
    <xdr:to>
      <xdr:col>2</xdr:col>
      <xdr:colOff>3308015</xdr:colOff>
      <xdr:row>5</xdr:row>
      <xdr:rowOff>66116</xdr:rowOff>
    </xdr:to>
    <xdr:pic>
      <xdr:nvPicPr>
        <xdr:cNvPr id="7" name="Picture 6"/>
        <xdr:cNvPicPr>
          <a:picLocks noChangeAspect="1"/>
        </xdr:cNvPicPr>
      </xdr:nvPicPr>
      <xdr:blipFill>
        <a:blip xmlns:r="http://schemas.openxmlformats.org/officeDocument/2006/relationships" r:embed="rId3"/>
        <a:stretch>
          <a:fillRect/>
        </a:stretch>
      </xdr:blipFill>
      <xdr:spPr>
        <a:xfrm>
          <a:off x="8201187" y="408983"/>
          <a:ext cx="3114286" cy="808743"/>
        </a:xfrm>
        <a:prstGeom prst="rect">
          <a:avLst/>
        </a:prstGeom>
      </xdr:spPr>
    </xdr:pic>
    <xdr:clientData/>
  </xdr:twoCellAnchor>
</xdr:wsDr>
</file>

<file path=xl/tables/table1.xml><?xml version="1.0" encoding="utf-8"?>
<table xmlns="http://schemas.openxmlformats.org/spreadsheetml/2006/main" id="1" name="Table1" displayName="Table1" ref="A17:H144"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51"/>
  <sheetViews>
    <sheetView showGridLines="0" topLeftCell="A46" zoomScale="125" zoomScaleNormal="125" zoomScalePageLayoutView="125" workbookViewId="0">
      <selection activeCell="C47" sqref="C47"/>
    </sheetView>
  </sheetViews>
  <sheetFormatPr baseColWidth="10" defaultColWidth="8.6640625" defaultRowHeight="15" x14ac:dyDescent="0"/>
  <cols>
    <col min="1" max="2" width="52.5" style="1" customWidth="1"/>
    <col min="3" max="3" width="46.1640625" style="1" customWidth="1"/>
    <col min="4" max="4" width="13.5" style="1" customWidth="1"/>
    <col min="6" max="6" width="19.83203125" customWidth="1"/>
    <col min="7" max="7" width="31.1640625" style="47" customWidth="1"/>
    <col min="8" max="8" width="17.33203125" style="48" customWidth="1"/>
  </cols>
  <sheetData>
    <row r="2" spans="1:8" ht="30" customHeight="1"/>
    <row r="10" spans="1:8" ht="28" customHeight="1">
      <c r="A10" s="217" t="s">
        <v>839</v>
      </c>
      <c r="B10" s="217"/>
      <c r="C10" s="216"/>
    </row>
    <row r="12" spans="1:8" ht="25">
      <c r="C12" s="230">
        <v>42125</v>
      </c>
      <c r="D12" s="231"/>
    </row>
    <row r="16" spans="1:8" ht="30" customHeight="1">
      <c r="B16" s="227" t="s">
        <v>844</v>
      </c>
      <c r="C16" s="227"/>
      <c r="G16" s="228" t="s">
        <v>0</v>
      </c>
      <c r="H16" s="229"/>
    </row>
    <row r="17" spans="1:8" ht="30">
      <c r="A17" s="2" t="s">
        <v>1</v>
      </c>
      <c r="B17" s="2" t="s">
        <v>2</v>
      </c>
      <c r="C17" s="207" t="s">
        <v>243</v>
      </c>
      <c r="D17" s="3" t="s">
        <v>3</v>
      </c>
      <c r="E17" s="207" t="s">
        <v>244</v>
      </c>
      <c r="F17" s="2" t="s">
        <v>4</v>
      </c>
      <c r="G17" s="4" t="s">
        <v>5</v>
      </c>
      <c r="H17" s="5" t="s">
        <v>6</v>
      </c>
    </row>
    <row r="18" spans="1:8" ht="30">
      <c r="A18" s="6" t="s">
        <v>7</v>
      </c>
      <c r="B18" s="7" t="s">
        <v>8</v>
      </c>
      <c r="C18" s="162"/>
      <c r="D18" s="154"/>
      <c r="E18" s="7"/>
      <c r="F18" s="7"/>
      <c r="G18" s="8" t="str">
        <f>IF(OR(Table1[[#This Row],[English]]&lt;&gt;"",Table1[[#This Row],[Français]]&lt;&gt;""),Table1[[#This Row],[Français]]&amp;"//"&amp;Table1[[#This Row],[English]],"")</f>
        <v>I. Information générale sur le projet //General information</v>
      </c>
      <c r="H18" s="9" t="str">
        <f t="shared" ref="H18:H95" si="0">IF(C18&lt;&gt;"",IF(D18&lt;&gt;"",C18&amp;"--"&amp;D18,C18),"")</f>
        <v/>
      </c>
    </row>
    <row r="19" spans="1:8" ht="31" customHeight="1">
      <c r="A19" s="67" t="s">
        <v>9</v>
      </c>
      <c r="B19" s="67" t="s">
        <v>10</v>
      </c>
      <c r="C19" s="163" t="s">
        <v>317</v>
      </c>
      <c r="D19" s="71" t="s">
        <v>841</v>
      </c>
      <c r="E19" s="71" t="s">
        <v>842</v>
      </c>
      <c r="F19" s="68"/>
      <c r="G19" s="69" t="str">
        <f>IF(OR(Table1[[#This Row],[English]]&lt;&gt;"",Table1[[#This Row],[Français]]&lt;&gt;""),Table1[[#This Row],[Français]]&amp;"//"&amp;Table1[[#This Row],[English]],"")</f>
        <v>Pays//Country</v>
      </c>
      <c r="H19" s="70" t="str">
        <f t="shared" si="0"/>
        <v>Cambodia--Preamble</v>
      </c>
    </row>
    <row r="20" spans="1:8" ht="45">
      <c r="A20" s="67" t="s">
        <v>11</v>
      </c>
      <c r="B20" s="71" t="s">
        <v>12</v>
      </c>
      <c r="C20" s="163" t="s">
        <v>843</v>
      </c>
      <c r="D20" s="71" t="s">
        <v>841</v>
      </c>
      <c r="E20" s="71" t="s">
        <v>842</v>
      </c>
      <c r="F20" s="68"/>
      <c r="G20" s="69" t="str">
        <f>IF(OR(Table1[[#This Row],[English]]&lt;&gt;"",Table1[[#This Row],[Français]]&lt;&gt;""),Table1[[#This Row],[Français]]&amp;"//"&amp;Table1[[#This Row],[English]],"")</f>
        <v>Nom de la société locale//Local company name</v>
      </c>
      <c r="H20" s="70" t="str">
        <f t="shared" si="0"/>
        <v>Koh Kong Sugar Industry Company Limited --Preamble</v>
      </c>
    </row>
    <row r="21" spans="1:8">
      <c r="A21" s="71" t="s">
        <v>241</v>
      </c>
      <c r="B21" s="71" t="s">
        <v>242</v>
      </c>
      <c r="C21" s="163"/>
      <c r="D21" s="71"/>
      <c r="E21" s="71"/>
      <c r="F21" s="204"/>
      <c r="G21" s="16" t="str">
        <f>IF(OR(Table1[[#This Row],[English]]&lt;&gt;"",Table1[[#This Row],[Français]]&lt;&gt;""),Table1[[#This Row],[Français]]&amp;"//"&amp;Table1[[#This Row],[English]],"")</f>
        <v>Numéro d'entreprise légal//Legal Enterprise Identifier</v>
      </c>
      <c r="H21" s="205" t="str">
        <f>IF(C21&lt;&gt;"",IF(D21&lt;&gt;"",C21&amp;"--"&amp;D21,C21),"")</f>
        <v/>
      </c>
    </row>
    <row r="22" spans="1:8">
      <c r="A22" s="10" t="s">
        <v>13</v>
      </c>
      <c r="B22" s="10" t="s">
        <v>14</v>
      </c>
      <c r="C22" s="164"/>
      <c r="D22" s="10"/>
      <c r="E22" s="10"/>
      <c r="F22" s="11"/>
      <c r="G22" s="12" t="str">
        <f>IF(OR(Table1[[#This Row],[English]]&lt;&gt;"",Table1[[#This Row],[Français]]&lt;&gt;""),Table1[[#This Row],[Français]]&amp;"//"&amp;Table1[[#This Row],[English]],"")</f>
        <v xml:space="preserve">Siège social //Corporate headquarters </v>
      </c>
      <c r="H22" s="13" t="str">
        <f t="shared" si="0"/>
        <v/>
      </c>
    </row>
    <row r="23" spans="1:8">
      <c r="A23" s="10" t="s">
        <v>15</v>
      </c>
      <c r="B23" s="10" t="s">
        <v>16</v>
      </c>
      <c r="C23" s="164"/>
      <c r="D23" s="10"/>
      <c r="E23" s="10"/>
      <c r="F23" s="11"/>
      <c r="G23" s="12" t="str">
        <f>IF(OR(Table1[[#This Row],[English]]&lt;&gt;"",Table1[[#This Row],[Français]]&lt;&gt;""),Table1[[#This Row],[Français]]&amp;"//"&amp;Table1[[#This Row],[English]],"")</f>
        <v>Structure du Capital//Company structure</v>
      </c>
      <c r="H23" s="13" t="str">
        <f t="shared" si="0"/>
        <v/>
      </c>
    </row>
    <row r="24" spans="1:8" ht="33.75" customHeight="1">
      <c r="A24" s="67" t="s">
        <v>17</v>
      </c>
      <c r="B24" s="71" t="s">
        <v>193</v>
      </c>
      <c r="C24" s="163"/>
      <c r="D24" s="71"/>
      <c r="E24" s="71"/>
      <c r="F24" s="68"/>
      <c r="G24" s="69"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70" t="str">
        <f t="shared" si="0"/>
        <v/>
      </c>
    </row>
    <row r="25" spans="1:8">
      <c r="A25" s="71" t="s">
        <v>241</v>
      </c>
      <c r="B25" s="71" t="s">
        <v>242</v>
      </c>
      <c r="C25" s="163"/>
      <c r="D25" s="71"/>
      <c r="E25" s="71"/>
      <c r="F25" s="204"/>
      <c r="G25" s="16" t="str">
        <f>IF(OR(Table1[[#This Row],[English]]&lt;&gt;"",Table1[[#This Row],[Français]]&lt;&gt;""),Table1[[#This Row],[Français]]&amp;"//"&amp;Table1[[#This Row],[English]],"")</f>
        <v>Numéro d'entreprise légal//Legal Enterprise Identifier</v>
      </c>
      <c r="H25" s="205" t="str">
        <f>IF(C25&lt;&gt;"",IF(D25&lt;&gt;"",C25&amp;"--"&amp;D25,C25),"")</f>
        <v/>
      </c>
    </row>
    <row r="26" spans="1:8">
      <c r="A26" s="67" t="s">
        <v>18</v>
      </c>
      <c r="B26" s="67" t="s">
        <v>19</v>
      </c>
      <c r="C26" s="165"/>
      <c r="D26" s="155"/>
      <c r="E26" s="155"/>
      <c r="F26" s="68"/>
      <c r="G26" s="69" t="str">
        <f>IF(OR(Table1[[#This Row],[English]]&lt;&gt;"",Table1[[#This Row],[Français]]&lt;&gt;""),Table1[[#This Row],[Français]]&amp;"//"&amp;Table1[[#This Row],[English]],"")</f>
        <v>Site web de l’entreprise//Company website</v>
      </c>
      <c r="H26" s="70" t="str">
        <f t="shared" si="0"/>
        <v/>
      </c>
    </row>
    <row r="27" spans="1:8" ht="30">
      <c r="A27" s="71" t="s">
        <v>204</v>
      </c>
      <c r="B27" s="72" t="s">
        <v>20</v>
      </c>
      <c r="C27" s="163" t="s">
        <v>742</v>
      </c>
      <c r="D27" s="71" t="s">
        <v>845</v>
      </c>
      <c r="E27" s="71" t="s">
        <v>846</v>
      </c>
      <c r="F27" s="68"/>
      <c r="G27" s="69"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70" t="str">
        <f t="shared" si="0"/>
        <v>Concession--Art. 1</v>
      </c>
    </row>
    <row r="28" spans="1:8">
      <c r="A28" s="67" t="s">
        <v>21</v>
      </c>
      <c r="B28" s="67" t="s">
        <v>22</v>
      </c>
      <c r="C28" s="165"/>
      <c r="D28" s="155"/>
      <c r="E28" s="155"/>
      <c r="F28" s="68"/>
      <c r="G28" s="69" t="str">
        <f>IF(OR(Table1[[#This Row],[English]]&lt;&gt;"",Table1[[#This Row],[Français]]&lt;&gt;""),Table1[[#This Row],[Français]]&amp;"//"&amp;Table1[[#This Row],[English]],"")</f>
        <v>Nom du projet//Project title</v>
      </c>
      <c r="H28" s="70" t="str">
        <f t="shared" si="0"/>
        <v/>
      </c>
    </row>
    <row r="29" spans="1:8">
      <c r="A29" s="71" t="s">
        <v>201</v>
      </c>
      <c r="B29" s="72" t="s">
        <v>23</v>
      </c>
      <c r="C29" s="163"/>
      <c r="D29" s="71"/>
      <c r="E29" s="71"/>
      <c r="F29" s="68"/>
      <c r="G29" s="69" t="str">
        <f>IF(OR(Table1[[#This Row],[English]]&lt;&gt;"",Table1[[#This Row],[Français]]&lt;&gt;""),Table1[[#This Row],[Français]]&amp;"//"&amp;Table1[[#This Row],[English]],"")</f>
        <v>Nom du gisement/ champ de pétrole/ gas//Name and/or number of field, block or deposit</v>
      </c>
      <c r="H29" s="70" t="str">
        <f t="shared" si="0"/>
        <v/>
      </c>
    </row>
    <row r="30" spans="1:8" ht="55" customHeight="1">
      <c r="A30" s="76" t="s">
        <v>206</v>
      </c>
      <c r="B30" s="111" t="s">
        <v>205</v>
      </c>
      <c r="C30" s="163" t="s">
        <v>909</v>
      </c>
      <c r="D30" s="76" t="s">
        <v>845</v>
      </c>
      <c r="E30" s="71" t="s">
        <v>846</v>
      </c>
      <c r="F30" s="68"/>
      <c r="G30" s="69"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70" t="str">
        <f t="shared" si="0"/>
        <v>Sre Ambel, Koh Kong Province. Exact coordinates are listed at Art. 1.--Art. 1</v>
      </c>
    </row>
    <row r="31" spans="1:8">
      <c r="A31" s="67" t="s">
        <v>24</v>
      </c>
      <c r="B31" s="67" t="s">
        <v>25</v>
      </c>
      <c r="C31" s="165"/>
      <c r="D31" s="155"/>
      <c r="E31" s="155"/>
      <c r="F31" s="68"/>
      <c r="G31" s="69" t="str">
        <f>IF(OR(Table1[[#This Row],[English]]&lt;&gt;"",Table1[[#This Row],[Français]]&lt;&gt;""),Table1[[#This Row],[Français]]&amp;"//"&amp;Table1[[#This Row],[English]],"")</f>
        <v>Lieu-dit habité le plus proche//Closest community</v>
      </c>
      <c r="H31" s="70" t="str">
        <f t="shared" si="0"/>
        <v/>
      </c>
    </row>
    <row r="32" spans="1:8" ht="54" customHeight="1">
      <c r="A32" s="67" t="s">
        <v>26</v>
      </c>
      <c r="B32" s="67" t="s">
        <v>27</v>
      </c>
      <c r="C32" s="163"/>
      <c r="D32" s="71"/>
      <c r="E32" s="71"/>
      <c r="F32" s="68"/>
      <c r="G32" s="69" t="str">
        <f>IF(OR(Table1[[#This Row],[English]]&lt;&gt;"",Table1[[#This Row],[Français]]&lt;&gt;""),Table1[[#This Row],[Français]]&amp;"//"&amp;Table1[[#This Row],[English]],"")</f>
        <v>Date d'octroi du permis d'exploitation ou concession//Date of issue of title/permit</v>
      </c>
      <c r="H32" s="70" t="str">
        <f t="shared" si="0"/>
        <v/>
      </c>
    </row>
    <row r="33" spans="1:8" ht="45" customHeight="1">
      <c r="A33" s="67" t="s">
        <v>28</v>
      </c>
      <c r="B33" s="67" t="s">
        <v>29</v>
      </c>
      <c r="C33" s="165" t="str">
        <f>IF(C32&lt;&gt;"",YEAR(C32),"")</f>
        <v/>
      </c>
      <c r="D33" s="71"/>
      <c r="E33" s="71"/>
      <c r="F33" s="68"/>
      <c r="G33" s="69" t="str">
        <f>IF(OR(Table1[[#This Row],[English]]&lt;&gt;"",Table1[[#This Row],[Français]]&lt;&gt;""),Table1[[#This Row],[Français]]&amp;"//"&amp;Table1[[#This Row],[English]],"")</f>
        <v>Année d'octroi du permis d'exploitation ou concession//Year of issue of title/permit</v>
      </c>
      <c r="H33" s="70" t="str">
        <f t="shared" si="0"/>
        <v/>
      </c>
    </row>
    <row r="34" spans="1:8">
      <c r="A34" s="10" t="s">
        <v>30</v>
      </c>
      <c r="B34" s="10" t="s">
        <v>31</v>
      </c>
      <c r="C34" s="164"/>
      <c r="D34" s="10"/>
      <c r="E34" s="10"/>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64"/>
      <c r="D35" s="10"/>
      <c r="E35" s="10"/>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64"/>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66"/>
      <c r="D37" s="156"/>
      <c r="E37" s="156"/>
      <c r="F37" s="15"/>
      <c r="G37" s="16" t="str">
        <f>IF(OR(Table1[[#This Row],[English]]&lt;&gt;"",Table1[[#This Row],[Français]]&lt;&gt;""),Table1[[#This Row],[Français]]&amp;"//"&amp;Table1[[#This Row],[English]],"")</f>
        <v/>
      </c>
      <c r="H37" s="17" t="str">
        <f t="shared" si="0"/>
        <v/>
      </c>
    </row>
    <row r="38" spans="1:8" ht="30">
      <c r="A38" s="206" t="s">
        <v>36</v>
      </c>
      <c r="B38" s="206" t="s">
        <v>37</v>
      </c>
      <c r="C38" s="167"/>
      <c r="D38" s="157"/>
      <c r="E38" s="157"/>
      <c r="F38" s="18"/>
      <c r="G38" s="19" t="str">
        <f>IF(OR(Table1[[#This Row],[English]]&lt;&gt;"",Table1[[#This Row],[Français]]&lt;&gt;""),Table1[[#This Row],[Français]]&amp;"//"&amp;Table1[[#This Row],[English]],"")</f>
        <v>II. Résumé des dispositions du contrat//II. Summary of terms</v>
      </c>
      <c r="H38" s="20" t="str">
        <f t="shared" si="0"/>
        <v/>
      </c>
    </row>
    <row r="39" spans="1:8" ht="30">
      <c r="A39" s="21" t="s">
        <v>38</v>
      </c>
      <c r="B39" s="18" t="s">
        <v>39</v>
      </c>
      <c r="C39" s="167"/>
      <c r="D39" s="157"/>
      <c r="E39" s="157"/>
      <c r="F39" s="18"/>
      <c r="G39" s="19" t="str">
        <f>IF(OR(Table1[[#This Row],[English]]&lt;&gt;"",Table1[[#This Row],[Français]]&lt;&gt;""),Table1[[#This Row],[Français]]&amp;"//"&amp;Table1[[#This Row],[English]],"")</f>
        <v>1. Dispositions du base//1. Fundamental provisions</v>
      </c>
      <c r="H39" s="20" t="str">
        <f t="shared" si="0"/>
        <v/>
      </c>
    </row>
    <row r="40" spans="1:8" ht="35.25" customHeight="1">
      <c r="A40" s="67" t="s">
        <v>40</v>
      </c>
      <c r="B40" s="67" t="s">
        <v>41</v>
      </c>
      <c r="C40" s="163" t="s">
        <v>843</v>
      </c>
      <c r="D40" s="76" t="s">
        <v>848</v>
      </c>
      <c r="E40" s="76" t="s">
        <v>850</v>
      </c>
      <c r="F40" s="73"/>
      <c r="G40" s="74"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70" t="str">
        <f t="shared" si="0"/>
        <v>Koh Kong Sugar Industry Company Limited --Signature page</v>
      </c>
    </row>
    <row r="41" spans="1:8">
      <c r="A41" s="71" t="s">
        <v>241</v>
      </c>
      <c r="B41" s="71" t="s">
        <v>242</v>
      </c>
      <c r="C41" s="163"/>
      <c r="D41" s="71"/>
      <c r="E41" s="71"/>
      <c r="F41" s="204"/>
      <c r="G41" s="16" t="str">
        <f>IF(OR(Table1[[#This Row],[English]]&lt;&gt;"",Table1[[#This Row],[Français]]&lt;&gt;""),Table1[[#This Row],[Français]]&amp;"//"&amp;Table1[[#This Row],[English]],"")</f>
        <v>Numéro d'entreprise légal//Legal Enterprise Identifier</v>
      </c>
      <c r="H41" s="205" t="str">
        <f>IF(C41&lt;&gt;"",IF(D41&lt;&gt;"",C41&amp;"--"&amp;D41,C41),"")</f>
        <v/>
      </c>
    </row>
    <row r="42" spans="1:8" ht="90">
      <c r="A42" s="10" t="s">
        <v>42</v>
      </c>
      <c r="B42" s="10" t="s">
        <v>43</v>
      </c>
      <c r="C42" s="164" t="s">
        <v>910</v>
      </c>
      <c r="D42" s="105" t="s">
        <v>848</v>
      </c>
      <c r="E42" s="105" t="s">
        <v>850</v>
      </c>
      <c r="F42" s="22"/>
      <c r="G42" s="23" t="str">
        <f>IF(OR(Table1[[#This Row],[English]]&lt;&gt;"",Table1[[#This Row],[Français]]&lt;&gt;""),Table1[[#This Row],[Français]]&amp;"//"&amp;Table1[[#This Row],[English]],"")</f>
        <v>Signataire(s), société //Signatories, company</v>
      </c>
      <c r="H42" s="13" t="str">
        <f t="shared" si="0"/>
        <v>Chamroon Chinthammit, Koh Kong Sugar Industry Company Limited--Signature page</v>
      </c>
    </row>
    <row r="43" spans="1:8" ht="42" customHeight="1">
      <c r="A43" s="67" t="s">
        <v>44</v>
      </c>
      <c r="B43" s="67" t="s">
        <v>45</v>
      </c>
      <c r="C43" s="163" t="s">
        <v>851</v>
      </c>
      <c r="D43" s="76" t="s">
        <v>848</v>
      </c>
      <c r="E43" s="76" t="s">
        <v>850</v>
      </c>
      <c r="F43" s="73"/>
      <c r="G43" s="74" t="str">
        <f>IF(OR(Table1[[#This Row],[English]]&lt;&gt;"",Table1[[#This Row],[Français]]&lt;&gt;""),Table1[[#This Row],[Français]]&amp;"//"&amp;Table1[[#This Row],[English]],"")</f>
        <v>Agence de l'Etat, société nationale, ministère signataire du contrat//State agency, national company, ministry executing the document</v>
      </c>
      <c r="H43" s="70" t="str">
        <f t="shared" si="0"/>
        <v>The Minister of Agriculture, Forestry and Fisheries --Signature page</v>
      </c>
    </row>
    <row r="44" spans="1:8" ht="90">
      <c r="A44" s="10" t="s">
        <v>46</v>
      </c>
      <c r="B44" s="10" t="s">
        <v>47</v>
      </c>
      <c r="C44" s="164" t="s">
        <v>852</v>
      </c>
      <c r="D44" s="105" t="s">
        <v>848</v>
      </c>
      <c r="E44" s="105" t="s">
        <v>850</v>
      </c>
      <c r="F44" s="22"/>
      <c r="G44" s="23" t="str">
        <f>IF(OR(Table1[[#This Row],[English]]&lt;&gt;"",Table1[[#This Row],[Français]]&lt;&gt;""),Table1[[#This Row],[Français]]&amp;"//"&amp;Table1[[#This Row],[English]],"")</f>
        <v>Signataire(s), Etat//Signatories, State</v>
      </c>
      <c r="H44" s="13" t="str">
        <f t="shared" si="0"/>
        <v>Dr Chan Sarun, The Minister of Agriculture, Forestry and Fisheries --Signature page</v>
      </c>
    </row>
    <row r="45" spans="1:8" ht="47" customHeight="1">
      <c r="A45" s="67" t="s">
        <v>48</v>
      </c>
      <c r="B45" s="67" t="s">
        <v>49</v>
      </c>
      <c r="C45" s="165"/>
      <c r="D45" s="158"/>
      <c r="E45" s="158"/>
      <c r="F45" s="73"/>
      <c r="G45" s="74" t="str">
        <f>IF(OR(Table1[[#This Row],[English]]&lt;&gt;"",Table1[[#This Row],[Français]]&lt;&gt;""),Table1[[#This Row],[Français]]&amp;"//"&amp;Table1[[#This Row],[English]],"")</f>
        <v>Nom et/ou composition de la société du projet crée ou envisagée//Name and/or composition of the company created or anticipated</v>
      </c>
      <c r="H45" s="70" t="str">
        <f t="shared" si="0"/>
        <v/>
      </c>
    </row>
    <row r="46" spans="1:8" ht="45">
      <c r="A46" s="10" t="s">
        <v>178</v>
      </c>
      <c r="B46" s="61" t="s">
        <v>169</v>
      </c>
      <c r="C46" s="168"/>
      <c r="D46" s="57"/>
      <c r="E46" s="57"/>
      <c r="F46" s="58"/>
      <c r="G46" s="59" t="str">
        <f>IF(OR(Table1[[#This Row],[English]]&lt;&gt;"",Table1[[#This Row],[Français]]&lt;&gt;""),Table1[[#This Row],[Français]]&amp;"//"&amp;Table1[[#This Row],[English]],"")</f>
        <v>Nom de la partie tiers (si applicable)//Name of third party to contract (where applicable)</v>
      </c>
      <c r="H46" s="60" t="str">
        <f>IF(C46&lt;&gt;"",IF(D46&lt;&gt;"",C46&amp;"--"&amp;D46,C46),"")</f>
        <v/>
      </c>
    </row>
    <row r="47" spans="1:8" ht="30">
      <c r="A47" s="67" t="s">
        <v>50</v>
      </c>
      <c r="B47" s="67" t="s">
        <v>51</v>
      </c>
      <c r="C47" s="225">
        <v>38931</v>
      </c>
      <c r="D47" s="219" t="s">
        <v>848</v>
      </c>
      <c r="E47" s="219" t="s">
        <v>849</v>
      </c>
      <c r="F47" s="73"/>
      <c r="G47" s="74" t="str">
        <f>IF(OR(Table1[[#This Row],[English]]&lt;&gt;"",Table1[[#This Row],[Français]]&lt;&gt;""),Table1[[#This Row],[Français]]&amp;"//"&amp;Table1[[#This Row],[English]],"")</f>
        <v>Date de signature du contrat//Date of contract signature</v>
      </c>
      <c r="H47" s="70" t="str">
        <f t="shared" si="0"/>
        <v>38931--Signature page</v>
      </c>
    </row>
    <row r="48" spans="1:8" ht="30">
      <c r="A48" s="71" t="s">
        <v>52</v>
      </c>
      <c r="B48" s="67" t="s">
        <v>53</v>
      </c>
      <c r="C48" s="165">
        <f>IF(C47&lt;&gt;"",YEAR(C47),"")</f>
        <v>2006</v>
      </c>
      <c r="D48" s="219" t="s">
        <v>848</v>
      </c>
      <c r="E48" s="219" t="s">
        <v>849</v>
      </c>
      <c r="F48" s="73"/>
      <c r="G48" s="74" t="str">
        <f>IF(OR(Table1[[#This Row],[English]]&lt;&gt;"",Table1[[#This Row],[Français]]&lt;&gt;""),Table1[[#This Row],[Français]]&amp;"//"&amp;Table1[[#This Row],[English]],"")</f>
        <v>Année de signature du contrat//Year of contract signature</v>
      </c>
      <c r="H48" s="70" t="str">
        <f t="shared" si="0"/>
        <v>2006--Signature page</v>
      </c>
    </row>
    <row r="49" spans="1:8" ht="27" customHeight="1">
      <c r="A49" s="67" t="s">
        <v>54</v>
      </c>
      <c r="B49" s="67" t="s">
        <v>55</v>
      </c>
      <c r="C49" s="163" t="s">
        <v>853</v>
      </c>
      <c r="D49" s="76" t="s">
        <v>855</v>
      </c>
      <c r="E49" s="71" t="s">
        <v>854</v>
      </c>
      <c r="F49" s="73"/>
      <c r="G49" s="74" t="str">
        <f>IF(OR(Table1[[#This Row],[English]]&lt;&gt;"",Table1[[#This Row],[Français]]&lt;&gt;""),Table1[[#This Row],[Français]]&amp;"//"&amp;Table1[[#This Row],[English]],"")</f>
        <v>Durée//Term</v>
      </c>
      <c r="H49" s="70" t="str">
        <f t="shared" si="0"/>
        <v>90 years--Art. 2.1</v>
      </c>
    </row>
    <row r="50" spans="1:8" ht="375">
      <c r="A50" s="10" t="s">
        <v>56</v>
      </c>
      <c r="B50" s="10" t="s">
        <v>57</v>
      </c>
      <c r="C50" s="164" t="s">
        <v>911</v>
      </c>
      <c r="D50" s="10" t="s">
        <v>856</v>
      </c>
      <c r="E50" s="10" t="s">
        <v>854</v>
      </c>
      <c r="F50" s="22"/>
      <c r="G50" s="23" t="str">
        <f>IF(OR(Table1[[#This Row],[English]]&lt;&gt;"",Table1[[#This Row],[Français]]&lt;&gt;""),Table1[[#This Row],[Français]]&amp;"//"&amp;Table1[[#This Row],[English]],"")</f>
        <v xml:space="preserve">Conditions de renouvellement//Conditions for renewal </v>
      </c>
      <c r="H50" s="13" t="str">
        <f t="shared" si="0"/>
        <v>Koh Kong Sugar Industry Company may ask to renew the agreement 1 year prior to its expiration. The renewal can only be made once an approval has been obtained from the Government, at the request of the Ministry for Agriculture, Forestry and Fisheries and according to the mutual agreement from Koh Kong Sugar Industry Company on the terms and conditions of the new contract.--Art. 2.2</v>
      </c>
    </row>
    <row r="51" spans="1:8" ht="42" customHeight="1">
      <c r="A51" s="71" t="s">
        <v>229</v>
      </c>
      <c r="B51" s="72" t="s">
        <v>177</v>
      </c>
      <c r="C51" s="226" t="s">
        <v>912</v>
      </c>
      <c r="D51" s="71" t="s">
        <v>857</v>
      </c>
      <c r="E51" s="71" t="s">
        <v>858</v>
      </c>
      <c r="F51" s="73"/>
      <c r="G51" s="74"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70" t="str">
        <f t="shared" si="0"/>
        <v>Sugar cane--Arts. 1, 3.1</v>
      </c>
    </row>
    <row r="52" spans="1:8" ht="42" customHeight="1">
      <c r="A52" s="119" t="s">
        <v>218</v>
      </c>
      <c r="B52" s="119" t="s">
        <v>217</v>
      </c>
      <c r="C52" s="180" t="s">
        <v>913</v>
      </c>
      <c r="D52" s="56" t="s">
        <v>845</v>
      </c>
      <c r="E52" s="56" t="s">
        <v>846</v>
      </c>
      <c r="F52" s="119"/>
      <c r="G52" s="126" t="str">
        <f>IF(OR(Table1[[#This Row],[English]]&lt;&gt;"",Table1[[#This Row],[Français]]&lt;&gt;""),Table1[[#This Row],[Français]]&amp;"//"&amp;Table1[[#This Row],[English]],"")</f>
        <v>Superficie de la concession//Size of the concession area</v>
      </c>
      <c r="H52" s="127" t="str">
        <f>IF(C52&lt;&gt;"",IF(D52&lt;&gt;"",C52&amp;"--"&amp;D52,C52),"")</f>
        <v>9,700 hectares--Art. 1</v>
      </c>
    </row>
    <row r="53" spans="1:8">
      <c r="A53" s="14"/>
      <c r="B53" s="14"/>
      <c r="C53" s="166"/>
      <c r="D53" s="156"/>
      <c r="E53" s="156"/>
      <c r="F53" s="15"/>
      <c r="G53" s="16" t="str">
        <f>IF(OR(Table1[[#This Row],[English]]&lt;&gt;"",Table1[[#This Row],[Français]]&lt;&gt;""),Table1[[#This Row],[Français]]&amp;"//"&amp;Table1[[#This Row],[English]],"")</f>
        <v/>
      </c>
      <c r="H53" s="17" t="str">
        <f t="shared" si="0"/>
        <v/>
      </c>
    </row>
    <row r="54" spans="1:8" ht="49.5" customHeight="1">
      <c r="A54" s="62" t="s">
        <v>58</v>
      </c>
      <c r="B54" s="63" t="s">
        <v>192</v>
      </c>
      <c r="C54" s="167"/>
      <c r="D54" s="157"/>
      <c r="E54" s="157"/>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ht="99" customHeight="1">
      <c r="A55" s="75" t="s">
        <v>59</v>
      </c>
      <c r="B55" s="67" t="s">
        <v>60</v>
      </c>
      <c r="C55" s="163" t="s">
        <v>907</v>
      </c>
      <c r="D55" s="155" t="s">
        <v>859</v>
      </c>
      <c r="E55" s="155" t="s">
        <v>860</v>
      </c>
      <c r="F55" s="68"/>
      <c r="G55" s="69" t="str">
        <f>IF(OR(Table1[[#This Row],[English]]&lt;&gt;"",Table1[[#This Row],[Français]]&lt;&gt;""),Table1[[#This Row],[Français]]&amp;"//"&amp;Table1[[#This Row],[English]],"")</f>
        <v>Convention de développement local//Local development agreement</v>
      </c>
      <c r="H55" s="70" t="str">
        <f t="shared" si="0"/>
        <v>Koh Kong Sugar Industry Company has an obligation to focus on the livelihood, health and education of its employees, workers and their families by building suitable houses, hospital, temple, school and recreation center--Art. 7.5</v>
      </c>
    </row>
    <row r="56" spans="1:8" ht="94.5" customHeight="1">
      <c r="A56" s="10" t="s">
        <v>230</v>
      </c>
      <c r="B56" s="10" t="s">
        <v>61</v>
      </c>
      <c r="C56" s="164" t="s">
        <v>861</v>
      </c>
      <c r="D56" s="10" t="s">
        <v>862</v>
      </c>
      <c r="E56" s="10" t="s">
        <v>863</v>
      </c>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The land which contains national and cultural heritage sites, mountains, reservoirs, traditional forests and other natural protected areas shall be excluded from Koh Kong Sugar Industry Company's use and preserved in their natural conditions--Art. 1.3</v>
      </c>
    </row>
    <row r="57" spans="1:8" ht="45">
      <c r="A57" s="71" t="s">
        <v>235</v>
      </c>
      <c r="B57" s="67" t="s">
        <v>62</v>
      </c>
      <c r="C57" s="223"/>
      <c r="D57" s="224"/>
      <c r="E57" s="224"/>
      <c r="F57" s="73"/>
      <c r="G57" s="74" t="str">
        <f>IF(OR(Table1[[#This Row],[English]]&lt;&gt;"",Table1[[#This Row],[Français]]&lt;&gt;""),Table1[[#This Row],[Français]]&amp;"//"&amp;Table1[[#This Row],[English]],"")</f>
        <v xml:space="preserve">Consultations communautaires requises//Requirements for community consultation </v>
      </c>
      <c r="H57" s="70" t="str">
        <f t="shared" si="0"/>
        <v/>
      </c>
    </row>
    <row r="58" spans="1:8" ht="24" customHeight="1">
      <c r="A58" s="10" t="s">
        <v>236</v>
      </c>
      <c r="B58" s="10" t="s">
        <v>63</v>
      </c>
      <c r="C58" s="164"/>
      <c r="D58" s="10"/>
      <c r="E58" s="10"/>
      <c r="F58" s="22"/>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87" customHeight="1">
      <c r="A59" s="71" t="s">
        <v>231</v>
      </c>
      <c r="B59" s="67" t="s">
        <v>64</v>
      </c>
      <c r="C59" s="170" t="s">
        <v>893</v>
      </c>
      <c r="D59" s="71" t="s">
        <v>864</v>
      </c>
      <c r="E59" s="71" t="s">
        <v>860</v>
      </c>
      <c r="F59" s="73"/>
      <c r="G59" s="74" t="str">
        <f>IF(OR(Table1[[#This Row],[English]]&lt;&gt;"",Table1[[#This Row],[Français]]&lt;&gt;""),Table1[[#This Row],[Français]]&amp;"//"&amp;Table1[[#This Row],[English]],"")</f>
        <v>Obligations liées à l'emploi du personnel local//Local employment requirements</v>
      </c>
      <c r="H59" s="70" t="str">
        <f t="shared" si="0"/>
        <v>Koh Kong Sugar Industry Company must use the local labor force. In the event that there is no Khmer expert available, the right to hire foreign experts shall be granted under the law of the Kingdom of Cambodia.--Art. 7.4</v>
      </c>
    </row>
    <row r="60" spans="1:8" ht="45.75" customHeight="1">
      <c r="A60" s="71" t="s">
        <v>233</v>
      </c>
      <c r="B60" s="67" t="s">
        <v>65</v>
      </c>
      <c r="C60" s="165"/>
      <c r="D60" s="71"/>
      <c r="E60" s="71"/>
      <c r="F60" s="73"/>
      <c r="G60" s="74" t="str">
        <f>IF(OR(Table1[[#This Row],[English]]&lt;&gt;"",Table1[[#This Row],[Français]]&lt;&gt;""),Table1[[#This Row],[Français]]&amp;"//"&amp;Table1[[#This Row],[English]],"")</f>
        <v>Obligations liées a l'approvisionnement en biens et services locaux//Local procurement requirements</v>
      </c>
      <c r="H60" s="70" t="str">
        <f t="shared" si="0"/>
        <v/>
      </c>
    </row>
    <row r="61" spans="1:8">
      <c r="A61" s="10" t="s">
        <v>66</v>
      </c>
      <c r="B61" s="10" t="s">
        <v>67</v>
      </c>
      <c r="C61" s="164"/>
      <c r="D61" s="10"/>
      <c r="E61" s="10"/>
      <c r="F61" s="22"/>
      <c r="G61" s="23" t="str">
        <f>IF(OR(Table1[[#This Row],[English]]&lt;&gt;"",Table1[[#This Row],[Français]]&lt;&gt;""),Table1[[#This Row],[Français]]&amp;"//"&amp;Table1[[#This Row],[English]],"")</f>
        <v>Assurance//Insurance</v>
      </c>
      <c r="H61" s="13" t="str">
        <f t="shared" si="0"/>
        <v/>
      </c>
    </row>
    <row r="62" spans="1:8" ht="20.25" customHeight="1">
      <c r="A62" s="76" t="s">
        <v>207</v>
      </c>
      <c r="B62" s="76" t="s">
        <v>208</v>
      </c>
      <c r="C62" s="170"/>
      <c r="D62" s="76"/>
      <c r="E62" s="76"/>
      <c r="F62" s="77"/>
      <c r="G62" s="78" t="str">
        <f>IF(OR(Table1[[#This Row],[English]]&lt;&gt;"",Table1[[#This Row],[Français]]&lt;&gt;""),Table1[[#This Row],[Français]]&amp;"//"&amp;Table1[[#This Row],[English]],"")</f>
        <v>Réinstallation des habitants//Resettlement</v>
      </c>
      <c r="H62" s="79" t="str">
        <f t="shared" si="0"/>
        <v/>
      </c>
    </row>
    <row r="63" spans="1:8" ht="34.5" customHeight="1">
      <c r="A63" s="132" t="s">
        <v>232</v>
      </c>
      <c r="B63" s="132" t="s">
        <v>223</v>
      </c>
      <c r="C63" s="171"/>
      <c r="D63" s="132"/>
      <c r="E63" s="132"/>
      <c r="F63" s="133"/>
      <c r="G63" s="134"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5" t="str">
        <f t="shared" ref="H63:H66" si="1">IF(C63&lt;&gt;"",IF(D63&lt;&gt;"",C63&amp;"--"&amp;D63,C63),"")</f>
        <v/>
      </c>
    </row>
    <row r="64" spans="1:8" ht="94.5" customHeight="1">
      <c r="A64" s="124" t="s">
        <v>185</v>
      </c>
      <c r="B64" s="10" t="s">
        <v>184</v>
      </c>
      <c r="C64" s="164" t="s">
        <v>907</v>
      </c>
      <c r="D64" s="10" t="s">
        <v>859</v>
      </c>
      <c r="E64" s="10" t="s">
        <v>860</v>
      </c>
      <c r="F64" s="22"/>
      <c r="G64" s="110"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Koh Kong Sugar Industry Company has an obligation to focus on the livelihood, health and education of its employees, workers and their families by building suitable houses, hospital, temple, school and recreation center--Art. 7.5</v>
      </c>
    </row>
    <row r="65" spans="1:8" ht="53" customHeight="1">
      <c r="A65" s="83" t="s">
        <v>187</v>
      </c>
      <c r="B65" s="82" t="s">
        <v>186</v>
      </c>
      <c r="C65" s="173"/>
      <c r="D65" s="76"/>
      <c r="E65" s="76"/>
      <c r="F65" s="77"/>
      <c r="G65" s="80" t="str">
        <f>IF(OR(Table1[[#This Row],[English]]&lt;&gt;"",Table1[[#This Row],[Français]]&lt;&gt;""),Table1[[#This Row],[Français]]&amp;"//"&amp;Table1[[#This Row],[English]],"")</f>
        <v>La sécurité physique, la protection de la propriété, et / ou l'utilisation des gardes//Physical security, protection of property, and/or use of guards</v>
      </c>
      <c r="H65" s="81" t="str">
        <f t="shared" si="1"/>
        <v/>
      </c>
    </row>
    <row r="66" spans="1:8" ht="144" customHeight="1">
      <c r="A66" s="145" t="s">
        <v>189</v>
      </c>
      <c r="B66" s="146" t="s">
        <v>190</v>
      </c>
      <c r="C66" s="174" t="s">
        <v>914</v>
      </c>
      <c r="D66" s="147" t="s">
        <v>905</v>
      </c>
      <c r="E66" s="147" t="s">
        <v>906</v>
      </c>
      <c r="F66" s="148"/>
      <c r="G66" s="149" t="str">
        <f>IF(OR(Table1[[#This Row],[English]]&lt;&gt;"",Table1[[#This Row],[Français]]&lt;&gt;""),Table1[[#This Row],[Français]]&amp;"//"&amp;Table1[[#This Row],[English]],"")</f>
        <v>Mécanismes de réclamation pour les parties non contractantes//Grievance mechanisms for non-contractual harms to non-contracting parties</v>
      </c>
      <c r="H66" s="150" t="str">
        <f t="shared" si="1"/>
        <v>If during the implementation of the investment project on the land concession any land conflict between Koh Kong Sugar Industry Company and local residents/people arises, competent authorities have the right to suspend the conflict land concession area for solving the problems and protecting the interests of people. For any conflict that occurs between the military and local residents/people, the resolution shall be considered fairly.--Art. 6.2</v>
      </c>
    </row>
    <row r="67" spans="1:8" ht="61.5" customHeight="1">
      <c r="A67" s="123" t="s">
        <v>216</v>
      </c>
      <c r="B67" s="119" t="s">
        <v>215</v>
      </c>
      <c r="C67" s="169"/>
      <c r="D67" s="10"/>
      <c r="E67" s="10"/>
      <c r="F67" s="125"/>
      <c r="G67" s="126"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7" t="str">
        <f>IF(C67&lt;&gt;"",IF(D67&lt;&gt;"",C67&amp;"--"&amp;D67,C67),"")</f>
        <v/>
      </c>
    </row>
    <row r="68" spans="1:8" ht="30">
      <c r="A68" s="83" t="s">
        <v>176</v>
      </c>
      <c r="B68" s="82" t="s">
        <v>174</v>
      </c>
      <c r="C68" s="165"/>
      <c r="D68" s="155"/>
      <c r="E68" s="155"/>
      <c r="F68" s="73"/>
      <c r="G68" s="74" t="str">
        <f>IF(OR(Table1[[#This Row],[English]]&lt;&gt;"",Table1[[#This Row],[Français]]&lt;&gt;""),Table1[[#This Row],[Français]]&amp;"//"&amp;Table1[[#This Row],[English]],"")</f>
        <v>Autre - [le nom de catégorie]//Other - [Name of Category]</v>
      </c>
      <c r="H68" s="70" t="str">
        <f t="shared" si="0"/>
        <v/>
      </c>
    </row>
    <row r="69" spans="1:8">
      <c r="A69" s="24"/>
      <c r="B69" s="24"/>
      <c r="C69" s="181"/>
      <c r="D69" s="193"/>
      <c r="E69" s="193"/>
      <c r="F69" s="15"/>
      <c r="G69" s="16" t="str">
        <f>IF(OR(Table1[[#This Row],[English]]&lt;&gt;"",Table1[[#This Row],[Français]]&lt;&gt;""),Table1[[#This Row],[Français]]&amp;"//"&amp;Table1[[#This Row],[English]],"")</f>
        <v/>
      </c>
      <c r="H69" s="25" t="str">
        <f t="shared" si="0"/>
        <v/>
      </c>
    </row>
    <row r="70" spans="1:8" ht="29" customHeight="1">
      <c r="A70" s="62" t="s">
        <v>68</v>
      </c>
      <c r="B70" s="26" t="s">
        <v>69</v>
      </c>
      <c r="C70" s="167"/>
      <c r="D70" s="157"/>
      <c r="E70" s="157"/>
      <c r="F70" s="18"/>
      <c r="G70" s="19" t="str">
        <f>IF(OR(Table1[[#This Row],[English]]&lt;&gt;"",Table1[[#This Row],[Français]]&lt;&gt;""),Table1[[#This Row],[Français]]&amp;"//"&amp;Table1[[#This Row],[English]],"")</f>
        <v>3. Obligations financières du détenteur du titre//3. Developer's financial obligations</v>
      </c>
      <c r="H70" s="20" t="str">
        <f t="shared" si="0"/>
        <v/>
      </c>
    </row>
    <row r="71" spans="1:8" ht="164.25" customHeight="1">
      <c r="A71" s="84" t="s">
        <v>70</v>
      </c>
      <c r="B71" s="85" t="s">
        <v>71</v>
      </c>
      <c r="C71" s="221" t="s">
        <v>915</v>
      </c>
      <c r="D71" s="222" t="s">
        <v>887</v>
      </c>
      <c r="E71" s="222" t="s">
        <v>888</v>
      </c>
      <c r="F71" s="86"/>
      <c r="G71" s="87" t="str">
        <f>IF(OR(Table1[[#This Row],[English]]&lt;&gt;"",Table1[[#This Row],[Français]]&lt;&gt;""),Table1[[#This Row],[Français]]&amp;"//"&amp;Table1[[#This Row],[English]],"")</f>
        <v>Taxe minière / redevance//Mining tax / royalty tax</v>
      </c>
      <c r="H71" s="88" t="str">
        <f t="shared" si="0"/>
        <v>Before clearing the land for the development activities, Koh Kong Sugar Industry Company shall obtain approval from the Ministry of Agriculture, Forestry and Fisheries for the logging, processing or transporting of trees found on the lands and pay royalties and premiums to the Ministry in accordance with the principles and Forestry Law in force--Art. 16.1</v>
      </c>
    </row>
    <row r="72" spans="1:8" ht="70.5" customHeight="1">
      <c r="A72" s="84" t="s">
        <v>72</v>
      </c>
      <c r="B72" s="85" t="s">
        <v>73</v>
      </c>
      <c r="C72" s="176"/>
      <c r="D72" s="159"/>
      <c r="E72" s="159"/>
      <c r="F72" s="86"/>
      <c r="G72" s="87" t="str">
        <f>IF(OR(Table1[[#This Row],[English]]&lt;&gt;"",Table1[[#This Row],[Français]]&lt;&gt;""),Table1[[#This Row],[Français]]&amp;"//"&amp;Table1[[#This Row],[English]],"")</f>
        <v>Impôt sur les bénéfices: taux//Income tax: rate</v>
      </c>
      <c r="H72" s="88" t="str">
        <f>IF(C73&lt;&gt;"",IF(D73&lt;&gt;"",C73&amp;"--"&amp;D73,C73),"")</f>
        <v>Koh Kong Sugar Industry Company shall be obliged to pay taxes to the State in accordance with the law in force of the Kingdom of Cambodia--Art. 4.5</v>
      </c>
    </row>
    <row r="73" spans="1:8" ht="45">
      <c r="A73" s="85" t="s">
        <v>224</v>
      </c>
      <c r="B73" s="85" t="s">
        <v>74</v>
      </c>
      <c r="C73" s="175" t="s">
        <v>865</v>
      </c>
      <c r="D73" s="151" t="s">
        <v>866</v>
      </c>
      <c r="E73" s="151" t="s">
        <v>867</v>
      </c>
      <c r="F73" s="86"/>
      <c r="G73" s="87" t="str">
        <f>IF(OR(Table1[[#This Row],[English]]&lt;&gt;"",Table1[[#This Row],[Français]]&lt;&gt;""),Table1[[#This Row],[Français]]&amp;"//"&amp;Table1[[#This Row],[English]],"")</f>
        <v>Impôt sur les bénéfices: exonération//Income tax: exemptions</v>
      </c>
      <c r="H73" s="88" t="e">
        <f>IF(#REF!&lt;&gt;"",IF(#REF!&lt;&gt;"",#REF!&amp;"--"&amp;#REF!,#REF!),"")</f>
        <v>#REF!</v>
      </c>
    </row>
    <row r="74" spans="1:8" ht="45">
      <c r="A74" s="85" t="s">
        <v>225</v>
      </c>
      <c r="B74" s="85" t="s">
        <v>75</v>
      </c>
      <c r="C74" s="176"/>
      <c r="D74" s="159"/>
      <c r="E74" s="159"/>
      <c r="F74" s="86"/>
      <c r="G74" s="87"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4" s="88" t="str">
        <f t="shared" si="0"/>
        <v/>
      </c>
    </row>
    <row r="75" spans="1:8" ht="45.75" customHeight="1">
      <c r="A75" s="106" t="s">
        <v>199</v>
      </c>
      <c r="B75" s="106" t="s">
        <v>76</v>
      </c>
      <c r="C75" s="177"/>
      <c r="D75" s="106"/>
      <c r="E75" s="106"/>
      <c r="F75" s="107"/>
      <c r="G75" s="108"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5" s="109" t="str">
        <f>IF(C75&lt;&gt;"",IF(D75&lt;&gt;"",C75&amp;"--"&amp;D75,C75),"")</f>
        <v/>
      </c>
    </row>
    <row r="76" spans="1:8" ht="34.5" customHeight="1">
      <c r="A76" s="106" t="s">
        <v>200</v>
      </c>
      <c r="B76" s="106" t="s">
        <v>77</v>
      </c>
      <c r="C76" s="177"/>
      <c r="D76" s="106"/>
      <c r="E76" s="106"/>
      <c r="F76" s="107"/>
      <c r="G76" s="108"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6" s="109" t="str">
        <f>IF(C76&lt;&gt;"",IF(D76&lt;&gt;"",C76&amp;"--"&amp;D76,C76),"")</f>
        <v/>
      </c>
    </row>
    <row r="77" spans="1:8" ht="30">
      <c r="A77" s="106" t="s">
        <v>234</v>
      </c>
      <c r="B77" s="106" t="s">
        <v>78</v>
      </c>
      <c r="C77" s="177"/>
      <c r="D77" s="106"/>
      <c r="E77" s="106"/>
      <c r="F77" s="107"/>
      <c r="G77" s="108" t="str">
        <f>IF(OR(Table1[[#This Row],[English]]&lt;&gt;"",Table1[[#This Row],[Français]]&lt;&gt;""),Table1[[#This Row],[Français]]&amp;"//"&amp;Table1[[#This Row],[English]],"")</f>
        <v>Contrat de Service - Frais du détenteur du titre défrayés  (base de calcul)//Service Agreement - Fee to developer / contractor (basis for calculation)</v>
      </c>
      <c r="H77" s="109" t="str">
        <f>IF(C77&lt;&gt;"",IF(D77&lt;&gt;"",C77&amp;"--"&amp;D77,C77),"")</f>
        <v/>
      </c>
    </row>
    <row r="78" spans="1:8" ht="26" customHeight="1">
      <c r="A78" s="89" t="s">
        <v>237</v>
      </c>
      <c r="B78" s="89" t="s">
        <v>79</v>
      </c>
      <c r="C78" s="173"/>
      <c r="D78" s="89"/>
      <c r="E78" s="89"/>
      <c r="F78" s="90"/>
      <c r="G78" s="91" t="str">
        <f>IF(OR(Table1[[#This Row],[English]]&lt;&gt;"",Table1[[#This Row],[Français]]&lt;&gt;""),Table1[[#This Row],[Français]]&amp;"//"&amp;Table1[[#This Row],[English]],"")</f>
        <v>Impôt sur les Revenus des Valeurs Mobilières (IRVM)//Capital gains tax</v>
      </c>
      <c r="H78" s="92" t="str">
        <f t="shared" si="0"/>
        <v/>
      </c>
    </row>
    <row r="79" spans="1:8" ht="26" customHeight="1">
      <c r="A79" s="128" t="s">
        <v>202</v>
      </c>
      <c r="B79" s="128" t="s">
        <v>209</v>
      </c>
      <c r="C79" s="169"/>
      <c r="D79" s="27"/>
      <c r="E79" s="27"/>
      <c r="F79" s="129"/>
      <c r="G79" s="130" t="str">
        <f>IF(OR(Table1[[#This Row],[English]]&lt;&gt;"",Table1[[#This Row],[Français]]&lt;&gt;""),Table1[[#This Row],[Français]]&amp;"//"&amp;Table1[[#This Row],[English]],"")</f>
        <v>Retenue à la source sur les intérêts et/ou dividendes//Withholding tax on payment of interest and/or dividends</v>
      </c>
      <c r="H79" s="131" t="str">
        <f>IF(C79&lt;&gt;"",IF(D79&lt;&gt;"",C79&amp;"--"&amp;D79,C79),"")</f>
        <v/>
      </c>
    </row>
    <row r="80" spans="1:8">
      <c r="A80" s="27" t="s">
        <v>80</v>
      </c>
      <c r="B80" s="27" t="s">
        <v>81</v>
      </c>
      <c r="C80" s="172"/>
      <c r="D80" s="10"/>
      <c r="E80" s="10"/>
      <c r="F80" s="29"/>
      <c r="G80" s="30" t="str">
        <f>IF(OR(Table1[[#This Row],[English]]&lt;&gt;"",Table1[[#This Row],[Français]]&lt;&gt;""),Table1[[#This Row],[Français]]&amp;"//"&amp;Table1[[#This Row],[English]],"")</f>
        <v>Retenue à la source sur les salaires des nationaux//Witholding tax on national salaries</v>
      </c>
      <c r="H80" s="32" t="str">
        <f t="shared" si="0"/>
        <v/>
      </c>
    </row>
    <row r="81" spans="1:8">
      <c r="A81" s="27" t="s">
        <v>82</v>
      </c>
      <c r="B81" s="27" t="s">
        <v>83</v>
      </c>
      <c r="C81" s="190"/>
      <c r="D81" s="10"/>
      <c r="E81" s="10"/>
      <c r="F81" s="29"/>
      <c r="G81" s="30" t="str">
        <f>IF(OR(Table1[[#This Row],[English]]&lt;&gt;"",Table1[[#This Row],[Français]]&lt;&gt;""),Table1[[#This Row],[Français]]&amp;"//"&amp;Table1[[#This Row],[English]],"")</f>
        <v>Retenue à la source sur les salaires des expatriés//Witholding tax on expatriate salaries</v>
      </c>
      <c r="H81" s="32" t="str">
        <f t="shared" si="0"/>
        <v/>
      </c>
    </row>
    <row r="82" spans="1:8" ht="30">
      <c r="A82" s="27" t="s">
        <v>84</v>
      </c>
      <c r="B82" s="27" t="s">
        <v>85</v>
      </c>
      <c r="C82" s="190"/>
      <c r="D82" s="27"/>
      <c r="E82" s="27"/>
      <c r="F82" s="29"/>
      <c r="G82" s="30" t="str">
        <f>IF(OR(Table1[[#This Row],[English]]&lt;&gt;"",Table1[[#This Row],[Français]]&lt;&gt;""),Table1[[#This Row],[Français]]&amp;"//"&amp;Table1[[#This Row],[English]],"")</f>
        <v>Retenue à la source sur les prestations de service par des entreprises non résidentes//Witholding tax on services of non-resident companies</v>
      </c>
      <c r="H82" s="31" t="str">
        <f t="shared" si="0"/>
        <v/>
      </c>
    </row>
    <row r="83" spans="1:8">
      <c r="A83" s="128" t="s">
        <v>86</v>
      </c>
      <c r="B83" s="27" t="s">
        <v>87</v>
      </c>
      <c r="C83" s="190"/>
      <c r="D83" s="27"/>
      <c r="E83" s="27"/>
      <c r="F83" s="29"/>
      <c r="G83" s="30" t="str">
        <f>IF(OR(Table1[[#This Row],[English]]&lt;&gt;"",Table1[[#This Row],[Français]]&lt;&gt;""),Table1[[#This Row],[Français]]&amp;"//"&amp;Table1[[#This Row],[English]],"")</f>
        <v>Retenue à la source sur les loyers des immeubles//Witholding tax on rent</v>
      </c>
      <c r="H83" s="31" t="str">
        <f t="shared" si="0"/>
        <v/>
      </c>
    </row>
    <row r="84" spans="1:8">
      <c r="A84" s="27" t="s">
        <v>88</v>
      </c>
      <c r="B84" s="27" t="s">
        <v>89</v>
      </c>
      <c r="C84" s="178"/>
      <c r="D84" s="27"/>
      <c r="E84" s="27"/>
      <c r="F84" s="29"/>
      <c r="G84" s="30" t="str">
        <f>IF(OR(Table1[[#This Row],[English]]&lt;&gt;"",Table1[[#This Row],[Français]]&lt;&gt;""),Table1[[#This Row],[Français]]&amp;"//"&amp;Table1[[#This Row],[English]],"")</f>
        <v>Déductibilité des frais financiers//Deductibility of expenses</v>
      </c>
      <c r="H84" s="31" t="str">
        <f t="shared" si="0"/>
        <v/>
      </c>
    </row>
    <row r="85" spans="1:8">
      <c r="A85" s="33" t="s">
        <v>90</v>
      </c>
      <c r="B85" s="27" t="s">
        <v>91</v>
      </c>
      <c r="C85" s="178"/>
      <c r="D85" s="27"/>
      <c r="E85" s="27"/>
      <c r="F85" s="29"/>
      <c r="G85" s="30" t="str">
        <f>IF(OR(Table1[[#This Row],[English]]&lt;&gt;"",Table1[[#This Row],[Français]]&lt;&gt;""),Table1[[#This Row],[Français]]&amp;"//"&amp;Table1[[#This Row],[English]],"")</f>
        <v>Méthode d’évaluation de prix //Method for evaluating price</v>
      </c>
      <c r="H85" s="31" t="str">
        <f t="shared" si="0"/>
        <v/>
      </c>
    </row>
    <row r="86" spans="1:8">
      <c r="A86" s="27" t="s">
        <v>92</v>
      </c>
      <c r="B86" s="27" t="s">
        <v>93</v>
      </c>
      <c r="C86" s="178"/>
      <c r="D86" s="27"/>
      <c r="E86" s="27"/>
      <c r="F86" s="29"/>
      <c r="G86" s="30" t="str">
        <f>IF(OR(Table1[[#This Row],[English]]&lt;&gt;"",Table1[[#This Row],[Français]]&lt;&gt;""),Table1[[#This Row],[Français]]&amp;"//"&amp;Table1[[#This Row],[English]],"")</f>
        <v>Provision pour la reconstitution des gisements//Provisions for renewing reserves</v>
      </c>
      <c r="H86" s="31" t="str">
        <f t="shared" si="0"/>
        <v/>
      </c>
    </row>
    <row r="87" spans="1:8">
      <c r="A87" s="27" t="s">
        <v>94</v>
      </c>
      <c r="B87" s="27" t="s">
        <v>95</v>
      </c>
      <c r="C87" s="178"/>
      <c r="D87" s="27"/>
      <c r="E87" s="27"/>
      <c r="F87" s="29"/>
      <c r="G87" s="30" t="str">
        <f>IF(OR(Table1[[#This Row],[English]]&lt;&gt;"",Table1[[#This Row],[Français]]&lt;&gt;""),Table1[[#This Row],[Français]]&amp;"//"&amp;Table1[[#This Row],[English]],"")</f>
        <v>Crédit d'investissement//Investment credit</v>
      </c>
      <c r="H87" s="31" t="str">
        <f t="shared" si="0"/>
        <v/>
      </c>
    </row>
    <row r="88" spans="1:8" ht="17.25" customHeight="1">
      <c r="A88" s="27" t="s">
        <v>96</v>
      </c>
      <c r="B88" s="27" t="s">
        <v>97</v>
      </c>
      <c r="C88" s="179"/>
      <c r="D88" s="27"/>
      <c r="E88" s="27"/>
      <c r="F88" s="29"/>
      <c r="G88" s="30" t="str">
        <f>IF(OR(Table1[[#This Row],[English]]&lt;&gt;"",Table1[[#This Row],[Français]]&lt;&gt;""),Table1[[#This Row],[Français]]&amp;"//"&amp;Table1[[#This Row],[English]],"")</f>
        <v>Droits de douane en phase de recherche//Custom duties during exploration phase</v>
      </c>
      <c r="H88" s="31" t="str">
        <f t="shared" si="0"/>
        <v/>
      </c>
    </row>
    <row r="89" spans="1:8">
      <c r="A89" s="27" t="s">
        <v>98</v>
      </c>
      <c r="B89" s="27" t="s">
        <v>99</v>
      </c>
      <c r="C89" s="178"/>
      <c r="D89" s="27"/>
      <c r="E89" s="27"/>
      <c r="F89" s="29"/>
      <c r="G89" s="30" t="str">
        <f>IF(OR(Table1[[#This Row],[English]]&lt;&gt;"",Table1[[#This Row],[Français]]&lt;&gt;""),Table1[[#This Row],[Français]]&amp;"//"&amp;Table1[[#This Row],[English]],"")</f>
        <v>Droits de douane en phase de construction//Custom duties during construction phase</v>
      </c>
      <c r="H89" s="31" t="str">
        <f t="shared" si="0"/>
        <v/>
      </c>
    </row>
    <row r="90" spans="1:8">
      <c r="A90" s="27" t="s">
        <v>100</v>
      </c>
      <c r="B90" s="27" t="s">
        <v>219</v>
      </c>
      <c r="C90" s="178"/>
      <c r="D90" s="27"/>
      <c r="E90" s="27"/>
      <c r="F90" s="29"/>
      <c r="G90" s="30" t="str">
        <f>IF(OR(Table1[[#This Row],[English]]&lt;&gt;"",Table1[[#This Row],[Français]]&lt;&gt;""),Table1[[#This Row],[Français]]&amp;"//"&amp;Table1[[#This Row],[English]],"")</f>
        <v>Droits de douane en phase d'exploitation//Custum duties during operation phase</v>
      </c>
      <c r="H90" s="31" t="str">
        <f t="shared" si="0"/>
        <v/>
      </c>
    </row>
    <row r="91" spans="1:8" ht="80.25" customHeight="1">
      <c r="A91" s="27" t="s">
        <v>101</v>
      </c>
      <c r="B91" s="27" t="s">
        <v>102</v>
      </c>
      <c r="C91" s="178" t="s">
        <v>868</v>
      </c>
      <c r="D91" s="27" t="s">
        <v>869</v>
      </c>
      <c r="E91" s="27" t="s">
        <v>870</v>
      </c>
      <c r="F91" s="29"/>
      <c r="G91" s="30" t="str">
        <f>IF(OR(Table1[[#This Row],[English]]&lt;&gt;"",Table1[[#This Row],[Français]]&lt;&gt;""),Table1[[#This Row],[Français]]&amp;"//"&amp;Table1[[#This Row],[English]],"")</f>
        <v>Droits de douane pour le matériel de traitement//Custom duties on processing equipment</v>
      </c>
      <c r="H91" s="31" t="str">
        <f t="shared" si="0"/>
        <v>Machinery equipment, spare parts and chemical materials that are imported for the purpose of business production will incur taxes according to the law of the Kingdom of Cambodia--Art. 7.9</v>
      </c>
    </row>
    <row r="92" spans="1:8">
      <c r="A92" s="27" t="s">
        <v>103</v>
      </c>
      <c r="B92" s="27" t="s">
        <v>104</v>
      </c>
      <c r="C92" s="178"/>
      <c r="D92" s="27"/>
      <c r="E92" s="27"/>
      <c r="F92" s="29"/>
      <c r="G92" s="30" t="str">
        <f>IF(OR(Table1[[#This Row],[English]]&lt;&gt;"",Table1[[#This Row],[Français]]&lt;&gt;""),Table1[[#This Row],[Français]]&amp;"//"&amp;Table1[[#This Row],[English]],"")</f>
        <v>Droits de douane pour le matériel de transformation//Custom duties on transformation equipment</v>
      </c>
      <c r="H92" s="31" t="str">
        <f t="shared" si="0"/>
        <v/>
      </c>
    </row>
    <row r="93" spans="1:8">
      <c r="A93" s="27" t="s">
        <v>105</v>
      </c>
      <c r="B93" s="27" t="s">
        <v>106</v>
      </c>
      <c r="C93" s="178"/>
      <c r="D93" s="27"/>
      <c r="E93" s="27"/>
      <c r="F93" s="29"/>
      <c r="G93" s="30" t="str">
        <f>IF(OR(Table1[[#This Row],[English]]&lt;&gt;"",Table1[[#This Row],[Français]]&lt;&gt;""),Table1[[#This Row],[Français]]&amp;"//"&amp;Table1[[#This Row],[English]],"")</f>
        <v>Droits de douane pour le matériel de transport//Custom duties on transportation equipment</v>
      </c>
      <c r="H93" s="31" t="str">
        <f t="shared" si="0"/>
        <v/>
      </c>
    </row>
    <row r="94" spans="1:8">
      <c r="A94" s="27" t="s">
        <v>107</v>
      </c>
      <c r="B94" s="27" t="s">
        <v>108</v>
      </c>
      <c r="C94" s="178"/>
      <c r="D94" s="27"/>
      <c r="E94" s="27"/>
      <c r="F94" s="29"/>
      <c r="G94" s="30" t="str">
        <f>IF(OR(Table1[[#This Row],[English]]&lt;&gt;"",Table1[[#This Row],[Français]]&lt;&gt;""),Table1[[#This Row],[Français]]&amp;"//"&amp;Table1[[#This Row],[English]],"")</f>
        <v>TVA//VAT</v>
      </c>
      <c r="H94" s="31" t="str">
        <f t="shared" si="0"/>
        <v/>
      </c>
    </row>
    <row r="95" spans="1:8" ht="50" customHeight="1">
      <c r="A95" s="27" t="s">
        <v>109</v>
      </c>
      <c r="B95" s="27" t="s">
        <v>110</v>
      </c>
      <c r="C95" s="178"/>
      <c r="D95" s="27"/>
      <c r="E95" s="27"/>
      <c r="F95" s="29"/>
      <c r="G95" s="30" t="str">
        <f>IF(OR(Table1[[#This Row],[English]]&lt;&gt;"",Table1[[#This Row],[Français]]&lt;&gt;""),Table1[[#This Row],[Français]]&amp;"//"&amp;Table1[[#This Row],[English]],"")</f>
        <v xml:space="preserve">Droits fixes d'octroi et de renouvellement des permis//Fixed fee for grant and renewal of license  </v>
      </c>
      <c r="H95" s="31" t="str">
        <f t="shared" si="0"/>
        <v/>
      </c>
    </row>
    <row r="96" spans="1:8">
      <c r="A96" s="27" t="s">
        <v>111</v>
      </c>
      <c r="B96" s="27" t="s">
        <v>112</v>
      </c>
      <c r="C96" s="178"/>
      <c r="D96" s="27"/>
      <c r="E96" s="27"/>
      <c r="F96" s="29"/>
      <c r="G96" s="30" t="str">
        <f>IF(OR(Table1[[#This Row],[English]]&lt;&gt;"",Table1[[#This Row],[Français]]&lt;&gt;""),Table1[[#This Row],[Français]]&amp;"//"&amp;Table1[[#This Row],[English]],"")</f>
        <v>Part patronale des cotisations de sécurité sociale//Social security contributions by employer</v>
      </c>
      <c r="H96" s="31" t="str">
        <f t="shared" ref="H96:H144" si="2">IF(C96&lt;&gt;"",IF(D96&lt;&gt;"",C96&amp;"--"&amp;D96,C96),"")</f>
        <v/>
      </c>
    </row>
    <row r="97" spans="1:8" ht="213.75" customHeight="1">
      <c r="A97" s="128" t="s">
        <v>113</v>
      </c>
      <c r="B97" s="128" t="s">
        <v>114</v>
      </c>
      <c r="C97" s="180" t="s">
        <v>894</v>
      </c>
      <c r="D97" s="27" t="s">
        <v>889</v>
      </c>
      <c r="E97" s="27" t="s">
        <v>890</v>
      </c>
      <c r="F97" s="129"/>
      <c r="G97" s="130" t="str">
        <f>IF(OR(Table1[[#This Row],[English]]&lt;&gt;"",Table1[[#This Row],[Français]]&lt;&gt;""),Table1[[#This Row],[Français]]&amp;"//"&amp;Table1[[#This Row],[English]],"")</f>
        <v>Redevances superficiaires//Surface fees</v>
      </c>
      <c r="H97" s="131" t="str">
        <f t="shared" si="2"/>
        <v>Koh Kong Sugar Industry Company shall pay the land fee annually from the fifth year from the signing date (02/08/2006) onwards. The land fee is, per hectare, US$ 1 for the years 5-15, US$ 2 for the years 16-30, US$ 3 for the years 31-50, and US$ 4 for the years 51-90. The fee shall be paid annually to the State budget through the account of the Ministry of Agriculture, Forestry and Fisheries no later than 31 January of each year. A 2% late fee will be charged monthly if there is delay in paying the fee. Koh Kong Sugar Industry Company agrees to pay the fee until the termination of the agreement.--Arts. 4, 7.1</v>
      </c>
    </row>
    <row r="98" spans="1:8">
      <c r="A98" s="27" t="s">
        <v>115</v>
      </c>
      <c r="B98" s="27" t="s">
        <v>116</v>
      </c>
      <c r="C98" s="178"/>
      <c r="D98" s="27"/>
      <c r="E98" s="27"/>
      <c r="F98" s="29"/>
      <c r="G98" s="30" t="str">
        <f>IF(OR(Table1[[#This Row],[English]]&lt;&gt;"",Table1[[#This Row],[Français]]&lt;&gt;""),Table1[[#This Row],[Français]]&amp;"//"&amp;Table1[[#This Row],[English]],"")</f>
        <v>Obligations communautaires ou sous-nationales//Community and regional obligations</v>
      </c>
      <c r="H98" s="31" t="str">
        <f t="shared" si="2"/>
        <v/>
      </c>
    </row>
    <row r="99" spans="1:8" ht="29" customHeight="1">
      <c r="A99" s="27" t="s">
        <v>198</v>
      </c>
      <c r="B99" s="27" t="s">
        <v>170</v>
      </c>
      <c r="C99" s="180"/>
      <c r="D99" s="10"/>
      <c r="E99" s="27"/>
      <c r="F99" s="29"/>
      <c r="G99" s="52" t="str">
        <f>IF(OR(Table1[[#This Row],[English]]&lt;&gt;"",Table1[[#This Row],[Français]]&lt;&gt;""),Table1[[#This Row],[Français]]&amp;"//"&amp;Table1[[#This Row],[English]],"")</f>
        <v>Crédits de carbone//Carbon credits</v>
      </c>
      <c r="H99" s="53" t="str">
        <f>IF(C99&lt;&gt;"",IF(D99&lt;&gt;"",C99&amp;"--"&amp;D99,C99),"")</f>
        <v/>
      </c>
    </row>
    <row r="100" spans="1:8">
      <c r="A100" s="85" t="s">
        <v>117</v>
      </c>
      <c r="B100" s="89" t="s">
        <v>118</v>
      </c>
      <c r="C100" s="176"/>
      <c r="D100" s="159"/>
      <c r="E100" s="159"/>
      <c r="F100" s="86"/>
      <c r="G100" s="87" t="str">
        <f>IF(OR(Table1[[#This Row],[English]]&lt;&gt;"",Table1[[#This Row],[Français]]&lt;&gt;""),Table1[[#This Row],[Français]]&amp;"//"&amp;Table1[[#This Row],[English]],"")</f>
        <v>Primes//Bonuses</v>
      </c>
      <c r="H100" s="88" t="str">
        <f t="shared" si="2"/>
        <v/>
      </c>
    </row>
    <row r="101" spans="1:8" ht="31.5" customHeight="1">
      <c r="A101" s="85" t="s">
        <v>119</v>
      </c>
      <c r="B101" s="89" t="s">
        <v>120</v>
      </c>
      <c r="C101" s="175"/>
      <c r="D101" s="151"/>
      <c r="E101" s="151"/>
      <c r="F101" s="86"/>
      <c r="G101" s="87" t="str">
        <f>IF(OR(Table1[[#This Row],[English]]&lt;&gt;"",Table1[[#This Row],[Français]]&lt;&gt;""),Table1[[#This Row],[Français]]&amp;"//"&amp;Table1[[#This Row],[English]],"")</f>
        <v>Participation de l'Etat//State participation</v>
      </c>
      <c r="H101" s="88" t="str">
        <f t="shared" si="2"/>
        <v/>
      </c>
    </row>
    <row r="102" spans="1:8">
      <c r="A102" s="85" t="s">
        <v>121</v>
      </c>
      <c r="B102" s="85" t="s">
        <v>122</v>
      </c>
      <c r="C102" s="176"/>
      <c r="D102" s="159"/>
      <c r="E102" s="159"/>
      <c r="F102" s="86"/>
      <c r="G102" s="87" t="str">
        <f>IF(OR(Table1[[#This Row],[English]]&lt;&gt;"",Table1[[#This Row],[Français]]&lt;&gt;""),Table1[[#This Row],[Français]]&amp;"//"&amp;Table1[[#This Row],[English]],"")</f>
        <v>Exonérations non-précisées ailleurs//Other exemptions</v>
      </c>
      <c r="H102" s="88" t="str">
        <f t="shared" si="2"/>
        <v/>
      </c>
    </row>
    <row r="103" spans="1:8" ht="39.75" customHeight="1">
      <c r="A103" s="104" t="s">
        <v>196</v>
      </c>
      <c r="B103" s="104" t="s">
        <v>195</v>
      </c>
      <c r="C103" s="175"/>
      <c r="D103" s="89"/>
      <c r="E103" s="89"/>
      <c r="F103" s="86"/>
      <c r="G103" s="87" t="str">
        <f>IF(OR(Table1[[#This Row],[English]]&lt;&gt;"",Table1[[#This Row],[Français]]&lt;&gt;""),Table1[[#This Row],[Français]]&amp;"//"&amp;Table1[[#This Row],[English]],"")</f>
        <v>Modes d'audit à l'égard des obligations financières du détenteur du titre//Audit mechanisms - financial obligations</v>
      </c>
      <c r="H103" s="88" t="str">
        <f t="shared" si="2"/>
        <v/>
      </c>
    </row>
    <row r="104" spans="1:8" ht="21.75" customHeight="1">
      <c r="A104" s="85" t="s">
        <v>123</v>
      </c>
      <c r="B104" s="85" t="s">
        <v>124</v>
      </c>
      <c r="C104" s="202"/>
      <c r="D104" s="151"/>
      <c r="E104" s="151"/>
      <c r="F104" s="86"/>
      <c r="G104" s="87" t="str">
        <f>IF(OR(Table1[[#This Row],[English]]&lt;&gt;"",Table1[[#This Row],[Français]]&lt;&gt;""),Table1[[#This Row],[Français]]&amp;"//"&amp;Table1[[#This Row],[English]],"")</f>
        <v>Restrictions sur les transactions avec les parties liées//Restrictions on transactions with affiliated parties</v>
      </c>
      <c r="H104" s="88" t="str">
        <f>IF(C104&lt;&gt;"",IF(D104&lt;&gt;"",C104&amp;"--"&amp;D104,C104),"")</f>
        <v/>
      </c>
    </row>
    <row r="105" spans="1:8" ht="27.75" customHeight="1">
      <c r="A105" s="83" t="s">
        <v>176</v>
      </c>
      <c r="B105" s="82" t="s">
        <v>174</v>
      </c>
      <c r="C105" s="175"/>
      <c r="D105" s="89"/>
      <c r="E105" s="151"/>
      <c r="F105" s="86"/>
      <c r="G105" s="87" t="str">
        <f>IF(OR(Table1[[#This Row],[English]]&lt;&gt;"",Table1[[#This Row],[Français]]&lt;&gt;""),Table1[[#This Row],[Français]]&amp;"//"&amp;Table1[[#This Row],[English]],"")</f>
        <v>Autre - [le nom de catégorie]//Other - [Name of Category]</v>
      </c>
      <c r="H105" s="88" t="str">
        <f t="shared" si="2"/>
        <v/>
      </c>
    </row>
    <row r="106" spans="1:8">
      <c r="A106" s="153"/>
      <c r="B106" s="34"/>
      <c r="C106" s="195"/>
      <c r="D106" s="152"/>
      <c r="E106" s="152"/>
      <c r="F106" s="15"/>
      <c r="G106" s="16" t="str">
        <f>IF(OR(Table1[[#This Row],[English]]&lt;&gt;"",Table1[[#This Row],[Français]]&lt;&gt;""),Table1[[#This Row],[Français]]&amp;"//"&amp;Table1[[#This Row],[English]],"")</f>
        <v/>
      </c>
      <c r="H106" s="35" t="str">
        <f t="shared" si="2"/>
        <v/>
      </c>
    </row>
    <row r="107" spans="1:8" ht="30">
      <c r="A107" s="62" t="s">
        <v>191</v>
      </c>
      <c r="B107" s="63" t="s">
        <v>125</v>
      </c>
      <c r="C107" s="167"/>
      <c r="D107" s="157"/>
      <c r="E107" s="157"/>
      <c r="F107" s="18"/>
      <c r="G107" s="19" t="str">
        <f>IF(OR(Table1[[#This Row],[English]]&lt;&gt;"",Table1[[#This Row],[Français]]&lt;&gt;""),Table1[[#This Row],[Français]]&amp;"//"&amp;Table1[[#This Row],[English]],"")</f>
        <v>4. Dispositions environnementales //4. Environmental provisions</v>
      </c>
      <c r="H107" s="20" t="str">
        <f t="shared" si="2"/>
        <v/>
      </c>
    </row>
    <row r="108" spans="1:8" ht="71" customHeight="1">
      <c r="A108" s="93" t="s">
        <v>212</v>
      </c>
      <c r="B108" s="93" t="s">
        <v>220</v>
      </c>
      <c r="C108" s="163"/>
      <c r="D108" s="71"/>
      <c r="E108" s="71"/>
      <c r="F108" s="68"/>
      <c r="G108" s="69"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8" s="70" t="str">
        <f t="shared" si="2"/>
        <v/>
      </c>
    </row>
    <row r="109" spans="1:8" ht="111.75" customHeight="1">
      <c r="A109" s="124" t="s">
        <v>214</v>
      </c>
      <c r="B109" s="124" t="s">
        <v>213</v>
      </c>
      <c r="C109" s="164" t="s">
        <v>872</v>
      </c>
      <c r="D109" s="10" t="s">
        <v>873</v>
      </c>
      <c r="E109" s="10" t="s">
        <v>870</v>
      </c>
      <c r="F109" s="142"/>
      <c r="G109" s="143"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9" s="144" t="str">
        <f t="shared" si="2"/>
        <v>Koh Kong Sugar Industry Company has an obligation to allow the Cambodian Ministry of Agriculture, Forestry and Fisheries and relevant institutions to monitor and evaluate its activities regarding environmental impact and subsequently follow their instructions to protect the environment--Art. 7.10</v>
      </c>
    </row>
    <row r="110" spans="1:8" ht="30">
      <c r="A110" s="94" t="s">
        <v>226</v>
      </c>
      <c r="B110" s="95" t="s">
        <v>180</v>
      </c>
      <c r="C110" s="173"/>
      <c r="D110" s="82"/>
      <c r="E110" s="94"/>
      <c r="F110" s="96"/>
      <c r="G110" s="97"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10" s="98" t="str">
        <f>IF(C110&lt;&gt;"",IF(D110&lt;&gt;"",C110&amp;"--"&amp;D110,C110),"")</f>
        <v/>
      </c>
    </row>
    <row r="111" spans="1:8" ht="115.5" customHeight="1">
      <c r="A111" s="118" t="s">
        <v>211</v>
      </c>
      <c r="B111" s="118" t="s">
        <v>210</v>
      </c>
      <c r="C111" s="180" t="s">
        <v>897</v>
      </c>
      <c r="D111" s="56" t="s">
        <v>871</v>
      </c>
      <c r="E111" s="194" t="s">
        <v>870</v>
      </c>
      <c r="F111" s="120"/>
      <c r="G111" s="121"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1" s="122" t="str">
        <f>IF(C111&lt;&gt;"",IF(D111&lt;&gt;"",C111&amp;"--"&amp;D111,C111),"")</f>
        <v>Koh Kong Sugar Industry Company has the obligation to implement business activities as planned including cultivation and maintenance by following sustainable conditions for natural resources of the location and environmental impact caused by business production--Art. 7.6</v>
      </c>
    </row>
    <row r="112" spans="1:8" ht="45" customHeight="1">
      <c r="A112" s="83" t="s">
        <v>240</v>
      </c>
      <c r="B112" s="82" t="s">
        <v>239</v>
      </c>
      <c r="C112" s="163"/>
      <c r="D112" s="76"/>
      <c r="E112" s="76"/>
      <c r="F112" s="68"/>
      <c r="G112" s="69" t="str">
        <f>IF(OR(Table1[[#This Row],[English]]&lt;&gt;"",Table1[[#This Row],[Français]]&lt;&gt;""),Table1[[#This Row],[Français]]&amp;"//"&amp;Table1[[#This Row],[English]],"")</f>
        <v>Autre - [Responsabilité environnementale]//Other - [Environmental liability]</v>
      </c>
      <c r="H112" s="70" t="str">
        <f t="shared" si="2"/>
        <v/>
      </c>
    </row>
    <row r="113" spans="1:8">
      <c r="A113" s="37"/>
      <c r="B113" s="38"/>
      <c r="C113" s="182"/>
      <c r="D113" s="198"/>
      <c r="E113" s="198"/>
      <c r="F113" s="15"/>
      <c r="G113" s="16" t="str">
        <f>IF(OR(Table1[[#This Row],[English]]&lt;&gt;"",Table1[[#This Row],[Français]]&lt;&gt;""),Table1[[#This Row],[Français]]&amp;"//"&amp;Table1[[#This Row],[English]],"")</f>
        <v/>
      </c>
      <c r="H113" s="17" t="str">
        <f t="shared" si="2"/>
        <v/>
      </c>
    </row>
    <row r="114" spans="1:8" ht="45">
      <c r="A114" s="62" t="s">
        <v>183</v>
      </c>
      <c r="B114" s="18" t="s">
        <v>126</v>
      </c>
      <c r="C114" s="167"/>
      <c r="D114" s="157"/>
      <c r="E114" s="157"/>
      <c r="F114" s="18"/>
      <c r="G114" s="19" t="str">
        <f>IF(OR(Table1[[#This Row],[English]]&lt;&gt;"",Table1[[#This Row],[Français]]&lt;&gt;""),Table1[[#This Row],[Français]]&amp;"//"&amp;Table1[[#This Row],[English]],"")</f>
        <v>5. Dispositions relatives aux opérations et à l’infrastructure//5. Operational provisions</v>
      </c>
      <c r="H114" s="20" t="str">
        <f t="shared" si="2"/>
        <v/>
      </c>
    </row>
    <row r="115" spans="1:8" ht="45">
      <c r="A115" s="55" t="s">
        <v>181</v>
      </c>
      <c r="B115" s="64" t="s">
        <v>182</v>
      </c>
      <c r="C115" s="183"/>
      <c r="D115" s="65"/>
      <c r="E115" s="64"/>
      <c r="F115" s="64"/>
      <c r="G115" s="66" t="str">
        <f>IF(OR(Table1[[#This Row],[English]]&lt;&gt;"",Table1[[#This Row],[Français]]&lt;&gt;""),Table1[[#This Row],[Français]]&amp;"//"&amp;Table1[[#This Row],[English]],"")</f>
        <v>L'étude de faisabilité et le plan d'affaires//Feasibility studies and requirement of business plan</v>
      </c>
      <c r="H115" s="53" t="str">
        <f>IF(C115&lt;&gt;"",IF(D115&lt;&gt;"",C115&amp;"--"&amp;D115,C115),"")</f>
        <v/>
      </c>
    </row>
    <row r="116" spans="1:8" ht="27.75" customHeight="1">
      <c r="A116" s="93" t="s">
        <v>127</v>
      </c>
      <c r="B116" s="99" t="s">
        <v>128</v>
      </c>
      <c r="C116" s="163"/>
      <c r="D116" s="76"/>
      <c r="E116" s="76"/>
      <c r="F116" s="68"/>
      <c r="G116" s="69" t="str">
        <f>IF(OR(Table1[[#This Row],[English]]&lt;&gt;"",Table1[[#This Row],[Français]]&lt;&gt;""),Table1[[#This Row],[Français]]&amp;"//"&amp;Table1[[#This Row],[English]],"")</f>
        <v>Obligations de travaux, d'investissements//Work and investment commitments</v>
      </c>
      <c r="H116" s="70" t="str">
        <f t="shared" si="2"/>
        <v/>
      </c>
    </row>
    <row r="117" spans="1:8">
      <c r="A117" s="36" t="s">
        <v>129</v>
      </c>
      <c r="B117" s="36" t="s">
        <v>130</v>
      </c>
      <c r="C117" s="184"/>
      <c r="D117" s="10"/>
      <c r="E117" s="10"/>
      <c r="F117" s="11"/>
      <c r="G117" s="12" t="str">
        <f>IF(OR(Table1[[#This Row],[English]]&lt;&gt;"",Table1[[#This Row],[Français]]&lt;&gt;""),Table1[[#This Row],[Français]]&amp;"//"&amp;Table1[[#This Row],[English]],"")</f>
        <v>Rétrocession//Transfer of risk</v>
      </c>
      <c r="H117" s="13" t="str">
        <f t="shared" si="2"/>
        <v/>
      </c>
    </row>
    <row r="118" spans="1:8" ht="159.75" customHeight="1">
      <c r="A118" s="67" t="s">
        <v>131</v>
      </c>
      <c r="B118" s="67" t="s">
        <v>132</v>
      </c>
      <c r="C118" s="163" t="s">
        <v>876</v>
      </c>
      <c r="D118" s="155" t="s">
        <v>874</v>
      </c>
      <c r="E118" s="155" t="s">
        <v>875</v>
      </c>
      <c r="F118" s="68"/>
      <c r="G118" s="69" t="str">
        <f>IF(OR(Table1[[#This Row],[English]]&lt;&gt;"",Table1[[#This Row],[Français]]&lt;&gt;""),Table1[[#This Row],[Français]]&amp;"//"&amp;Table1[[#This Row],[English]],"")</f>
        <v>Construction et entretien d'infrastructure//Construction and maintenance of infrastructure</v>
      </c>
      <c r="H118" s="70" t="str">
        <f t="shared" si="2"/>
        <v>Koh Kong Sugar Industry Company shall be allowed to carry out all construction activities on the location in accordance with the laws in force of the Kingdom of Cambodia and in harmony with the objectives article 3 (article 3 outlines the production-business goal and location usage schedule). All construction of infrastructure such as dams and canals that may affect the surrounding areas shall be permitted by the Cambodian Ministry of Agriculture, Forestry and Fisheries and relevant institutions.--Art. 8</v>
      </c>
    </row>
    <row r="119" spans="1:8" ht="15" customHeight="1">
      <c r="A119" s="10" t="s">
        <v>203</v>
      </c>
      <c r="B119" s="10" t="s">
        <v>133</v>
      </c>
      <c r="C119" s="172"/>
      <c r="D119" s="10"/>
      <c r="E119" s="10"/>
      <c r="F119" s="11"/>
      <c r="G119" s="12" t="str">
        <f>IF(OR(Table1[[#This Row],[English]]&lt;&gt;"",Table1[[#This Row],[Français]]&lt;&gt;""),Table1[[#This Row],[Français]]&amp;"//"&amp;Table1[[#This Row],[English]],"")</f>
        <v>Commercialisation et accès gouvernemental à la production //Marketing of output and state access to output</v>
      </c>
      <c r="H119" s="13" t="str">
        <f t="shared" si="2"/>
        <v/>
      </c>
    </row>
    <row r="120" spans="1:8">
      <c r="A120" s="113" t="s">
        <v>134</v>
      </c>
      <c r="B120" s="114" t="s">
        <v>135</v>
      </c>
      <c r="C120" s="185"/>
      <c r="D120" s="112"/>
      <c r="E120" s="112"/>
      <c r="F120" s="115"/>
      <c r="G120" s="116" t="str">
        <f>IF(OR(Table1[[#This Row],[English]]&lt;&gt;"",Table1[[#This Row],[Français]]&lt;&gt;""),Table1[[#This Row],[Français]]&amp;"//"&amp;Table1[[#This Row],[English]],"")</f>
        <v>Utilisation d’infrastructure par les tiers//Third party use of infrastructure</v>
      </c>
      <c r="H120" s="117" t="str">
        <f t="shared" si="2"/>
        <v/>
      </c>
    </row>
    <row r="121" spans="1:8">
      <c r="A121" s="39" t="s">
        <v>136</v>
      </c>
      <c r="B121" s="33" t="s">
        <v>137</v>
      </c>
      <c r="C121" s="164"/>
      <c r="D121" s="10"/>
      <c r="E121" s="10"/>
      <c r="F121" s="11"/>
      <c r="G121" s="12" t="str">
        <f>IF(OR(Table1[[#This Row],[English]]&lt;&gt;"",Table1[[#This Row],[Français]]&lt;&gt;""),Table1[[#This Row],[Français]]&amp;"//"&amp;Table1[[#This Row],[English]],"")</f>
        <v>Financement d’infrastructure//Financing of infrastructure</v>
      </c>
      <c r="H121" s="13" t="str">
        <f t="shared" si="2"/>
        <v/>
      </c>
    </row>
    <row r="122" spans="1:8" ht="148.5" customHeight="1">
      <c r="A122" s="39" t="s">
        <v>138</v>
      </c>
      <c r="B122" s="33" t="s">
        <v>139</v>
      </c>
      <c r="C122" s="164" t="s">
        <v>895</v>
      </c>
      <c r="D122" s="10" t="s">
        <v>877</v>
      </c>
      <c r="E122" s="10" t="s">
        <v>878</v>
      </c>
      <c r="F122" s="11"/>
      <c r="G122" s="12" t="str">
        <f>IF(OR(Table1[[#This Row],[English]]&lt;&gt;"",Table1[[#This Row],[Français]]&lt;&gt;""),Table1[[#This Row],[Français]]&amp;"//"&amp;Table1[[#This Row],[English]],"")</f>
        <v>Propriété d’infrastructure//Ownership of infrastructure</v>
      </c>
      <c r="H122" s="13" t="str">
        <f t="shared" si="2"/>
        <v>All building and infrastructure constructed by Koh Kong Sugar Industry Company shall be under the control of Koh Kong Sugar Industry Company until the termination of the agreement. All machinery, equipment and vehicles used by Koh Kong Sugar Industry Company for the activities specified in the agreement, including boats for storing machinery, freighters and accessories, shall belong to Koh Kong Sugar Industry Company.--Art. 9</v>
      </c>
    </row>
    <row r="123" spans="1:8">
      <c r="A123" s="28" t="s">
        <v>197</v>
      </c>
      <c r="B123" s="27" t="s">
        <v>194</v>
      </c>
      <c r="C123" s="178"/>
      <c r="D123" s="27"/>
      <c r="E123" s="27"/>
      <c r="F123" s="29"/>
      <c r="G123" s="30" t="str">
        <f>IF(OR(Table1[[#This Row],[English]]&lt;&gt;"",Table1[[#This Row],[Français]]&lt;&gt;""),Table1[[#This Row],[Français]]&amp;"//"&amp;Table1[[#This Row],[English]],"")</f>
        <v>Modes d'audit à l'égard des dispositions opérationnelles//Audit mechanisms - operational obligations</v>
      </c>
      <c r="H123" s="31" t="str">
        <f t="shared" si="2"/>
        <v/>
      </c>
    </row>
    <row r="124" spans="1:8">
      <c r="A124" s="54" t="s">
        <v>179</v>
      </c>
      <c r="B124" s="55" t="s">
        <v>171</v>
      </c>
      <c r="C124" s="180"/>
      <c r="D124" s="56"/>
      <c r="E124" s="194"/>
      <c r="F124" s="54"/>
      <c r="G124" s="52" t="str">
        <f>IF(OR(Table1[[#This Row],[English]]&lt;&gt;"",Table1[[#This Row],[Français]]&lt;&gt;""),Table1[[#This Row],[Français]]&amp;"//"&amp;Table1[[#This Row],[English]],"")</f>
        <v>Activité de beneficiation/ valeur ajoutée//Value addition/downstream activities</v>
      </c>
      <c r="H124" s="53" t="str">
        <f>IF(C124&lt;&gt;"",IF(D124&lt;&gt;"",C124&amp;"--"&amp;D124,C124),"")</f>
        <v/>
      </c>
    </row>
    <row r="125" spans="1:8" ht="115.5" customHeight="1">
      <c r="A125" s="137" t="s">
        <v>227</v>
      </c>
      <c r="B125" s="138" t="s">
        <v>172</v>
      </c>
      <c r="C125" s="186" t="s">
        <v>900</v>
      </c>
      <c r="D125" s="136" t="s">
        <v>901</v>
      </c>
      <c r="E125" s="137" t="s">
        <v>863</v>
      </c>
      <c r="F125" s="139"/>
      <c r="G125" s="140"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5" s="141" t="str">
        <f>IF(C125&lt;&gt;"",IF(D125&lt;&gt;"",C125&amp;"--"&amp;D125,C125),"")</f>
        <v>The land that is legally owned by local residents is not available for Koh Kong Sugar Industry Company unless a mutual agreement is reached. In the event of an illegal violation of the ownership of this land, Koh Kong Sugar Industry Company reserves the right to file a lawsuit with the competent institution. --Art. 1.2</v>
      </c>
    </row>
    <row r="126" spans="1:8" ht="24.75" customHeight="1">
      <c r="A126" s="83" t="s">
        <v>176</v>
      </c>
      <c r="B126" s="203" t="s">
        <v>174</v>
      </c>
      <c r="C126" s="173"/>
      <c r="D126" s="82"/>
      <c r="E126" s="94"/>
      <c r="F126" s="96"/>
      <c r="G126" s="97" t="str">
        <f>IF(OR(Table1[[#This Row],[English]]&lt;&gt;"",Table1[[#This Row],[Français]]&lt;&gt;""),Table1[[#This Row],[Français]]&amp;"//"&amp;Table1[[#This Row],[English]],"")</f>
        <v>Autre - [le nom de catégorie]//Other - [Name of Category]</v>
      </c>
      <c r="H126" s="98" t="str">
        <f>IF(C126&lt;&gt;"",IF(D126&lt;&gt;"",C126&amp;"--"&amp;D126,C126),"")</f>
        <v/>
      </c>
    </row>
    <row r="127" spans="1:8" ht="27" customHeight="1">
      <c r="A127" s="199"/>
      <c r="B127" s="40"/>
      <c r="C127" s="200"/>
      <c r="D127" s="201"/>
      <c r="E127" s="201"/>
      <c r="F127" s="15"/>
      <c r="G127" s="16" t="str">
        <f>IF(OR(Table1[[#This Row],[English]]&lt;&gt;"",Table1[[#This Row],[Français]]&lt;&gt;""),Table1[[#This Row],[Français]]&amp;"//"&amp;Table1[[#This Row],[English]],"")</f>
        <v/>
      </c>
      <c r="H127" s="17" t="str">
        <f t="shared" si="2"/>
        <v/>
      </c>
    </row>
    <row r="128" spans="1:8" ht="30">
      <c r="A128" s="21" t="s">
        <v>140</v>
      </c>
      <c r="B128" s="21" t="s">
        <v>141</v>
      </c>
      <c r="C128" s="167"/>
      <c r="D128" s="157"/>
      <c r="E128" s="157"/>
      <c r="F128" s="18"/>
      <c r="G128" s="19" t="str">
        <f>IF(OR(Table1[[#This Row],[English]]&lt;&gt;"",Table1[[#This Row],[Français]]&lt;&gt;""),Table1[[#This Row],[Français]]&amp;"//"&amp;Table1[[#This Row],[English]],"")</f>
        <v>6. Dispositions diverses//6. Miscellaneous provisions</v>
      </c>
      <c r="H128" s="20" t="str">
        <f t="shared" si="2"/>
        <v/>
      </c>
    </row>
    <row r="129" spans="1:8" ht="59.25" customHeight="1">
      <c r="A129" s="99" t="s">
        <v>142</v>
      </c>
      <c r="B129" s="93" t="s">
        <v>143</v>
      </c>
      <c r="C129" s="163" t="s">
        <v>879</v>
      </c>
      <c r="D129" s="71" t="s">
        <v>880</v>
      </c>
      <c r="E129" s="71" t="s">
        <v>881</v>
      </c>
      <c r="F129" s="68"/>
      <c r="G129" s="69" t="str">
        <f>IF(OR(Table1[[#This Row],[English]]&lt;&gt;"",Table1[[#This Row],[Français]]&lt;&gt;""),Table1[[#This Row],[Français]]&amp;"//"&amp;Table1[[#This Row],[English]],"")</f>
        <v>Loi applicable en cas des différends//Governing law in case of dispute</v>
      </c>
      <c r="H129" s="70" t="str">
        <f t="shared" si="2"/>
        <v>The arbitration proceedings shall follow the arbitration rules of the United Nations Commission on International Trade Law (UNCITRAL)--Art. 11.4</v>
      </c>
    </row>
    <row r="130" spans="1:8" ht="246.75" customHeight="1">
      <c r="A130" s="99" t="s">
        <v>144</v>
      </c>
      <c r="B130" s="85" t="s">
        <v>145</v>
      </c>
      <c r="C130" s="163" t="s">
        <v>883</v>
      </c>
      <c r="D130" s="76" t="s">
        <v>882</v>
      </c>
      <c r="E130" s="76" t="s">
        <v>881</v>
      </c>
      <c r="F130" s="68"/>
      <c r="G130" s="69" t="str">
        <f>IF(OR(Table1[[#This Row],[English]]&lt;&gt;"",Table1[[#This Row],[Français]]&lt;&gt;""),Table1[[#This Row],[Français]]&amp;"//"&amp;Table1[[#This Row],[English]],"")</f>
        <v>Arbitrage et règlement des différends//Arbitration and dispute resolution</v>
      </c>
      <c r="H130" s="70" t="str">
        <f t="shared" si="2"/>
        <v>In case of disputes during the execution of the agreement, the two parties shall mediate and settle the dispute based on the rights and obligation of each party as set out in the agreement. If the parties cannot mediate or settle the dispute within 60 days, the dispute shall be submitted to the Council for the Development of Cambodia for mediation and reconciliation. If the dispute cannot be settled by the Council for the Development of Cambodia within 60 days, either party shall have the right to refer to the arbitration. Any decision or award given by the arbitrators shall be final, conclusive and binding on the parties.--Art. 11</v>
      </c>
    </row>
    <row r="131" spans="1:8" ht="41.25" customHeight="1">
      <c r="A131" s="99" t="s">
        <v>146</v>
      </c>
      <c r="B131" s="93" t="s">
        <v>147</v>
      </c>
      <c r="C131" s="175"/>
      <c r="D131" s="71"/>
      <c r="E131" s="71"/>
      <c r="F131" s="68"/>
      <c r="G131" s="69" t="str">
        <f>IF(OR(Table1[[#This Row],[English]]&lt;&gt;"",Table1[[#This Row],[Français]]&lt;&gt;""),Table1[[#This Row],[Français]]&amp;"//"&amp;Table1[[#This Row],[English]],"")</f>
        <v>Clause de stabilisation//Stabilization clause</v>
      </c>
      <c r="H131" s="70" t="str">
        <f t="shared" si="2"/>
        <v/>
      </c>
    </row>
    <row r="132" spans="1:8" ht="289.5" customHeight="1">
      <c r="A132" s="36" t="s">
        <v>148</v>
      </c>
      <c r="B132" s="10" t="s">
        <v>149</v>
      </c>
      <c r="C132" s="164" t="s">
        <v>898</v>
      </c>
      <c r="D132" s="10" t="s">
        <v>884</v>
      </c>
      <c r="E132" s="10" t="s">
        <v>867</v>
      </c>
      <c r="F132" s="11"/>
      <c r="G132" s="12" t="str">
        <f>IF(OR(Table1[[#This Row],[English]]&lt;&gt;"",Table1[[#This Row],[Français]]&lt;&gt;""),Table1[[#This Row],[Français]]&amp;"//"&amp;Table1[[#This Row],[English]],"")</f>
        <v>Cession / transfert//Assignment / transfer</v>
      </c>
      <c r="H132" s="13" t="str">
        <f t="shared" si="2"/>
        <v>Koh Kong Sugar Industry Company is entitled to make a transfer to its successors. Legal successors refer to individuals who have been authorized by the law in force to inherit from Koh Kong Sugar Industry Company, or those individuals recognized by the law to as its affinity. Notification on rights transfer or any decision regarding the handover to the successors shall be given to the Cambodian Ministry of Agriculture, Forestry and Fisheries at least 6 months before the execution. If Koh Kong Sugar Industry Company transfers the agreement, it shall be in accord with the investment law of the Kingdom of Cambodia and have obtained the approval of the Council for the Development of Cambodia at the request of the Cambodian Ministry of Agriculture, Forestry and Fisheries.--Art. 5</v>
      </c>
    </row>
    <row r="133" spans="1:8" ht="409">
      <c r="A133" s="36" t="s">
        <v>228</v>
      </c>
      <c r="B133" s="10" t="s">
        <v>150</v>
      </c>
      <c r="C133" s="164" t="s">
        <v>904</v>
      </c>
      <c r="D133" s="10" t="s">
        <v>903</v>
      </c>
      <c r="E133" s="10" t="s">
        <v>902</v>
      </c>
      <c r="F133" s="11"/>
      <c r="G133" s="12" t="str">
        <f>IF(OR(Table1[[#This Row],[English]]&lt;&gt;"",Table1[[#This Row],[Français]]&lt;&gt;""),Table1[[#This Row],[Français]]&amp;"//"&amp;Table1[[#This Row],[English]],"")</f>
        <v>Annulation / Résiliation //Cancellation / termination</v>
      </c>
      <c r="H133" s="13" t="str">
        <f t="shared" si="2"/>
        <v>If Koh Kong Sugar Industry Company faces a situation beyond its control, it has the right to withdraw from the whole project or part of the project, provided it has received approval for the withdrawal from the Cambodian Ministry of Agriculture, Forestry and Fisheries. If Koh Kong Sugar Industry Company withdraws without approval, it shall be held responsible according to the Investment Law of the Kingdom of Cambodia. If Koh Kong Sugar Industry Company fails to use its best effort to implement the activities set out in the agreement within 1 year starting from the completion of the survey specified in article 1.4, the Cambodian Ministry of Agriculture, Forestry and Fisheries shall have the right to terminate the agreement unconditionally and without compensation for damages. The deposit paid by Koh Kong Sugar Industry Company will also become State property. If the Cambodian Ministry of Agriculture, Forestry and Fisheries is not able to perform its duties in relation to providing interventions to address any problems involving those who commit offense and violate the rights of Koh Kong Sugar Industry Company and resolving conflict pursuant to article 6, Koh Kong Sugar Industry Company shall have the right to terminate the agreement. If the agreement is terminated, Koh Kong Sugar Industry Company has the right to harvest the principle crops product (sugar cane) of the last season.C65--Arts. 10, 6.2</v>
      </c>
    </row>
    <row r="134" spans="1:8">
      <c r="A134" s="33" t="s">
        <v>151</v>
      </c>
      <c r="B134" s="33" t="s">
        <v>152</v>
      </c>
      <c r="C134" s="164"/>
      <c r="D134" s="10"/>
      <c r="E134" s="10"/>
      <c r="F134" s="11"/>
      <c r="G134" s="12" t="str">
        <f>IF(OR(Table1[[#This Row],[English]]&lt;&gt;"",Table1[[#This Row],[Français]]&lt;&gt;""),Table1[[#This Row],[Français]]&amp;"//"&amp;Table1[[#This Row],[English]],"")</f>
        <v>Indemnisation//Indemnification</v>
      </c>
      <c r="H134" s="13" t="str">
        <f t="shared" si="2"/>
        <v/>
      </c>
    </row>
    <row r="135" spans="1:8" ht="54" customHeight="1">
      <c r="A135" s="100" t="s">
        <v>153</v>
      </c>
      <c r="B135" s="76" t="s">
        <v>154</v>
      </c>
      <c r="C135" s="196"/>
      <c r="D135" s="71"/>
      <c r="E135" s="71"/>
      <c r="F135" s="68"/>
      <c r="G135" s="69" t="str">
        <f>IF(OR(Table1[[#This Row],[English]]&lt;&gt;"",Table1[[#This Row],[Français]]&lt;&gt;""),Table1[[#This Row],[Français]]&amp;"//"&amp;Table1[[#This Row],[English]],"")</f>
        <v>Confidentialité//Confidentiality</v>
      </c>
      <c r="H135" s="70" t="str">
        <f t="shared" si="2"/>
        <v/>
      </c>
    </row>
    <row r="136" spans="1:8">
      <c r="A136" s="100" t="s">
        <v>155</v>
      </c>
      <c r="B136" s="76" t="s">
        <v>156</v>
      </c>
      <c r="C136" s="175" t="s">
        <v>758</v>
      </c>
      <c r="D136" s="71"/>
      <c r="E136" s="71"/>
      <c r="F136" s="204" t="s">
        <v>908</v>
      </c>
      <c r="G136" s="69" t="str">
        <f>IF(OR(Table1[[#This Row],[English]]&lt;&gt;"",Table1[[#This Row],[Français]]&lt;&gt;""),Table1[[#This Row],[Français]]&amp;"//"&amp;Table1[[#This Row],[English]],"")</f>
        <v>Langue//Language</v>
      </c>
      <c r="H136" s="70" t="str">
        <f>IF(C136&lt;&gt;"",IF(D136&lt;&gt;"",C136&amp;"--"&amp;D136,C136),"")</f>
        <v>ENG</v>
      </c>
    </row>
    <row r="137" spans="1:8" ht="173.25" customHeight="1">
      <c r="A137" s="10" t="s">
        <v>238</v>
      </c>
      <c r="B137" s="10" t="s">
        <v>188</v>
      </c>
      <c r="C137" s="164" t="s">
        <v>899</v>
      </c>
      <c r="D137" s="10" t="s">
        <v>891</v>
      </c>
      <c r="E137" s="10" t="s">
        <v>892</v>
      </c>
      <c r="F137" s="11"/>
      <c r="G137" s="42" t="str">
        <f>IF(OR(Table1[[#This Row],[English]]&lt;&gt;"",Table1[[#This Row],[Français]]&lt;&gt;""),Table1[[#This Row],[Français]]&amp;"//"&amp;Table1[[#This Row],[English]],"")</f>
        <v>Obligations de reporting et autres méthodes de contrôle de la conformité//Reporting Requirements and other methods of monitoring compliance</v>
      </c>
      <c r="H137" s="51" t="str">
        <f>IF(C137&lt;&gt;"",IF(D137&lt;&gt;"",C137&amp;"--"&amp;D137,C137),"")</f>
        <v>The Cambodian Ministry of Agriculture, Forestry and Fisheries has the right to monitor the implementation of the agreement, and the technical work and business production program of Koh Kong Sugar Industry Company.  Koh Kong Sugar Industry Company has an obligation to report to the Cambodian Ministry of Agriculture, Forestry and Fisheries the achievement of the implementation of the investment works in semi-annual and annual periods.--Arts. 6.3, 7.11</v>
      </c>
    </row>
    <row r="138" spans="1:8" ht="180" customHeight="1">
      <c r="A138" s="124" t="s">
        <v>222</v>
      </c>
      <c r="B138" s="124" t="s">
        <v>221</v>
      </c>
      <c r="C138" s="164" t="s">
        <v>896</v>
      </c>
      <c r="D138" s="10" t="s">
        <v>885</v>
      </c>
      <c r="E138" s="10" t="s">
        <v>886</v>
      </c>
      <c r="F138" s="11"/>
      <c r="G138" s="12" t="str">
        <f>IF(OR(Table1[[#This Row],[English]]&lt;&gt;"",Table1[[#This Row],[Français]]&lt;&gt;""),Table1[[#This Row],[Français]]&amp;"//"&amp;Table1[[#This Row],[English]],"")</f>
        <v>Clause de hardship ou force majeure//Hardship clause or force majeure</v>
      </c>
      <c r="H138" s="13" t="str">
        <f t="shared" si="2"/>
        <v>"Force majeure" refers to fire, flood, storm, war, earthquake, civil unrest, insurgency, strike, explosion, epidemic and other events or circumstances beyond the control of the two parties. If Koh Kong Sugar Industry Company is not able to perform its duties in part or in whole pursuant to the terms and conditions of this agreement due to force majeure, it shall notify the Cambodian Ministry of Agriculture, Forestry and Fisheries in writing, specifying the reasons and its obligations shall be temporarily suspended during this period. --Art. 15</v>
      </c>
    </row>
    <row r="139" spans="1:8">
      <c r="A139" s="10" t="s">
        <v>175</v>
      </c>
      <c r="B139" s="124" t="s">
        <v>173</v>
      </c>
      <c r="C139" s="191"/>
      <c r="D139" s="33"/>
      <c r="E139" s="33"/>
      <c r="F139" s="41"/>
      <c r="G139" s="42" t="str">
        <f>IF(OR(Table1[[#This Row],[English]]&lt;&gt;"",Table1[[#This Row],[Français]]&lt;&gt;""),Table1[[#This Row],[Français]]&amp;"//"&amp;Table1[[#This Row],[English]],"")</f>
        <v>Expropriation//Expropriation / nationalization</v>
      </c>
      <c r="H139" s="43" t="str">
        <f t="shared" si="2"/>
        <v/>
      </c>
    </row>
    <row r="140" spans="1:8">
      <c r="A140" s="83" t="s">
        <v>176</v>
      </c>
      <c r="B140" s="82" t="s">
        <v>174</v>
      </c>
      <c r="C140" s="187"/>
      <c r="D140" s="197"/>
      <c r="E140" s="160"/>
      <c r="F140" s="101"/>
      <c r="G140" s="102" t="str">
        <f>IF(OR(Table1[[#This Row],[English]]&lt;&gt;"",Table1[[#This Row],[Français]]&lt;&gt;""),Table1[[#This Row],[Français]]&amp;"//"&amp;Table1[[#This Row],[English]],"")</f>
        <v>Autre - [le nom de catégorie]//Other - [Name of Category]</v>
      </c>
      <c r="H140" s="103" t="str">
        <f>IF(C140&lt;&gt;"",IF(D140&lt;&gt;"",C140&amp;"--"&amp;D140,C140),"")</f>
        <v/>
      </c>
    </row>
    <row r="141" spans="1:8">
      <c r="A141" s="44"/>
      <c r="B141" s="14"/>
      <c r="C141" s="192"/>
      <c r="D141" s="156"/>
      <c r="E141" s="156"/>
      <c r="F141" s="15"/>
      <c r="G141" s="16" t="str">
        <f>IF(OR(Table1[[#This Row],[English]]&lt;&gt;"",Table1[[#This Row],[Français]]&lt;&gt;""),Table1[[#This Row],[Français]]&amp;"//"&amp;Table1[[#This Row],[English]],"")</f>
        <v/>
      </c>
      <c r="H141" s="17" t="str">
        <f t="shared" si="2"/>
        <v/>
      </c>
    </row>
    <row r="142" spans="1:8" ht="30">
      <c r="A142" s="21" t="s">
        <v>157</v>
      </c>
      <c r="B142" s="21" t="s">
        <v>158</v>
      </c>
      <c r="C142" s="188"/>
      <c r="D142" s="161"/>
      <c r="E142" s="161"/>
      <c r="F142" s="21"/>
      <c r="G142" s="45" t="str">
        <f>IF(OR(Table1[[#This Row],[English]]&lt;&gt;"",Table1[[#This Row],[Français]]&lt;&gt;""),Table1[[#This Row],[Français]]&amp;"//"&amp;Table1[[#This Row],[English]],"")</f>
        <v>III. Notes sur le document//III. Document notes</v>
      </c>
      <c r="H142" s="46" t="str">
        <f t="shared" si="2"/>
        <v/>
      </c>
    </row>
    <row r="143" spans="1:8">
      <c r="A143" s="10" t="s">
        <v>159</v>
      </c>
      <c r="B143" s="10" t="s">
        <v>160</v>
      </c>
      <c r="C143" s="189"/>
      <c r="D143" s="33"/>
      <c r="E143" s="33"/>
      <c r="F143" s="41"/>
      <c r="G143" s="42" t="str">
        <f>IF(OR(Table1[[#This Row],[English]]&lt;&gt;"",Table1[[#This Row],[Français]]&lt;&gt;""),Table1[[#This Row],[Français]]&amp;"//"&amp;Table1[[#This Row],[English]],"")</f>
        <v>Pages Manquantes de la copie//Pages missing from  copy</v>
      </c>
      <c r="H143" s="43" t="str">
        <f t="shared" si="2"/>
        <v/>
      </c>
    </row>
    <row r="144" spans="1:8" ht="30">
      <c r="A144" s="10" t="s">
        <v>161</v>
      </c>
      <c r="B144" s="10" t="s">
        <v>162</v>
      </c>
      <c r="C144" s="164" t="s">
        <v>847</v>
      </c>
      <c r="D144" s="220" t="s">
        <v>845</v>
      </c>
      <c r="E144" s="220" t="s">
        <v>846</v>
      </c>
      <c r="F144" s="22"/>
      <c r="G144" s="23" t="str">
        <f>IF(OR(Table1[[#This Row],[English]]&lt;&gt;"",Table1[[#This Row],[Français]]&lt;&gt;""),Table1[[#This Row],[Français]]&amp;"//"&amp;Table1[[#This Row],[English]],"")</f>
        <v>Annexes Manquantes de la copie//Annexes missing from copy</v>
      </c>
      <c r="H144" s="13" t="str">
        <f t="shared" si="2"/>
        <v>Map of concession land--Art. 1</v>
      </c>
    </row>
    <row r="148" spans="1:8">
      <c r="A148"/>
      <c r="B148"/>
      <c r="C148"/>
      <c r="D148"/>
      <c r="G148"/>
      <c r="H148"/>
    </row>
    <row r="149" spans="1:8">
      <c r="A149"/>
      <c r="B149"/>
      <c r="C149"/>
      <c r="D149"/>
      <c r="G149"/>
      <c r="H149"/>
    </row>
    <row r="150" spans="1:8">
      <c r="A150"/>
      <c r="B150"/>
      <c r="C150"/>
      <c r="D150"/>
      <c r="G150"/>
      <c r="H150"/>
    </row>
    <row r="151" spans="1:8">
      <c r="A151"/>
      <c r="B151"/>
      <c r="C151"/>
      <c r="D151"/>
      <c r="G151"/>
      <c r="H151"/>
    </row>
  </sheetData>
  <mergeCells count="3">
    <mergeCell ref="B16:C16"/>
    <mergeCell ref="G16:H16"/>
    <mergeCell ref="C12:D12"/>
  </mergeCells>
  <phoneticPr fontId="16" type="noConversion"/>
  <dataValidations count="3">
    <dataValidation type="list" allowBlank="1" showInputMessage="1" showErrorMessage="1" sqref="C19">
      <formula1>countries</formula1>
    </dataValidation>
    <dataValidation type="list" allowBlank="1" showInputMessage="1" showErrorMessage="1" sqref="C27">
      <formula1>license_type</formula1>
    </dataValidation>
    <dataValidation type="list" allowBlank="1" showInputMessage="1" showErrorMessage="1" sqref="C136">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tabSelected="1" workbookViewId="0">
      <selection activeCell="B7" sqref="B7"/>
    </sheetView>
  </sheetViews>
  <sheetFormatPr baseColWidth="10" defaultColWidth="8.6640625" defaultRowHeight="16" x14ac:dyDescent="0"/>
  <cols>
    <col min="1" max="1" width="30.5" customWidth="1"/>
    <col min="2" max="2" width="31.83203125" style="213" customWidth="1"/>
    <col min="3" max="3" width="23" bestFit="1" customWidth="1"/>
  </cols>
  <sheetData>
    <row r="1" spans="1:2" ht="15">
      <c r="A1" s="49" t="s">
        <v>163</v>
      </c>
      <c r="B1" s="212" t="s">
        <v>164</v>
      </c>
    </row>
    <row r="2" spans="1:2">
      <c r="A2" s="210" t="s">
        <v>751</v>
      </c>
      <c r="B2" s="213" t="str">
        <f>IF(Categories!C136&lt;&gt;"",Categories!C136,"ENG")</f>
        <v>ENG</v>
      </c>
    </row>
    <row r="3" spans="1:2">
      <c r="A3" s="50" t="s">
        <v>245</v>
      </c>
      <c r="B3" s="214" t="str">
        <f>IF(Categories!C19&lt;&gt;"",Categories!C19,"")</f>
        <v>Cambodia</v>
      </c>
    </row>
    <row r="4" spans="1:2">
      <c r="A4" s="50" t="s">
        <v>737</v>
      </c>
      <c r="B4" s="214" t="str">
        <f>IF(Categories!C19&lt;&gt;"",VLOOKUP(Categories!C19,picklists!A2:B248,2,FALSE), "")</f>
        <v>KHM</v>
      </c>
    </row>
    <row r="5" spans="1:2">
      <c r="A5" t="s">
        <v>739</v>
      </c>
      <c r="B5" s="213" t="str">
        <f>IF(Categories!C51&lt;&gt;"",Categories!C51,"")</f>
        <v>Sugar cane</v>
      </c>
    </row>
    <row r="6" spans="1:2">
      <c r="A6" s="50" t="s">
        <v>165</v>
      </c>
      <c r="B6" s="214" t="str">
        <f>IF(Categories!C27&lt;&gt;"",VLOOKUP(Categories!C27,picklists!I3:J26,IF(B2="ENG",1,IF(B2="FRE",2,1)),FALSE),"")</f>
        <v>Concession</v>
      </c>
    </row>
    <row r="7" spans="1:2" ht="15">
      <c r="A7" s="50" t="s">
        <v>166</v>
      </c>
      <c r="B7" s="225">
        <v>38931</v>
      </c>
    </row>
    <row r="8" spans="1:2">
      <c r="A8" t="s">
        <v>167</v>
      </c>
      <c r="B8" s="213">
        <f>IF(Categories!C48&lt;&gt;"",Categories!C48,"")</f>
        <v>2006</v>
      </c>
    </row>
    <row r="9" spans="1:2">
      <c r="A9" t="s">
        <v>168</v>
      </c>
      <c r="B9" s="213" t="str">
        <f>IF(Categories!C49&lt;&gt;"",Categories!C49,"")</f>
        <v>90 years</v>
      </c>
    </row>
    <row r="10" spans="1:2" ht="15">
      <c r="A10" s="232" t="s">
        <v>747</v>
      </c>
      <c r="B10" s="232"/>
    </row>
    <row r="11" spans="1:2">
      <c r="A11" s="209" t="s">
        <v>12</v>
      </c>
      <c r="B11" s="213" t="str">
        <f>IF(Categories!C20&lt;&gt;"",Categories!C20,"")</f>
        <v xml:space="preserve">Koh Kong Sugar Industry Company Limited </v>
      </c>
    </row>
    <row r="12" spans="1:2">
      <c r="A12" s="209" t="s">
        <v>242</v>
      </c>
      <c r="B12" s="213" t="str">
        <f>IF(Categories!C21&lt;&gt;"",Categories!C21,"")</f>
        <v/>
      </c>
    </row>
    <row r="13" spans="1:2">
      <c r="A13" s="209" t="s">
        <v>14</v>
      </c>
      <c r="B13" s="213" t="str">
        <f>IF(Categories!C22&lt;&gt;"",Categories!C22,"")</f>
        <v/>
      </c>
    </row>
    <row r="14" spans="1:2">
      <c r="A14" s="209" t="s">
        <v>16</v>
      </c>
      <c r="B14" s="213" t="str">
        <f>IF(Categories!C23&lt;&gt;"",Categories!C23,"")</f>
        <v/>
      </c>
    </row>
    <row r="15" spans="1:2">
      <c r="A15" s="209" t="s">
        <v>748</v>
      </c>
      <c r="B15" s="213" t="str">
        <f>IF(Categories!C24&lt;&gt;"",Categories!C24,"")</f>
        <v/>
      </c>
    </row>
    <row r="16" spans="1:2">
      <c r="A16" s="209" t="s">
        <v>242</v>
      </c>
      <c r="B16" s="213" t="str">
        <f>IF(Categories!C25&lt;&gt;"",Categories!C25,"")</f>
        <v/>
      </c>
    </row>
    <row r="17" spans="1:2">
      <c r="A17" s="209" t="s">
        <v>19</v>
      </c>
      <c r="B17" s="213" t="str">
        <f>IF(Categories!C26&lt;&gt;"",Categories!C26,"")</f>
        <v/>
      </c>
    </row>
    <row r="18" spans="1:2">
      <c r="A18" s="209" t="s">
        <v>22</v>
      </c>
      <c r="B18" s="213" t="str">
        <f>IF(Categories!C28&lt;&gt;"",Categories!C28,"")</f>
        <v/>
      </c>
    </row>
    <row r="19" spans="1:2" ht="30">
      <c r="A19" s="209" t="s">
        <v>23</v>
      </c>
      <c r="B19" s="213" t="str">
        <f>IF(Categories!C29&lt;&gt;"",Categories!C29,"")</f>
        <v/>
      </c>
    </row>
    <row r="20" spans="1:2">
      <c r="A20" s="209" t="s">
        <v>749</v>
      </c>
      <c r="B20" s="213" t="str">
        <f>IF(Categories!C30&lt;&gt;"",Categories!C30,"")</f>
        <v>Sre Ambel, Koh Kong Province. Exact coordinates are listed at Art. 1.</v>
      </c>
    </row>
    <row r="21" spans="1:2">
      <c r="A21" s="209" t="s">
        <v>25</v>
      </c>
      <c r="B21" s="213" t="str">
        <f>IF(Categories!C31&lt;&gt;"",Categories!C31,"")</f>
        <v/>
      </c>
    </row>
    <row r="22" spans="1:2">
      <c r="A22" s="209" t="s">
        <v>27</v>
      </c>
      <c r="B22" s="213" t="str">
        <f>IF(Categories!C32&lt;&gt;"",Categories!C32,"")</f>
        <v/>
      </c>
    </row>
    <row r="23" spans="1:2">
      <c r="A23" s="209" t="s">
        <v>29</v>
      </c>
      <c r="B23" s="213" t="str">
        <f>IF(Categories!C33&lt;&gt;"",Categories!C33,"")</f>
        <v/>
      </c>
    </row>
    <row r="24" spans="1:2">
      <c r="A24" s="209" t="s">
        <v>31</v>
      </c>
      <c r="B24" s="213" t="str">
        <f>IF(Categories!C34&lt;&gt;"",Categories!C34,"")</f>
        <v/>
      </c>
    </row>
    <row r="25" spans="1:2">
      <c r="A25" s="209" t="s">
        <v>750</v>
      </c>
      <c r="B25" s="213" t="str">
        <f>IF(B24&lt;&gt;"",YEAR(B24),"")</f>
        <v/>
      </c>
    </row>
    <row r="26" spans="1:2">
      <c r="A26" s="209" t="s">
        <v>33</v>
      </c>
      <c r="B26" s="213" t="str">
        <f>IF(Categories!C35&lt;&gt;"",Categories!C35,"")</f>
        <v/>
      </c>
    </row>
    <row r="27" spans="1:2">
      <c r="A27" s="209" t="s">
        <v>35</v>
      </c>
      <c r="B27" s="213" t="str">
        <f>IF(Categories!C36&lt;&gt;"",Categories!C36,"")</f>
        <v/>
      </c>
    </row>
    <row r="28" spans="1:2" ht="45">
      <c r="A28" s="209" t="s">
        <v>41</v>
      </c>
      <c r="B28" s="213" t="str">
        <f>IF(Categories!C40&lt;&gt;"",Categories!C40,"")</f>
        <v xml:space="preserve">Koh Kong Sugar Industry Company Limited </v>
      </c>
    </row>
    <row r="29" spans="1:2">
      <c r="A29" s="209" t="s">
        <v>242</v>
      </c>
      <c r="B29" s="213" t="str">
        <f>IF(Categories!C41&lt;&gt;"",Categories!C41,"")</f>
        <v/>
      </c>
    </row>
    <row r="30" spans="1:2">
      <c r="A30" s="209" t="s">
        <v>43</v>
      </c>
      <c r="B30" s="213" t="str">
        <f>IF(Categories!C42&lt;&gt;"",Categories!C42,"")</f>
        <v>Chamroon Chinthammit, Koh Kong Sugar Industry Company Limited</v>
      </c>
    </row>
    <row r="31" spans="1:2" ht="30">
      <c r="A31" s="209" t="s">
        <v>45</v>
      </c>
      <c r="B31" s="213" t="str">
        <f>IF(Categories!C43&lt;&gt;"",Categories!C43,"")</f>
        <v xml:space="preserve">The Minister of Agriculture, Forestry and Fisheries </v>
      </c>
    </row>
    <row r="32" spans="1:2">
      <c r="A32" s="209" t="s">
        <v>47</v>
      </c>
      <c r="B32" s="213" t="str">
        <f>IF(Categories!C44&lt;&gt;"",Categories!C44,"")</f>
        <v xml:space="preserve">Dr Chan Sarun, The Minister of Agriculture, Forestry and Fisheries </v>
      </c>
    </row>
    <row r="33" spans="1:2" ht="30">
      <c r="A33" s="209" t="s">
        <v>49</v>
      </c>
      <c r="B33" s="213" t="str">
        <f>IF(Categories!C45&lt;&gt;"",Categories!C45,"")</f>
        <v/>
      </c>
    </row>
    <row r="34" spans="1:2" ht="30">
      <c r="A34" s="209" t="s">
        <v>169</v>
      </c>
      <c r="B34" s="213" t="str">
        <f>IF(Categories!C46&lt;&gt;"",Categories!C46,"")</f>
        <v/>
      </c>
    </row>
    <row r="35" spans="1:2">
      <c r="A35" s="209" t="s">
        <v>57</v>
      </c>
      <c r="B35" s="213" t="str">
        <f>IF(Categories!C50&lt;&gt;"",Categories!C50,"")</f>
        <v>Koh Kong Sugar Industry Company may ask to renew the agreement 1 year prior to its expiration. The renewal can only be made once an approval has been obtained from the Government, at the request of the Ministry for Agriculture, Forestry and Fisheries and according to the mutual agreement from Koh Kong Sugar Industry Company on the terms and conditions of the new contract.</v>
      </c>
    </row>
    <row r="36" spans="1:2">
      <c r="A36" s="209" t="s">
        <v>217</v>
      </c>
      <c r="B36" s="213" t="str">
        <f>IF(Categories!C52&lt;&gt;"",Categories!C52,"")</f>
        <v>9,700 hectares</v>
      </c>
    </row>
    <row r="37" spans="1:2">
      <c r="A37" s="211" t="s">
        <v>160</v>
      </c>
      <c r="B37" s="213" t="str">
        <f>IF(Categories!C143&lt;&gt;"",Categories!C143,"")</f>
        <v/>
      </c>
    </row>
    <row r="38" spans="1:2">
      <c r="A38" s="211" t="s">
        <v>162</v>
      </c>
      <c r="B38" s="213" t="str">
        <f>IF(Categories!C144&lt;&gt;"",Categories!C144,"")</f>
        <v>Map of concession land</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248"/>
  <sheetViews>
    <sheetView workbookViewId="0">
      <selection activeCell="H25" sqref="H25"/>
    </sheetView>
  </sheetViews>
  <sheetFormatPr baseColWidth="10" defaultColWidth="11" defaultRowHeight="15" x14ac:dyDescent="0"/>
  <cols>
    <col min="8" max="8" width="35.6640625" customWidth="1"/>
    <col min="9" max="9" width="23.5" bestFit="1" customWidth="1"/>
    <col min="10" max="10" width="17.83203125" customWidth="1"/>
  </cols>
  <sheetData>
    <row r="1" spans="1:13">
      <c r="A1" t="s">
        <v>245</v>
      </c>
      <c r="B1" t="s">
        <v>246</v>
      </c>
      <c r="D1" t="s">
        <v>738</v>
      </c>
      <c r="H1" t="s">
        <v>740</v>
      </c>
      <c r="I1" t="s">
        <v>740</v>
      </c>
      <c r="L1" t="s">
        <v>751</v>
      </c>
    </row>
    <row r="2" spans="1:13">
      <c r="A2" t="s">
        <v>247</v>
      </c>
      <c r="B2" t="s">
        <v>248</v>
      </c>
      <c r="D2" t="str">
        <f>IF(Metadata!B2="ENG",E2,F2)</f>
        <v>Aluminium</v>
      </c>
      <c r="E2" t="s">
        <v>821</v>
      </c>
      <c r="F2" t="s">
        <v>822</v>
      </c>
      <c r="H2" t="str">
        <f>IF(Metadata!B2="ENG",I2,J2)</f>
        <v>Amodiation contract</v>
      </c>
      <c r="I2" t="s">
        <v>816</v>
      </c>
      <c r="J2" t="s">
        <v>817</v>
      </c>
      <c r="L2" t="s">
        <v>758</v>
      </c>
      <c r="M2" t="s">
        <v>760</v>
      </c>
    </row>
    <row r="3" spans="1:13">
      <c r="A3" t="s">
        <v>249</v>
      </c>
      <c r="B3" t="s">
        <v>250</v>
      </c>
      <c r="D3" t="str">
        <f>IF(Metadata!B2="ENG",E3,F3)</f>
        <v>Base metals</v>
      </c>
      <c r="E3" t="s">
        <v>771</v>
      </c>
      <c r="F3" t="s">
        <v>840</v>
      </c>
      <c r="H3" t="str">
        <f>IF(Metadata!B2="ENG",I3,J3)</f>
        <v>Concession</v>
      </c>
      <c r="I3" s="208" t="s">
        <v>742</v>
      </c>
      <c r="J3" s="208" t="s">
        <v>742</v>
      </c>
      <c r="L3" t="s">
        <v>759</v>
      </c>
      <c r="M3" t="s">
        <v>757</v>
      </c>
    </row>
    <row r="4" spans="1:13">
      <c r="A4" t="s">
        <v>251</v>
      </c>
      <c r="B4" t="s">
        <v>252</v>
      </c>
      <c r="D4" t="str">
        <f>IF(Metadata!B2="ENG",E4,F4)</f>
        <v>Bauxite</v>
      </c>
      <c r="E4" s="215" t="s">
        <v>772</v>
      </c>
      <c r="F4" s="215" t="s">
        <v>772</v>
      </c>
      <c r="H4" t="str">
        <f>IF(Metadata!B2="ENG",I4,J4)</f>
        <v>Convention</v>
      </c>
      <c r="I4" t="s">
        <v>761</v>
      </c>
      <c r="J4" t="s">
        <v>761</v>
      </c>
    </row>
    <row r="5" spans="1:13">
      <c r="A5" t="s">
        <v>253</v>
      </c>
      <c r="B5" t="s">
        <v>254</v>
      </c>
      <c r="D5" t="str">
        <f>IF(Metadata!B2="ENG",E5,F5)</f>
        <v>Coal</v>
      </c>
      <c r="E5" t="s">
        <v>773</v>
      </c>
      <c r="F5" t="s">
        <v>774</v>
      </c>
      <c r="H5" t="str">
        <f>IF(Metadata!B2="ENG",I5,J5)</f>
        <v>Exploration Permit/License</v>
      </c>
      <c r="I5" s="208" t="s">
        <v>741</v>
      </c>
      <c r="J5" t="s">
        <v>752</v>
      </c>
    </row>
    <row r="6" spans="1:13" ht="30">
      <c r="A6" t="s">
        <v>255</v>
      </c>
      <c r="B6" t="s">
        <v>256</v>
      </c>
      <c r="D6" t="str">
        <f>IF(Metadata!B2="ENG",E6,F6)</f>
        <v>Cobalt</v>
      </c>
      <c r="E6" t="s">
        <v>775</v>
      </c>
      <c r="F6" t="s">
        <v>775</v>
      </c>
      <c r="H6" t="str">
        <f>IF(Metadata!B2="ENG",I6,J6)</f>
        <v>Exploitation Permit/License</v>
      </c>
      <c r="I6" s="208" t="s">
        <v>762</v>
      </c>
      <c r="J6" t="s">
        <v>763</v>
      </c>
    </row>
    <row r="7" spans="1:13" ht="30">
      <c r="A7" t="s">
        <v>257</v>
      </c>
      <c r="B7" t="s">
        <v>258</v>
      </c>
      <c r="D7" t="str">
        <f>IF(Metadata!B2="ENG",E7,F7)</f>
        <v>Copper</v>
      </c>
      <c r="E7" t="s">
        <v>776</v>
      </c>
      <c r="F7" t="s">
        <v>828</v>
      </c>
      <c r="H7" t="str">
        <f>IF(Metadata!B2="ENG",I7,J7)</f>
        <v>Forestry Concession Contract</v>
      </c>
      <c r="I7" s="208" t="s">
        <v>769</v>
      </c>
      <c r="J7" t="s">
        <v>770</v>
      </c>
    </row>
    <row r="8" spans="1:13">
      <c r="A8" t="s">
        <v>259</v>
      </c>
      <c r="B8" t="s">
        <v>260</v>
      </c>
      <c r="D8" t="str">
        <f>IF(Metadata!B2="ENG",E8,F8)</f>
        <v>Crude oil</v>
      </c>
      <c r="E8" t="s">
        <v>777</v>
      </c>
      <c r="F8" t="s">
        <v>778</v>
      </c>
      <c r="H8" t="str">
        <f>IF(Metadata!B2="ENG",I8,J8)</f>
        <v>Investment Agreement</v>
      </c>
      <c r="I8" s="208" t="s">
        <v>764</v>
      </c>
      <c r="J8" t="s">
        <v>811</v>
      </c>
    </row>
    <row r="9" spans="1:13" ht="30">
      <c r="A9" t="s">
        <v>261</v>
      </c>
      <c r="B9" t="s">
        <v>262</v>
      </c>
      <c r="D9" t="str">
        <f>IF(Metadata!B2="ENG",E9,F9)</f>
        <v>Diamonds</v>
      </c>
      <c r="E9" t="s">
        <v>779</v>
      </c>
      <c r="F9" t="s">
        <v>829</v>
      </c>
      <c r="H9" t="str">
        <f>IF(Metadata!B2="ENG",I9,J9)</f>
        <v>Investment Incentive Contract</v>
      </c>
      <c r="I9" s="208" t="s">
        <v>765</v>
      </c>
      <c r="J9" t="s">
        <v>812</v>
      </c>
    </row>
    <row r="10" spans="1:13">
      <c r="A10" t="s">
        <v>263</v>
      </c>
      <c r="B10" t="s">
        <v>264</v>
      </c>
      <c r="D10" t="str">
        <f>IF(Metadata!B2="ENG",E10,F10)</f>
        <v>Gas</v>
      </c>
      <c r="E10" t="s">
        <v>780</v>
      </c>
      <c r="F10" t="s">
        <v>781</v>
      </c>
      <c r="H10" t="str">
        <f>IF(Metadata!B2="ENG",I10,J10)</f>
        <v>Joint Venture Contract</v>
      </c>
      <c r="I10" t="s">
        <v>766</v>
      </c>
      <c r="J10" t="s">
        <v>813</v>
      </c>
      <c r="K10" s="218"/>
    </row>
    <row r="11" spans="1:13">
      <c r="A11" t="s">
        <v>265</v>
      </c>
      <c r="B11" t="s">
        <v>266</v>
      </c>
      <c r="D11" t="str">
        <f>IF(Metadata!B2="ENG",E11,F11)</f>
        <v>Gold</v>
      </c>
      <c r="E11" t="s">
        <v>782</v>
      </c>
      <c r="F11" t="s">
        <v>783</v>
      </c>
      <c r="H11" t="str">
        <f>IF(Metadata!B2="ENG",I11,J11)</f>
        <v>Lease</v>
      </c>
      <c r="I11" t="s">
        <v>745</v>
      </c>
      <c r="J11" t="s">
        <v>755</v>
      </c>
    </row>
    <row r="12" spans="1:13" ht="30">
      <c r="A12" t="s">
        <v>267</v>
      </c>
      <c r="B12" t="s">
        <v>268</v>
      </c>
      <c r="D12" t="str">
        <f>IF(Metadata!B2="ENG",E12,F12)</f>
        <v>Iron ore</v>
      </c>
      <c r="E12" t="s">
        <v>784</v>
      </c>
      <c r="F12" t="s">
        <v>820</v>
      </c>
      <c r="H12" t="str">
        <f>IF(Metadata!B2="ENG",I12,J12)</f>
        <v>Production Sharing Agreement</v>
      </c>
      <c r="I12" s="208" t="s">
        <v>746</v>
      </c>
      <c r="J12" t="s">
        <v>753</v>
      </c>
    </row>
    <row r="13" spans="1:13" ht="45">
      <c r="A13" t="s">
        <v>269</v>
      </c>
      <c r="B13" t="s">
        <v>270</v>
      </c>
      <c r="D13" t="str">
        <f>IF(Metadata!B2="ENG",E13,F13)</f>
        <v>Lapis lazuli</v>
      </c>
      <c r="E13" t="s">
        <v>785</v>
      </c>
      <c r="F13" t="s">
        <v>825</v>
      </c>
      <c r="H13" t="str">
        <f>IF(Metadata!B2="ENG",I13,J13)</f>
        <v>Operating Agreement between Private Companies</v>
      </c>
      <c r="I13" s="208" t="s">
        <v>767</v>
      </c>
      <c r="J13" t="s">
        <v>814</v>
      </c>
    </row>
    <row r="14" spans="1:13">
      <c r="A14" t="s">
        <v>271</v>
      </c>
      <c r="B14" t="s">
        <v>272</v>
      </c>
      <c r="D14" t="str">
        <f>IF(Metadata!B2="ENG",E14,F14)</f>
        <v>Lead</v>
      </c>
      <c r="E14" t="s">
        <v>786</v>
      </c>
      <c r="F14" t="s">
        <v>826</v>
      </c>
      <c r="H14" t="str">
        <f>IF(Metadata!B2="ENG",I14,J14)</f>
        <v>Options contract</v>
      </c>
      <c r="I14" s="208" t="s">
        <v>818</v>
      </c>
      <c r="J14" t="s">
        <v>819</v>
      </c>
    </row>
    <row r="15" spans="1:13">
      <c r="A15" t="s">
        <v>273</v>
      </c>
      <c r="B15" t="s">
        <v>274</v>
      </c>
      <c r="D15" t="str">
        <f>IF(Metadata!B2="ENG",E15,F15)</f>
        <v>Lithium</v>
      </c>
      <c r="E15" t="s">
        <v>787</v>
      </c>
      <c r="F15" t="s">
        <v>787</v>
      </c>
      <c r="H15" t="str">
        <f>IF(Metadata!B2="ENG",I15,J15)</f>
        <v>Profit Sharing Contract</v>
      </c>
      <c r="I15" s="208" t="s">
        <v>768</v>
      </c>
      <c r="J15" t="s">
        <v>815</v>
      </c>
    </row>
    <row r="16" spans="1:13">
      <c r="A16" t="s">
        <v>275</v>
      </c>
      <c r="B16" t="s">
        <v>276</v>
      </c>
      <c r="D16" t="str">
        <f>IF(Metadata!B2="ENG",E16,F16)</f>
        <v>Manganese</v>
      </c>
      <c r="E16" t="s">
        <v>788</v>
      </c>
      <c r="F16" t="s">
        <v>827</v>
      </c>
      <c r="H16" t="str">
        <f>IF(Metadata!B2="ENG",I16,J16)</f>
        <v>Service Contract</v>
      </c>
      <c r="I16" s="208" t="s">
        <v>743</v>
      </c>
      <c r="J16" t="s">
        <v>754</v>
      </c>
    </row>
    <row r="17" spans="1:10">
      <c r="A17" t="s">
        <v>277</v>
      </c>
      <c r="B17" t="s">
        <v>278</v>
      </c>
      <c r="D17" t="str">
        <f>IF(Metadata!B2="ENG",E17,F17)</f>
        <v>Molybdenum</v>
      </c>
      <c r="E17" t="s">
        <v>823</v>
      </c>
      <c r="F17" t="s">
        <v>824</v>
      </c>
      <c r="H17" t="str">
        <f>IF(Metadata!B2="ENG",I17,J17)</f>
        <v>Other</v>
      </c>
      <c r="I17" s="208" t="s">
        <v>744</v>
      </c>
      <c r="J17" t="s">
        <v>756</v>
      </c>
    </row>
    <row r="18" spans="1:10">
      <c r="A18" t="s">
        <v>279</v>
      </c>
      <c r="B18" t="s">
        <v>280</v>
      </c>
      <c r="D18" t="str">
        <f>IF(Metadata!B2="ENG",E18,F18)</f>
        <v>Nickel</v>
      </c>
      <c r="E18" t="s">
        <v>789</v>
      </c>
      <c r="F18" t="s">
        <v>789</v>
      </c>
      <c r="H18">
        <f>IF(Metadata!B2="ENG",I18,J18)</f>
        <v>0</v>
      </c>
    </row>
    <row r="19" spans="1:10">
      <c r="A19" t="s">
        <v>281</v>
      </c>
      <c r="B19" t="s">
        <v>282</v>
      </c>
      <c r="D19" t="str">
        <f>IF(Metadata!B2="ENG",E19,F19)</f>
        <v>Phosphate rock</v>
      </c>
      <c r="E19" t="s">
        <v>790</v>
      </c>
      <c r="F19" t="s">
        <v>830</v>
      </c>
      <c r="H19">
        <f>IF(Metadata!B2="ENG",I19,J19)</f>
        <v>0</v>
      </c>
    </row>
    <row r="20" spans="1:10">
      <c r="A20" t="s">
        <v>283</v>
      </c>
      <c r="B20" t="s">
        <v>284</v>
      </c>
      <c r="D20" t="str">
        <f>IF(Metadata!B2="ENG",E20,F20)</f>
        <v>Platinum Group Metals</v>
      </c>
      <c r="E20" t="s">
        <v>791</v>
      </c>
      <c r="F20" t="s">
        <v>831</v>
      </c>
      <c r="H20">
        <f>IF(Metadata!B2="ENG",I20,J20)</f>
        <v>0</v>
      </c>
    </row>
    <row r="21" spans="1:10">
      <c r="A21" t="s">
        <v>285</v>
      </c>
      <c r="B21" t="s">
        <v>286</v>
      </c>
      <c r="D21" t="str">
        <f>IF(Metadata!B2="ENG",E21,F21)</f>
        <v>Precious stones</v>
      </c>
      <c r="E21" t="s">
        <v>792</v>
      </c>
      <c r="F21" t="s">
        <v>832</v>
      </c>
      <c r="H21">
        <f>IF(Metadata!B2="ENG",I21,J21)</f>
        <v>0</v>
      </c>
    </row>
    <row r="22" spans="1:10">
      <c r="A22" t="s">
        <v>287</v>
      </c>
      <c r="B22" t="s">
        <v>288</v>
      </c>
      <c r="D22" t="str">
        <f>IF(Metadata!B2="ENG",E22,F22)</f>
        <v>Quartz</v>
      </c>
      <c r="E22" t="s">
        <v>793</v>
      </c>
      <c r="F22" t="s">
        <v>793</v>
      </c>
      <c r="H22">
        <f>IF(Metadata!B2="ENG",I22,J22)</f>
        <v>0</v>
      </c>
    </row>
    <row r="23" spans="1:10">
      <c r="A23" t="s">
        <v>289</v>
      </c>
      <c r="B23" t="s">
        <v>290</v>
      </c>
      <c r="D23" t="str">
        <f>IF(Metadata!B2="ENG",E23,F23)</f>
        <v>Semi-precious stones</v>
      </c>
      <c r="E23" t="s">
        <v>794</v>
      </c>
      <c r="F23" t="s">
        <v>833</v>
      </c>
      <c r="H23">
        <f>IF(Metadata!B2="ENG",I23,J23)</f>
        <v>0</v>
      </c>
    </row>
    <row r="24" spans="1:10">
      <c r="A24" t="s">
        <v>291</v>
      </c>
      <c r="B24" t="s">
        <v>292</v>
      </c>
      <c r="D24" t="str">
        <f>IF(Metadata!B2="ENG",E24,F24)</f>
        <v>Silver</v>
      </c>
      <c r="E24" t="s">
        <v>795</v>
      </c>
      <c r="F24" t="s">
        <v>834</v>
      </c>
      <c r="H24">
        <f>IF(Metadata!B2="ENG",I24,J24)</f>
        <v>0</v>
      </c>
    </row>
    <row r="25" spans="1:10">
      <c r="A25" t="s">
        <v>293</v>
      </c>
      <c r="B25" t="s">
        <v>294</v>
      </c>
      <c r="D25" t="str">
        <f>IF(Metadata!B2="ENG",E25,F25)</f>
        <v>Titanium</v>
      </c>
      <c r="E25" t="s">
        <v>796</v>
      </c>
      <c r="F25" t="s">
        <v>835</v>
      </c>
      <c r="H25">
        <f>IF(Metadata!B2="ENG",I25,J25)</f>
        <v>0</v>
      </c>
    </row>
    <row r="26" spans="1:10">
      <c r="A26" t="s">
        <v>295</v>
      </c>
      <c r="B26" t="s">
        <v>296</v>
      </c>
      <c r="D26" t="str">
        <f>IF(Metadata!B2="ENG",E26,F26)</f>
        <v>Uranium</v>
      </c>
      <c r="E26" t="s">
        <v>797</v>
      </c>
      <c r="F26" t="s">
        <v>797</v>
      </c>
      <c r="H26">
        <f>IF(Metadata!B2="ENG",I26,J26)</f>
        <v>0</v>
      </c>
    </row>
    <row r="27" spans="1:10">
      <c r="A27" t="s">
        <v>297</v>
      </c>
      <c r="B27" t="s">
        <v>298</v>
      </c>
      <c r="D27" t="str">
        <f>IF(Metadata!B2="ENG",E27,F27)</f>
        <v>Zinc</v>
      </c>
      <c r="E27" t="s">
        <v>798</v>
      </c>
      <c r="F27" t="s">
        <v>798</v>
      </c>
      <c r="H27">
        <f>IF(Metadata!B2="ENG",I27,J27)</f>
        <v>0</v>
      </c>
    </row>
    <row r="28" spans="1:10">
      <c r="A28" t="s">
        <v>299</v>
      </c>
      <c r="B28" t="s">
        <v>300</v>
      </c>
      <c r="D28" t="str">
        <f>IF(Metadata!B2="ENG",E28,F28)</f>
        <v>Citrus</v>
      </c>
      <c r="E28" t="s">
        <v>799</v>
      </c>
      <c r="F28" t="s">
        <v>799</v>
      </c>
      <c r="H28">
        <f>IF(Metadata!B2="ENG",I28,J28)</f>
        <v>0</v>
      </c>
    </row>
    <row r="29" spans="1:10">
      <c r="A29" t="s">
        <v>301</v>
      </c>
      <c r="B29" t="s">
        <v>302</v>
      </c>
      <c r="D29" t="str">
        <f>IF(Metadata!B2="ENG",E29,F29)</f>
        <v>Food crops</v>
      </c>
      <c r="E29" t="s">
        <v>800</v>
      </c>
      <c r="F29" t="s">
        <v>801</v>
      </c>
      <c r="H29">
        <f>IF(Metadata!B2="ENG",I29,J29)</f>
        <v>0</v>
      </c>
    </row>
    <row r="30" spans="1:10">
      <c r="A30" t="s">
        <v>303</v>
      </c>
      <c r="B30" t="s">
        <v>304</v>
      </c>
      <c r="D30" t="str">
        <f>IF(Metadata!B2="ENG",E30,F30)</f>
        <v>Hydrocarbons</v>
      </c>
      <c r="E30" t="s">
        <v>802</v>
      </c>
      <c r="F30" t="s">
        <v>836</v>
      </c>
      <c r="H30">
        <f>IF(Metadata!B2="ENG",I30,J30)</f>
        <v>0</v>
      </c>
    </row>
    <row r="31" spans="1:10">
      <c r="A31" t="s">
        <v>305</v>
      </c>
      <c r="B31" t="s">
        <v>306</v>
      </c>
      <c r="D31" t="str">
        <f>IF(Metadata!B2="ENG",E31,F31)</f>
        <v>Palm oil</v>
      </c>
      <c r="E31" t="s">
        <v>803</v>
      </c>
      <c r="F31" t="s">
        <v>804</v>
      </c>
      <c r="H31">
        <f>IF(Metadata!B2="ENG",I31,J31)</f>
        <v>0</v>
      </c>
    </row>
    <row r="32" spans="1:10">
      <c r="A32" t="s">
        <v>307</v>
      </c>
      <c r="B32" t="s">
        <v>308</v>
      </c>
      <c r="D32" t="str">
        <f>IF(Metadata!B2="ENG",E32,F32)</f>
        <v>Rubber</v>
      </c>
      <c r="E32" t="s">
        <v>805</v>
      </c>
      <c r="F32" t="s">
        <v>837</v>
      </c>
      <c r="H32">
        <f>IF(Metadata!B2="ENG",I32,J32)</f>
        <v>0</v>
      </c>
    </row>
    <row r="33" spans="1:8">
      <c r="A33" t="s">
        <v>309</v>
      </c>
      <c r="B33" t="s">
        <v>310</v>
      </c>
      <c r="D33" t="str">
        <f>IF(Metadata!B2="ENG",E33,F33)</f>
        <v>Soy</v>
      </c>
      <c r="E33" t="s">
        <v>806</v>
      </c>
      <c r="F33" t="s">
        <v>838</v>
      </c>
      <c r="H33">
        <f>IF(Metadata!B2="ENG",I33,J33)</f>
        <v>0</v>
      </c>
    </row>
    <row r="34" spans="1:8">
      <c r="A34" t="s">
        <v>311</v>
      </c>
      <c r="B34" t="s">
        <v>312</v>
      </c>
      <c r="D34" t="str">
        <f>IF(Metadata!B2="ENG",E34,F34)</f>
        <v>Sugar</v>
      </c>
      <c r="E34" t="s">
        <v>807</v>
      </c>
      <c r="F34" t="s">
        <v>808</v>
      </c>
      <c r="H34">
        <f>IF(Metadata!B2="ENG",I34,J34)</f>
        <v>0</v>
      </c>
    </row>
    <row r="35" spans="1:8">
      <c r="A35" t="s">
        <v>313</v>
      </c>
      <c r="B35" t="s">
        <v>314</v>
      </c>
      <c r="D35" t="str">
        <f>IF(Metadata!B2="ENG",E35,F35)</f>
        <v>Timber</v>
      </c>
      <c r="E35" t="s">
        <v>809</v>
      </c>
      <c r="F35" t="s">
        <v>810</v>
      </c>
      <c r="H35">
        <f>IF(Metadata!B2="ENG",I35,J35)</f>
        <v>0</v>
      </c>
    </row>
    <row r="36" spans="1:8">
      <c r="A36" t="s">
        <v>315</v>
      </c>
      <c r="B36" t="s">
        <v>316</v>
      </c>
      <c r="D36">
        <f>IF(Metadata!B2="ENG",E36,F36)</f>
        <v>0</v>
      </c>
      <c r="H36">
        <f>IF(Metadata!B2="ENG",I36,J36)</f>
        <v>0</v>
      </c>
    </row>
    <row r="37" spans="1:8">
      <c r="A37" t="s">
        <v>317</v>
      </c>
      <c r="B37" t="s">
        <v>318</v>
      </c>
      <c r="D37">
        <f>IF(Metadata!B2="ENG",E37,F37)</f>
        <v>0</v>
      </c>
      <c r="H37">
        <f>IF(Metadata!B2="ENG",I37,J37)</f>
        <v>0</v>
      </c>
    </row>
    <row r="38" spans="1:8">
      <c r="A38" t="s">
        <v>319</v>
      </c>
      <c r="B38" t="s">
        <v>320</v>
      </c>
      <c r="D38">
        <f>IF(Metadata!B2="ENG",E38,F38)</f>
        <v>0</v>
      </c>
      <c r="H38">
        <f>IF(Metadata!B2="ENG",I38,J38)</f>
        <v>0</v>
      </c>
    </row>
    <row r="39" spans="1:8">
      <c r="A39" t="s">
        <v>321</v>
      </c>
      <c r="B39" t="s">
        <v>322</v>
      </c>
      <c r="D39">
        <f>IF(Metadata!B2="ENG",E39,F39)</f>
        <v>0</v>
      </c>
      <c r="H39">
        <f>IF(Metadata!B2="ENG",I39,J39)</f>
        <v>0</v>
      </c>
    </row>
    <row r="40" spans="1:8">
      <c r="A40" t="s">
        <v>323</v>
      </c>
      <c r="B40" t="s">
        <v>324</v>
      </c>
      <c r="D40">
        <f>IF(Metadata!B2="ENG",E40,F40)</f>
        <v>0</v>
      </c>
      <c r="H40">
        <f>IF(Metadata!B2="ENG",I40,J40)</f>
        <v>0</v>
      </c>
    </row>
    <row r="41" spans="1:8">
      <c r="A41" t="s">
        <v>325</v>
      </c>
      <c r="B41" t="s">
        <v>326</v>
      </c>
      <c r="D41">
        <f>IF(Metadata!B2="ENG",E41,F41)</f>
        <v>0</v>
      </c>
      <c r="H41">
        <f>IF(Metadata!B2="ENG",I41,J41)</f>
        <v>0</v>
      </c>
    </row>
    <row r="42" spans="1:8">
      <c r="A42" t="s">
        <v>327</v>
      </c>
      <c r="B42" t="s">
        <v>328</v>
      </c>
      <c r="D42">
        <f>IF(Metadata!B2="ENG",E42,F42)</f>
        <v>0</v>
      </c>
      <c r="H42">
        <f>IF(Metadata!B2="ENG",I42,J42)</f>
        <v>0</v>
      </c>
    </row>
    <row r="43" spans="1:8">
      <c r="A43" t="s">
        <v>329</v>
      </c>
      <c r="B43" t="s">
        <v>330</v>
      </c>
      <c r="D43">
        <f>IF(Metadata!B2="ENG",E43,F43)</f>
        <v>0</v>
      </c>
      <c r="H43">
        <f>IF(Metadata!B2="ENG",I43,J43)</f>
        <v>0</v>
      </c>
    </row>
    <row r="44" spans="1:8">
      <c r="A44" t="s">
        <v>331</v>
      </c>
      <c r="B44" t="s">
        <v>332</v>
      </c>
      <c r="D44">
        <f>IF(Metadata!B2="ENG",E44,F44)</f>
        <v>0</v>
      </c>
      <c r="H44">
        <f>IF(Metadata!B2="ENG",I44,J44)</f>
        <v>0</v>
      </c>
    </row>
    <row r="45" spans="1:8">
      <c r="A45" t="s">
        <v>333</v>
      </c>
      <c r="B45" t="s">
        <v>334</v>
      </c>
      <c r="D45">
        <f>IF(Metadata!B2="ENG",E45,F45)</f>
        <v>0</v>
      </c>
      <c r="H45">
        <f>IF(Metadata!B2="ENG",I45,J45)</f>
        <v>0</v>
      </c>
    </row>
    <row r="46" spans="1:8">
      <c r="A46" t="s">
        <v>335</v>
      </c>
      <c r="B46" t="s">
        <v>336</v>
      </c>
      <c r="D46">
        <f>IF(Metadata!B2="ENG",E46,F46)</f>
        <v>0</v>
      </c>
      <c r="H46">
        <f>IF(Metadata!B2="ENG",I46,J46)</f>
        <v>0</v>
      </c>
    </row>
    <row r="47" spans="1:8">
      <c r="A47" t="s">
        <v>337</v>
      </c>
      <c r="B47" t="s">
        <v>338</v>
      </c>
      <c r="D47">
        <f>IF(Metadata!B2="ENG",E47,F47)</f>
        <v>0</v>
      </c>
      <c r="H47">
        <f>IF(Metadata!B2="ENG",I47,J47)</f>
        <v>0</v>
      </c>
    </row>
    <row r="48" spans="1:8">
      <c r="A48" t="s">
        <v>339</v>
      </c>
      <c r="B48" t="s">
        <v>340</v>
      </c>
      <c r="D48">
        <f>IF(Metadata!B2="ENG",E48,F48)</f>
        <v>0</v>
      </c>
      <c r="H48">
        <f>IF(Metadata!B2="ENG",I48,J48)</f>
        <v>0</v>
      </c>
    </row>
    <row r="49" spans="1:8">
      <c r="A49" t="s">
        <v>341</v>
      </c>
      <c r="B49" t="s">
        <v>342</v>
      </c>
      <c r="D49">
        <f>IF(Metadata!B2="ENG",E49,F49)</f>
        <v>0</v>
      </c>
      <c r="H49">
        <f>IF(Metadata!B2="ENG",I49,J49)</f>
        <v>0</v>
      </c>
    </row>
    <row r="50" spans="1:8">
      <c r="A50" t="s">
        <v>343</v>
      </c>
      <c r="B50" t="s">
        <v>344</v>
      </c>
      <c r="D50">
        <f>IF(Metadata!B2="ENG",E50,F50)</f>
        <v>0</v>
      </c>
      <c r="H50">
        <f>IF(Metadata!B2="ENG",I50,J50)</f>
        <v>0</v>
      </c>
    </row>
    <row r="51" spans="1:8">
      <c r="A51" t="s">
        <v>345</v>
      </c>
      <c r="B51" t="s">
        <v>346</v>
      </c>
      <c r="D51">
        <f>IF(Metadata!B2="ENG",E51,F51)</f>
        <v>0</v>
      </c>
      <c r="H51">
        <f>IF(Metadata!B2="ENG",I51,J51)</f>
        <v>0</v>
      </c>
    </row>
    <row r="52" spans="1:8">
      <c r="A52" t="s">
        <v>347</v>
      </c>
      <c r="B52" t="s">
        <v>348</v>
      </c>
      <c r="D52">
        <f>IF(Metadata!B2="ENG",E52,F52)</f>
        <v>0</v>
      </c>
      <c r="H52">
        <f>IF(Metadata!B2="ENG",I52,J52)</f>
        <v>0</v>
      </c>
    </row>
    <row r="53" spans="1:8">
      <c r="A53" t="s">
        <v>349</v>
      </c>
      <c r="B53" t="s">
        <v>350</v>
      </c>
      <c r="D53">
        <f>IF(Metadata!B2="ENG",E53,F53)</f>
        <v>0</v>
      </c>
      <c r="H53">
        <f>IF(Metadata!B2="ENG",I53,J53)</f>
        <v>0</v>
      </c>
    </row>
    <row r="54" spans="1:8">
      <c r="A54" t="s">
        <v>351</v>
      </c>
      <c r="B54" t="s">
        <v>352</v>
      </c>
      <c r="D54">
        <f>IF(Metadata!B2="ENG",E54,F54)</f>
        <v>0</v>
      </c>
      <c r="H54">
        <f>IF(Metadata!B2="ENG",I54,J54)</f>
        <v>0</v>
      </c>
    </row>
    <row r="55" spans="1:8">
      <c r="A55" t="s">
        <v>353</v>
      </c>
      <c r="B55" t="s">
        <v>354</v>
      </c>
      <c r="D55">
        <f>IF(Metadata!B2="ENG",E55,F55)</f>
        <v>0</v>
      </c>
      <c r="H55">
        <f>IF(Metadata!B2="ENG",I55,J55)</f>
        <v>0</v>
      </c>
    </row>
    <row r="56" spans="1:8">
      <c r="A56" t="s">
        <v>355</v>
      </c>
      <c r="B56" t="s">
        <v>356</v>
      </c>
      <c r="D56">
        <f>IF(Metadata!B2="ENG",E56,F56)</f>
        <v>0</v>
      </c>
      <c r="H56">
        <f>IF(Metadata!B2="ENG",I56,J56)</f>
        <v>0</v>
      </c>
    </row>
    <row r="57" spans="1:8">
      <c r="A57" t="s">
        <v>357</v>
      </c>
      <c r="B57" t="s">
        <v>358</v>
      </c>
      <c r="D57">
        <f>IF(Metadata!B2="ENG",E57,F57)</f>
        <v>0</v>
      </c>
      <c r="H57">
        <f>IF(Metadata!B2="ENG",I57,J57)</f>
        <v>0</v>
      </c>
    </row>
    <row r="58" spans="1:8">
      <c r="A58" t="s">
        <v>359</v>
      </c>
      <c r="B58" t="s">
        <v>360</v>
      </c>
      <c r="D58">
        <f>IF(Metadata!B2="ENG",E58,F58)</f>
        <v>0</v>
      </c>
      <c r="H58">
        <f>IF(Metadata!B2="ENG",I58,J58)</f>
        <v>0</v>
      </c>
    </row>
    <row r="59" spans="1:8">
      <c r="A59" t="s">
        <v>361</v>
      </c>
      <c r="B59" t="s">
        <v>362</v>
      </c>
      <c r="D59">
        <f>IF(Metadata!B2="ENG",E59,F59)</f>
        <v>0</v>
      </c>
      <c r="H59">
        <f>IF(Metadata!B2="ENG",I59,J59)</f>
        <v>0</v>
      </c>
    </row>
    <row r="60" spans="1:8">
      <c r="A60" t="s">
        <v>363</v>
      </c>
      <c r="B60" t="s">
        <v>364</v>
      </c>
      <c r="D60">
        <f>IF(Metadata!B2="ENG",E60,F60)</f>
        <v>0</v>
      </c>
      <c r="H60">
        <f>IF(Metadata!B2="ENG",I60,J60)</f>
        <v>0</v>
      </c>
    </row>
    <row r="61" spans="1:8">
      <c r="A61" t="s">
        <v>365</v>
      </c>
      <c r="B61" t="s">
        <v>366</v>
      </c>
      <c r="D61">
        <f>IF(Metadata!B2="ENG",E61,F61)</f>
        <v>0</v>
      </c>
      <c r="H61">
        <f>IF(Metadata!B2="ENG",I61,J61)</f>
        <v>0</v>
      </c>
    </row>
    <row r="62" spans="1:8">
      <c r="A62" t="s">
        <v>367</v>
      </c>
      <c r="B62" t="s">
        <v>368</v>
      </c>
    </row>
    <row r="63" spans="1:8">
      <c r="A63" t="s">
        <v>369</v>
      </c>
      <c r="B63" t="s">
        <v>370</v>
      </c>
    </row>
    <row r="64" spans="1:8">
      <c r="A64" t="s">
        <v>371</v>
      </c>
      <c r="B64" t="s">
        <v>372</v>
      </c>
    </row>
    <row r="65" spans="1:2">
      <c r="A65" t="s">
        <v>373</v>
      </c>
      <c r="B65" t="s">
        <v>374</v>
      </c>
    </row>
    <row r="66" spans="1:2">
      <c r="A66" t="s">
        <v>375</v>
      </c>
      <c r="B66" t="s">
        <v>376</v>
      </c>
    </row>
    <row r="67" spans="1:2">
      <c r="A67" t="s">
        <v>377</v>
      </c>
      <c r="B67" t="s">
        <v>378</v>
      </c>
    </row>
    <row r="68" spans="1:2">
      <c r="A68" t="s">
        <v>379</v>
      </c>
      <c r="B68" t="s">
        <v>380</v>
      </c>
    </row>
    <row r="69" spans="1:2">
      <c r="A69" t="s">
        <v>381</v>
      </c>
      <c r="B69" t="s">
        <v>382</v>
      </c>
    </row>
    <row r="70" spans="1:2">
      <c r="A70" t="s">
        <v>383</v>
      </c>
      <c r="B70" t="s">
        <v>384</v>
      </c>
    </row>
    <row r="71" spans="1:2">
      <c r="A71" t="s">
        <v>385</v>
      </c>
      <c r="B71" t="s">
        <v>386</v>
      </c>
    </row>
    <row r="72" spans="1:2">
      <c r="A72" t="s">
        <v>387</v>
      </c>
      <c r="B72" t="s">
        <v>388</v>
      </c>
    </row>
    <row r="73" spans="1:2">
      <c r="A73" t="s">
        <v>389</v>
      </c>
      <c r="B73" t="s">
        <v>390</v>
      </c>
    </row>
    <row r="74" spans="1:2">
      <c r="A74" t="s">
        <v>391</v>
      </c>
      <c r="B74" t="s">
        <v>392</v>
      </c>
    </row>
    <row r="75" spans="1:2">
      <c r="A75" t="s">
        <v>393</v>
      </c>
      <c r="B75" t="s">
        <v>394</v>
      </c>
    </row>
    <row r="76" spans="1:2">
      <c r="A76" t="s">
        <v>395</v>
      </c>
      <c r="B76" t="s">
        <v>396</v>
      </c>
    </row>
    <row r="77" spans="1:2">
      <c r="A77" t="s">
        <v>397</v>
      </c>
      <c r="B77" t="s">
        <v>398</v>
      </c>
    </row>
    <row r="78" spans="1:2">
      <c r="A78" t="s">
        <v>399</v>
      </c>
      <c r="B78" t="s">
        <v>400</v>
      </c>
    </row>
    <row r="79" spans="1:2">
      <c r="A79" t="s">
        <v>401</v>
      </c>
      <c r="B79" t="s">
        <v>402</v>
      </c>
    </row>
    <row r="80" spans="1:2">
      <c r="A80" t="s">
        <v>403</v>
      </c>
      <c r="B80" t="s">
        <v>404</v>
      </c>
    </row>
    <row r="81" spans="1:2">
      <c r="A81" t="s">
        <v>405</v>
      </c>
      <c r="B81" t="s">
        <v>406</v>
      </c>
    </row>
    <row r="82" spans="1:2">
      <c r="A82" t="s">
        <v>407</v>
      </c>
      <c r="B82" t="s">
        <v>408</v>
      </c>
    </row>
    <row r="83" spans="1:2">
      <c r="A83" t="s">
        <v>409</v>
      </c>
      <c r="B83" t="s">
        <v>410</v>
      </c>
    </row>
    <row r="84" spans="1:2">
      <c r="A84" t="s">
        <v>411</v>
      </c>
      <c r="B84" t="s">
        <v>412</v>
      </c>
    </row>
    <row r="85" spans="1:2">
      <c r="A85" t="s">
        <v>413</v>
      </c>
      <c r="B85" t="s">
        <v>414</v>
      </c>
    </row>
    <row r="86" spans="1:2">
      <c r="A86" t="s">
        <v>415</v>
      </c>
      <c r="B86" t="s">
        <v>416</v>
      </c>
    </row>
    <row r="87" spans="1:2">
      <c r="A87" t="s">
        <v>417</v>
      </c>
      <c r="B87" t="s">
        <v>418</v>
      </c>
    </row>
    <row r="88" spans="1:2">
      <c r="A88" t="s">
        <v>419</v>
      </c>
      <c r="B88" t="s">
        <v>420</v>
      </c>
    </row>
    <row r="89" spans="1:2">
      <c r="A89" t="s">
        <v>421</v>
      </c>
      <c r="B89" t="s">
        <v>422</v>
      </c>
    </row>
    <row r="90" spans="1:2">
      <c r="A90" t="s">
        <v>423</v>
      </c>
      <c r="B90" t="s">
        <v>424</v>
      </c>
    </row>
    <row r="91" spans="1:2">
      <c r="A91" t="s">
        <v>425</v>
      </c>
      <c r="B91" t="s">
        <v>426</v>
      </c>
    </row>
    <row r="92" spans="1:2">
      <c r="A92" t="s">
        <v>427</v>
      </c>
      <c r="B92" t="s">
        <v>428</v>
      </c>
    </row>
    <row r="93" spans="1:2">
      <c r="A93" t="s">
        <v>429</v>
      </c>
      <c r="B93" t="s">
        <v>430</v>
      </c>
    </row>
    <row r="94" spans="1:2">
      <c r="A94" t="s">
        <v>431</v>
      </c>
      <c r="B94" t="s">
        <v>432</v>
      </c>
    </row>
    <row r="95" spans="1:2">
      <c r="A95" t="s">
        <v>433</v>
      </c>
      <c r="B95" t="s">
        <v>434</v>
      </c>
    </row>
    <row r="96" spans="1:2">
      <c r="A96" t="s">
        <v>435</v>
      </c>
      <c r="B96" t="s">
        <v>108</v>
      </c>
    </row>
    <row r="97" spans="1:2">
      <c r="A97" t="s">
        <v>436</v>
      </c>
      <c r="B97" t="s">
        <v>437</v>
      </c>
    </row>
    <row r="98" spans="1:2">
      <c r="A98" t="s">
        <v>438</v>
      </c>
      <c r="B98" t="s">
        <v>439</v>
      </c>
    </row>
    <row r="99" spans="1:2">
      <c r="A99" t="s">
        <v>440</v>
      </c>
      <c r="B99" t="s">
        <v>441</v>
      </c>
    </row>
    <row r="100" spans="1:2">
      <c r="A100" t="s">
        <v>442</v>
      </c>
      <c r="B100" t="s">
        <v>443</v>
      </c>
    </row>
    <row r="101" spans="1:2">
      <c r="A101" t="s">
        <v>444</v>
      </c>
      <c r="B101" t="s">
        <v>445</v>
      </c>
    </row>
    <row r="102" spans="1:2">
      <c r="A102" t="s">
        <v>446</v>
      </c>
      <c r="B102" t="s">
        <v>447</v>
      </c>
    </row>
    <row r="103" spans="1:2">
      <c r="A103" t="s">
        <v>448</v>
      </c>
      <c r="B103" t="s">
        <v>449</v>
      </c>
    </row>
    <row r="104" spans="1:2">
      <c r="A104" t="s">
        <v>450</v>
      </c>
      <c r="B104" t="s">
        <v>451</v>
      </c>
    </row>
    <row r="105" spans="1:2">
      <c r="A105" t="s">
        <v>452</v>
      </c>
      <c r="B105" t="s">
        <v>453</v>
      </c>
    </row>
    <row r="106" spans="1:2">
      <c r="A106" t="s">
        <v>454</v>
      </c>
      <c r="B106" t="s">
        <v>455</v>
      </c>
    </row>
    <row r="107" spans="1:2">
      <c r="A107" t="s">
        <v>456</v>
      </c>
      <c r="B107" t="s">
        <v>457</v>
      </c>
    </row>
    <row r="108" spans="1:2">
      <c r="A108" t="s">
        <v>458</v>
      </c>
      <c r="B108" t="s">
        <v>459</v>
      </c>
    </row>
    <row r="109" spans="1:2">
      <c r="A109" t="s">
        <v>460</v>
      </c>
      <c r="B109" t="s">
        <v>461</v>
      </c>
    </row>
    <row r="110" spans="1:2">
      <c r="A110" t="s">
        <v>462</v>
      </c>
      <c r="B110" t="s">
        <v>463</v>
      </c>
    </row>
    <row r="111" spans="1:2">
      <c r="A111" t="s">
        <v>464</v>
      </c>
      <c r="B111" t="s">
        <v>465</v>
      </c>
    </row>
    <row r="112" spans="1:2">
      <c r="A112" t="s">
        <v>466</v>
      </c>
      <c r="B112" t="s">
        <v>467</v>
      </c>
    </row>
    <row r="113" spans="1:2">
      <c r="A113" t="s">
        <v>468</v>
      </c>
      <c r="B113" t="s">
        <v>469</v>
      </c>
    </row>
    <row r="114" spans="1:2">
      <c r="A114" t="s">
        <v>470</v>
      </c>
      <c r="B114" t="s">
        <v>471</v>
      </c>
    </row>
    <row r="115" spans="1:2">
      <c r="A115" t="s">
        <v>472</v>
      </c>
      <c r="B115" t="s">
        <v>473</v>
      </c>
    </row>
    <row r="116" spans="1:2">
      <c r="A116" t="s">
        <v>474</v>
      </c>
      <c r="B116" t="s">
        <v>475</v>
      </c>
    </row>
    <row r="117" spans="1:2">
      <c r="A117" t="s">
        <v>476</v>
      </c>
      <c r="B117" t="s">
        <v>477</v>
      </c>
    </row>
    <row r="118" spans="1:2">
      <c r="A118" t="s">
        <v>478</v>
      </c>
      <c r="B118" t="s">
        <v>479</v>
      </c>
    </row>
    <row r="119" spans="1:2">
      <c r="A119" t="s">
        <v>480</v>
      </c>
      <c r="B119" t="s">
        <v>481</v>
      </c>
    </row>
    <row r="120" spans="1:2">
      <c r="A120" t="s">
        <v>482</v>
      </c>
      <c r="B120" t="s">
        <v>483</v>
      </c>
    </row>
    <row r="121" spans="1:2">
      <c r="A121" t="s">
        <v>484</v>
      </c>
      <c r="B121" t="s">
        <v>485</v>
      </c>
    </row>
    <row r="122" spans="1:2">
      <c r="A122" t="s">
        <v>486</v>
      </c>
      <c r="B122" t="s">
        <v>487</v>
      </c>
    </row>
    <row r="123" spans="1:2">
      <c r="A123" t="s">
        <v>488</v>
      </c>
      <c r="B123" t="s">
        <v>489</v>
      </c>
    </row>
    <row r="124" spans="1:2">
      <c r="A124" t="s">
        <v>490</v>
      </c>
      <c r="B124" t="s">
        <v>491</v>
      </c>
    </row>
    <row r="125" spans="1:2">
      <c r="A125" t="s">
        <v>492</v>
      </c>
      <c r="B125" t="s">
        <v>493</v>
      </c>
    </row>
    <row r="126" spans="1:2">
      <c r="A126" t="s">
        <v>494</v>
      </c>
      <c r="B126" t="s">
        <v>495</v>
      </c>
    </row>
    <row r="127" spans="1:2">
      <c r="A127" t="s">
        <v>496</v>
      </c>
      <c r="B127" t="s">
        <v>497</v>
      </c>
    </row>
    <row r="128" spans="1:2">
      <c r="A128" t="s">
        <v>498</v>
      </c>
      <c r="B128" t="s">
        <v>499</v>
      </c>
    </row>
    <row r="129" spans="1:2">
      <c r="A129" t="s">
        <v>500</v>
      </c>
      <c r="B129" t="s">
        <v>501</v>
      </c>
    </row>
    <row r="130" spans="1:2">
      <c r="A130" t="s">
        <v>502</v>
      </c>
      <c r="B130" t="s">
        <v>503</v>
      </c>
    </row>
    <row r="131" spans="1:2">
      <c r="A131" t="s">
        <v>504</v>
      </c>
      <c r="B131" t="s">
        <v>505</v>
      </c>
    </row>
    <row r="132" spans="1:2">
      <c r="A132" t="s">
        <v>506</v>
      </c>
      <c r="B132" t="s">
        <v>507</v>
      </c>
    </row>
    <row r="133" spans="1:2">
      <c r="A133" t="s">
        <v>508</v>
      </c>
      <c r="B133" t="s">
        <v>509</v>
      </c>
    </row>
    <row r="134" spans="1:2">
      <c r="A134" t="s">
        <v>510</v>
      </c>
      <c r="B134" t="s">
        <v>511</v>
      </c>
    </row>
    <row r="135" spans="1:2">
      <c r="A135" t="s">
        <v>512</v>
      </c>
      <c r="B135" t="s">
        <v>513</v>
      </c>
    </row>
    <row r="136" spans="1:2">
      <c r="A136" t="s">
        <v>514</v>
      </c>
      <c r="B136" t="s">
        <v>515</v>
      </c>
    </row>
    <row r="137" spans="1:2">
      <c r="A137" t="s">
        <v>516</v>
      </c>
      <c r="B137" t="s">
        <v>517</v>
      </c>
    </row>
    <row r="138" spans="1:2">
      <c r="A138" t="s">
        <v>518</v>
      </c>
      <c r="B138" t="s">
        <v>519</v>
      </c>
    </row>
    <row r="139" spans="1:2">
      <c r="A139" t="s">
        <v>520</v>
      </c>
      <c r="B139" t="s">
        <v>521</v>
      </c>
    </row>
    <row r="140" spans="1:2">
      <c r="A140" t="s">
        <v>522</v>
      </c>
      <c r="B140" t="s">
        <v>523</v>
      </c>
    </row>
    <row r="141" spans="1:2">
      <c r="A141" t="s">
        <v>524</v>
      </c>
      <c r="B141" t="s">
        <v>525</v>
      </c>
    </row>
    <row r="142" spans="1:2">
      <c r="A142" t="s">
        <v>526</v>
      </c>
      <c r="B142" t="s">
        <v>527</v>
      </c>
    </row>
    <row r="143" spans="1:2">
      <c r="A143" t="s">
        <v>528</v>
      </c>
      <c r="B143" t="s">
        <v>529</v>
      </c>
    </row>
    <row r="144" spans="1:2">
      <c r="A144" t="s">
        <v>530</v>
      </c>
      <c r="B144" t="s">
        <v>531</v>
      </c>
    </row>
    <row r="145" spans="1:2">
      <c r="A145" t="s">
        <v>532</v>
      </c>
      <c r="B145" t="s">
        <v>533</v>
      </c>
    </row>
    <row r="146" spans="1:2">
      <c r="A146" t="s">
        <v>534</v>
      </c>
      <c r="B146" t="s">
        <v>535</v>
      </c>
    </row>
    <row r="147" spans="1:2">
      <c r="A147" t="s">
        <v>536</v>
      </c>
      <c r="B147" t="s">
        <v>537</v>
      </c>
    </row>
    <row r="148" spans="1:2">
      <c r="A148" t="s">
        <v>538</v>
      </c>
      <c r="B148" t="s">
        <v>539</v>
      </c>
    </row>
    <row r="149" spans="1:2">
      <c r="A149" t="s">
        <v>540</v>
      </c>
      <c r="B149" t="s">
        <v>541</v>
      </c>
    </row>
    <row r="150" spans="1:2">
      <c r="A150" t="s">
        <v>542</v>
      </c>
      <c r="B150" t="s">
        <v>543</v>
      </c>
    </row>
    <row r="151" spans="1:2">
      <c r="A151" t="s">
        <v>544</v>
      </c>
      <c r="B151" t="s">
        <v>545</v>
      </c>
    </row>
    <row r="152" spans="1:2">
      <c r="A152" t="s">
        <v>546</v>
      </c>
      <c r="B152" t="s">
        <v>547</v>
      </c>
    </row>
    <row r="153" spans="1:2">
      <c r="A153" t="s">
        <v>548</v>
      </c>
      <c r="B153" t="s">
        <v>549</v>
      </c>
    </row>
    <row r="154" spans="1:2">
      <c r="A154" t="s">
        <v>550</v>
      </c>
      <c r="B154" t="s">
        <v>551</v>
      </c>
    </row>
    <row r="155" spans="1:2">
      <c r="A155" t="s">
        <v>552</v>
      </c>
      <c r="B155" t="s">
        <v>553</v>
      </c>
    </row>
    <row r="156" spans="1:2">
      <c r="A156" t="s">
        <v>554</v>
      </c>
      <c r="B156" t="s">
        <v>555</v>
      </c>
    </row>
    <row r="157" spans="1:2">
      <c r="A157" t="s">
        <v>556</v>
      </c>
      <c r="B157" t="s">
        <v>557</v>
      </c>
    </row>
    <row r="158" spans="1:2">
      <c r="A158" t="s">
        <v>558</v>
      </c>
      <c r="B158" t="s">
        <v>559</v>
      </c>
    </row>
    <row r="159" spans="1:2">
      <c r="A159" t="s">
        <v>560</v>
      </c>
      <c r="B159" t="s">
        <v>561</v>
      </c>
    </row>
    <row r="160" spans="1:2">
      <c r="A160" t="s">
        <v>562</v>
      </c>
      <c r="B160" t="s">
        <v>563</v>
      </c>
    </row>
    <row r="161" spans="1:2">
      <c r="A161" t="s">
        <v>564</v>
      </c>
      <c r="B161" t="s">
        <v>565</v>
      </c>
    </row>
    <row r="162" spans="1:2">
      <c r="A162" t="s">
        <v>566</v>
      </c>
      <c r="B162" t="s">
        <v>567</v>
      </c>
    </row>
    <row r="163" spans="1:2">
      <c r="A163" t="s">
        <v>568</v>
      </c>
      <c r="B163" t="s">
        <v>569</v>
      </c>
    </row>
    <row r="164" spans="1:2">
      <c r="A164" t="s">
        <v>570</v>
      </c>
      <c r="B164" t="s">
        <v>571</v>
      </c>
    </row>
    <row r="165" spans="1:2">
      <c r="A165" t="s">
        <v>572</v>
      </c>
      <c r="B165" t="s">
        <v>573</v>
      </c>
    </row>
    <row r="166" spans="1:2">
      <c r="A166" t="s">
        <v>574</v>
      </c>
      <c r="B166" t="s">
        <v>575</v>
      </c>
    </row>
    <row r="167" spans="1:2">
      <c r="A167" t="s">
        <v>576</v>
      </c>
      <c r="B167" t="s">
        <v>577</v>
      </c>
    </row>
    <row r="168" spans="1:2">
      <c r="A168" t="s">
        <v>578</v>
      </c>
      <c r="B168" t="s">
        <v>579</v>
      </c>
    </row>
    <row r="169" spans="1:2">
      <c r="A169" t="s">
        <v>580</v>
      </c>
      <c r="B169" t="s">
        <v>581</v>
      </c>
    </row>
    <row r="170" spans="1:2">
      <c r="A170" t="s">
        <v>582</v>
      </c>
      <c r="B170" t="s">
        <v>583</v>
      </c>
    </row>
    <row r="171" spans="1:2">
      <c r="A171" t="s">
        <v>584</v>
      </c>
      <c r="B171" t="s">
        <v>585</v>
      </c>
    </row>
    <row r="172" spans="1:2">
      <c r="A172" t="s">
        <v>586</v>
      </c>
      <c r="B172" t="s">
        <v>587</v>
      </c>
    </row>
    <row r="173" spans="1:2">
      <c r="A173" t="s">
        <v>588</v>
      </c>
      <c r="B173" t="s">
        <v>589</v>
      </c>
    </row>
    <row r="174" spans="1:2">
      <c r="A174" t="s">
        <v>590</v>
      </c>
      <c r="B174" t="s">
        <v>591</v>
      </c>
    </row>
    <row r="175" spans="1:2">
      <c r="A175" t="s">
        <v>592</v>
      </c>
      <c r="B175" t="s">
        <v>593</v>
      </c>
    </row>
    <row r="176" spans="1:2">
      <c r="A176" t="s">
        <v>594</v>
      </c>
      <c r="B176" t="s">
        <v>595</v>
      </c>
    </row>
    <row r="177" spans="1:2">
      <c r="A177" t="s">
        <v>596</v>
      </c>
      <c r="B177" t="s">
        <v>597</v>
      </c>
    </row>
    <row r="178" spans="1:2">
      <c r="A178" t="s">
        <v>598</v>
      </c>
      <c r="B178" t="s">
        <v>599</v>
      </c>
    </row>
    <row r="179" spans="1:2">
      <c r="A179" t="s">
        <v>600</v>
      </c>
      <c r="B179" t="s">
        <v>601</v>
      </c>
    </row>
    <row r="180" spans="1:2">
      <c r="A180" t="s">
        <v>602</v>
      </c>
      <c r="B180" t="s">
        <v>603</v>
      </c>
    </row>
    <row r="181" spans="1:2">
      <c r="A181" t="s">
        <v>604</v>
      </c>
      <c r="B181" t="s">
        <v>605</v>
      </c>
    </row>
    <row r="182" spans="1:2">
      <c r="A182" t="s">
        <v>606</v>
      </c>
      <c r="B182" t="s">
        <v>607</v>
      </c>
    </row>
    <row r="183" spans="1:2">
      <c r="A183" t="s">
        <v>608</v>
      </c>
      <c r="B183" t="s">
        <v>609</v>
      </c>
    </row>
    <row r="184" spans="1:2">
      <c r="A184" t="s">
        <v>610</v>
      </c>
      <c r="B184" t="s">
        <v>298</v>
      </c>
    </row>
    <row r="185" spans="1:2">
      <c r="A185" t="s">
        <v>611</v>
      </c>
      <c r="B185" t="s">
        <v>612</v>
      </c>
    </row>
    <row r="186" spans="1:2">
      <c r="A186" t="s">
        <v>613</v>
      </c>
      <c r="B186" t="s">
        <v>614</v>
      </c>
    </row>
    <row r="187" spans="1:2">
      <c r="A187" t="s">
        <v>615</v>
      </c>
      <c r="B187" t="s">
        <v>616</v>
      </c>
    </row>
    <row r="188" spans="1:2">
      <c r="A188" t="s">
        <v>617</v>
      </c>
      <c r="B188" t="s">
        <v>618</v>
      </c>
    </row>
    <row r="189" spans="1:2">
      <c r="A189" t="s">
        <v>619</v>
      </c>
      <c r="B189" t="s">
        <v>620</v>
      </c>
    </row>
    <row r="190" spans="1:2">
      <c r="A190" t="s">
        <v>621</v>
      </c>
      <c r="B190" t="s">
        <v>622</v>
      </c>
    </row>
    <row r="191" spans="1:2">
      <c r="A191" t="s">
        <v>623</v>
      </c>
      <c r="B191" t="s">
        <v>624</v>
      </c>
    </row>
    <row r="192" spans="1:2">
      <c r="A192" t="s">
        <v>625</v>
      </c>
      <c r="B192" t="s">
        <v>626</v>
      </c>
    </row>
    <row r="193" spans="1:2">
      <c r="A193" t="s">
        <v>627</v>
      </c>
      <c r="B193" t="s">
        <v>628</v>
      </c>
    </row>
    <row r="194" spans="1:2">
      <c r="A194" t="s">
        <v>629</v>
      </c>
      <c r="B194" t="s">
        <v>630</v>
      </c>
    </row>
    <row r="195" spans="1:2">
      <c r="A195" t="s">
        <v>631</v>
      </c>
      <c r="B195" t="s">
        <v>632</v>
      </c>
    </row>
    <row r="196" spans="1:2">
      <c r="A196" t="s">
        <v>633</v>
      </c>
      <c r="B196" t="s">
        <v>634</v>
      </c>
    </row>
    <row r="197" spans="1:2">
      <c r="A197" t="s">
        <v>635</v>
      </c>
      <c r="B197" t="s">
        <v>636</v>
      </c>
    </row>
    <row r="198" spans="1:2">
      <c r="A198" t="s">
        <v>637</v>
      </c>
      <c r="B198" t="s">
        <v>638</v>
      </c>
    </row>
    <row r="199" spans="1:2">
      <c r="A199" t="s">
        <v>639</v>
      </c>
      <c r="B199" t="s">
        <v>640</v>
      </c>
    </row>
    <row r="200" spans="1:2">
      <c r="A200" t="s">
        <v>641</v>
      </c>
      <c r="B200" t="s">
        <v>642</v>
      </c>
    </row>
    <row r="201" spans="1:2">
      <c r="A201" t="s">
        <v>643</v>
      </c>
      <c r="B201" t="s">
        <v>298</v>
      </c>
    </row>
    <row r="202" spans="1:2">
      <c r="A202" t="s">
        <v>644</v>
      </c>
      <c r="B202" t="s">
        <v>645</v>
      </c>
    </row>
    <row r="203" spans="1:2">
      <c r="A203" t="s">
        <v>646</v>
      </c>
      <c r="B203" t="s">
        <v>647</v>
      </c>
    </row>
    <row r="204" spans="1:2">
      <c r="A204" t="s">
        <v>648</v>
      </c>
      <c r="B204" t="s">
        <v>649</v>
      </c>
    </row>
    <row r="205" spans="1:2">
      <c r="A205" t="s">
        <v>650</v>
      </c>
      <c r="B205" t="s">
        <v>651</v>
      </c>
    </row>
    <row r="206" spans="1:2">
      <c r="A206" t="s">
        <v>652</v>
      </c>
      <c r="B206" t="s">
        <v>653</v>
      </c>
    </row>
    <row r="207" spans="1:2">
      <c r="A207" t="s">
        <v>654</v>
      </c>
      <c r="B207" t="s">
        <v>653</v>
      </c>
    </row>
    <row r="208" spans="1:2">
      <c r="A208" t="s">
        <v>655</v>
      </c>
      <c r="B208" t="s">
        <v>656</v>
      </c>
    </row>
    <row r="209" spans="1:2">
      <c r="A209" t="s">
        <v>657</v>
      </c>
      <c r="B209" t="s">
        <v>658</v>
      </c>
    </row>
    <row r="210" spans="1:2">
      <c r="A210" t="s">
        <v>659</v>
      </c>
      <c r="B210" t="s">
        <v>660</v>
      </c>
    </row>
    <row r="211" spans="1:2">
      <c r="A211" t="s">
        <v>661</v>
      </c>
      <c r="B211" t="s">
        <v>662</v>
      </c>
    </row>
    <row r="212" spans="1:2">
      <c r="A212" t="s">
        <v>663</v>
      </c>
      <c r="B212" t="s">
        <v>664</v>
      </c>
    </row>
    <row r="213" spans="1:2">
      <c r="A213" t="s">
        <v>665</v>
      </c>
      <c r="B213" t="s">
        <v>666</v>
      </c>
    </row>
    <row r="214" spans="1:2">
      <c r="A214" t="s">
        <v>667</v>
      </c>
      <c r="B214" t="s">
        <v>668</v>
      </c>
    </row>
    <row r="215" spans="1:2">
      <c r="A215" t="s">
        <v>669</v>
      </c>
      <c r="B215" t="s">
        <v>670</v>
      </c>
    </row>
    <row r="216" spans="1:2">
      <c r="A216" t="s">
        <v>671</v>
      </c>
      <c r="B216" t="s">
        <v>672</v>
      </c>
    </row>
    <row r="217" spans="1:2">
      <c r="A217" t="s">
        <v>673</v>
      </c>
      <c r="B217" t="s">
        <v>674</v>
      </c>
    </row>
    <row r="218" spans="1:2">
      <c r="A218" t="s">
        <v>675</v>
      </c>
      <c r="B218" t="s">
        <v>676</v>
      </c>
    </row>
    <row r="219" spans="1:2">
      <c r="A219" t="s">
        <v>677</v>
      </c>
      <c r="B219" t="s">
        <v>678</v>
      </c>
    </row>
    <row r="220" spans="1:2">
      <c r="A220" t="s">
        <v>679</v>
      </c>
      <c r="B220" t="s">
        <v>680</v>
      </c>
    </row>
    <row r="221" spans="1:2">
      <c r="A221" t="s">
        <v>681</v>
      </c>
      <c r="B221" t="s">
        <v>682</v>
      </c>
    </row>
    <row r="222" spans="1:2">
      <c r="A222" t="s">
        <v>683</v>
      </c>
      <c r="B222" t="s">
        <v>684</v>
      </c>
    </row>
    <row r="223" spans="1:2">
      <c r="A223" t="s">
        <v>685</v>
      </c>
      <c r="B223" t="s">
        <v>686</v>
      </c>
    </row>
    <row r="224" spans="1:2">
      <c r="A224" t="s">
        <v>687</v>
      </c>
      <c r="B224" t="s">
        <v>688</v>
      </c>
    </row>
    <row r="225" spans="1:2">
      <c r="A225" t="s">
        <v>689</v>
      </c>
      <c r="B225" t="s">
        <v>690</v>
      </c>
    </row>
    <row r="226" spans="1:2">
      <c r="A226" t="s">
        <v>691</v>
      </c>
      <c r="B226" t="s">
        <v>692</v>
      </c>
    </row>
    <row r="227" spans="1:2">
      <c r="A227" t="s">
        <v>693</v>
      </c>
      <c r="B227" t="s">
        <v>694</v>
      </c>
    </row>
    <row r="228" spans="1:2">
      <c r="A228" t="s">
        <v>695</v>
      </c>
      <c r="B228" t="s">
        <v>696</v>
      </c>
    </row>
    <row r="229" spans="1:2">
      <c r="A229" t="s">
        <v>697</v>
      </c>
      <c r="B229" t="s">
        <v>698</v>
      </c>
    </row>
    <row r="230" spans="1:2">
      <c r="A230" t="s">
        <v>699</v>
      </c>
      <c r="B230" t="s">
        <v>700</v>
      </c>
    </row>
    <row r="231" spans="1:2">
      <c r="A231" t="s">
        <v>701</v>
      </c>
      <c r="B231" t="s">
        <v>702</v>
      </c>
    </row>
    <row r="232" spans="1:2">
      <c r="A232" t="s">
        <v>703</v>
      </c>
      <c r="B232" t="s">
        <v>704</v>
      </c>
    </row>
    <row r="233" spans="1:2">
      <c r="A233" t="s">
        <v>705</v>
      </c>
      <c r="B233" t="s">
        <v>706</v>
      </c>
    </row>
    <row r="234" spans="1:2">
      <c r="A234" t="s">
        <v>707</v>
      </c>
      <c r="B234" t="s">
        <v>708</v>
      </c>
    </row>
    <row r="235" spans="1:2">
      <c r="A235" t="s">
        <v>709</v>
      </c>
      <c r="B235" t="s">
        <v>710</v>
      </c>
    </row>
    <row r="236" spans="1:2">
      <c r="A236" t="s">
        <v>711</v>
      </c>
      <c r="B236" t="s">
        <v>712</v>
      </c>
    </row>
    <row r="237" spans="1:2">
      <c r="A237" t="s">
        <v>713</v>
      </c>
      <c r="B237" t="s">
        <v>714</v>
      </c>
    </row>
    <row r="238" spans="1:2">
      <c r="A238" t="s">
        <v>715</v>
      </c>
      <c r="B238" t="s">
        <v>716</v>
      </c>
    </row>
    <row r="239" spans="1:2">
      <c r="A239" t="s">
        <v>717</v>
      </c>
      <c r="B239" t="s">
        <v>718</v>
      </c>
    </row>
    <row r="240" spans="1:2">
      <c r="A240" t="s">
        <v>719</v>
      </c>
      <c r="B240" t="s">
        <v>720</v>
      </c>
    </row>
    <row r="241" spans="1:2">
      <c r="A241" t="s">
        <v>721</v>
      </c>
      <c r="B241" t="s">
        <v>722</v>
      </c>
    </row>
    <row r="242" spans="1:2">
      <c r="A242" t="s">
        <v>723</v>
      </c>
      <c r="B242" t="s">
        <v>724</v>
      </c>
    </row>
    <row r="243" spans="1:2">
      <c r="A243" t="s">
        <v>725</v>
      </c>
      <c r="B243" t="s">
        <v>726</v>
      </c>
    </row>
    <row r="244" spans="1:2">
      <c r="A244" t="s">
        <v>727</v>
      </c>
      <c r="B244" t="s">
        <v>728</v>
      </c>
    </row>
    <row r="245" spans="1:2">
      <c r="A245" t="s">
        <v>729</v>
      </c>
      <c r="B245" t="s">
        <v>730</v>
      </c>
    </row>
    <row r="246" spans="1:2">
      <c r="A246" t="s">
        <v>731</v>
      </c>
      <c r="B246" t="s">
        <v>732</v>
      </c>
    </row>
    <row r="247" spans="1:2">
      <c r="A247" t="s">
        <v>733</v>
      </c>
      <c r="B247" t="s">
        <v>734</v>
      </c>
    </row>
    <row r="248" spans="1:2">
      <c r="A248" t="s">
        <v>735</v>
      </c>
      <c r="B248" t="s">
        <v>736</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Categories</vt:lpstr>
      <vt:lpstr>Metadata</vt:lpstr>
      <vt:lpstr>picklists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Sam Burke</cp:lastModifiedBy>
  <cp:lastPrinted>2014-02-01T19:00:50Z</cp:lastPrinted>
  <dcterms:created xsi:type="dcterms:W3CDTF">2013-09-30T16:43:43Z</dcterms:created>
  <dcterms:modified xsi:type="dcterms:W3CDTF">2015-08-18T20:34:38Z</dcterms:modified>
</cp:coreProperties>
</file>