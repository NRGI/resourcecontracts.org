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Ben\Dropbox\Land Contracts\Contract annotations\Ethiopian contracts\Ethiopian contracts - ready for upload\"/>
    </mc:Choice>
  </mc:AlternateContent>
  <bookViews>
    <workbookView xWindow="0" yWindow="0" windowWidth="25600" windowHeight="1600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B7"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<sst xmlns="http://schemas.openxmlformats.org/spreadsheetml/2006/main" count="995" uniqueCount="912">
  <si>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</si>
  <si>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</si>
  <si>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</si>
  <si>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</si>
  <si>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</si>
  <si>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</si>
  <si>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</si>
  <si>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</si>
  <si>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</si>
  <si>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</si>
  <si>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</si>
  <si>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</si>
  <si>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</si>
  <si>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</si>
  <si>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</si>
  <si>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</si>
  <si>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</si>
  <si>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</si>
  <si>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</si>
  <si>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</si>
  <si>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</si>
  <si>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</si>
  <si>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</si>
  <si>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</si>
  <si>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</si>
  <si>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</si>
  <si>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</si>
  <si>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</si>
  <si>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</si>
  <si>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</si>
  <si>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</si>
  <si>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</si>
  <si>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</si>
  <si>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</si>
  <si>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</si>
  <si>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</si>
  <si>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</si>
  <si>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</si>
  <si>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</si>
  <si>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</si>
  <si>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</si>
  <si>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</si>
  <si>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</si>
  <si>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</si>
  <si>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</si>
  <si>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</si>
  <si>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</si>
  <si>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</si>
  <si>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</si>
  <si>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</si>
  <si>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</si>
  <si>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</si>
  <si>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</si>
  <si>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</si>
  <si>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</si>
  <si>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</si>
  <si>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</si>
  <si>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</si>
  <si>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</si>
  <si>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</si>
  <si>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</si>
  <si>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</si>
  <si>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</si>
  <si>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</si>
  <si>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</si>
  <si>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</si>
  <si>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</si>
  <si>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</si>
  <si>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</si>
  <si>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</si>
  <si>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</si>
  <si>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</si>
  <si>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</si>
  <si>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</si>
  <si>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</si>
  <si>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</si>
  <si>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</si>
  <si>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</si>
  <si>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</si>
  <si>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</si>
  <si>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</si>
  <si>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</si>
  <si>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</si>
  <si>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</si>
  <si>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</si>
  <si>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</si>
  <si>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</si>
  <si>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</si>
  <si>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</si>
  <si>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</si>
  <si>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</si>
  <si>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</si>
  <si>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</si>
  <si>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</si>
  <si>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</si>
  <si>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</si>
  <si>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</si>
  <si>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</si>
  <si>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</si>
  <si>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</si>
  <si>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</si>
  <si>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</si>
  <si>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</si>
  <si>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</si>
  <si>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</si>
  <si>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</si>
  <si>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</si>
  <si>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</si>
  <si>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</si>
  <si>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</si>
  <si>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</si>
  <si>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</si>
  <si>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</si>
  <si>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</si>
  <si>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</si>
  <si>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</si>
  <si>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</si>
  <si>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</si>
  <si>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</si>
  <si>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</si>
  <si>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</si>
  <si>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</si>
  <si>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</si>
  <si>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</si>
  <si>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</si>
  <si>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</si>
  <si>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</si>
  <si>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</si>
  <si>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</si>
  <si>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</si>
  <si>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</si>
  <si>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</si>
  <si>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</si>
  <si>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</si>
  <si>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</si>
  <si>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</si>
  <si>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</si>
  <si>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</si>
  <si>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</si>
  <si>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</si>
  <si>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</si>
  <si>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</si>
  <si>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</si>
  <si>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</si>
  <si>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</si>
  <si>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</si>
  <si>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</si>
  <si>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</si>
  <si>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</si>
  <si>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</si>
  <si>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</si>
  <si>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</si>
  <si>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</si>
  <si>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</si>
  <si>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</si>
  <si>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</si>
  <si>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</si>
  <si>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</si>
  <si>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</si>
  <si>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</si>
  <si>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</si>
  <si>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</si>
  <si>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</si>
  <si>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</si>
  <si>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</si>
  <si>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</si>
  <si>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</si>
  <si>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</si>
  <si>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</si>
  <si>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</si>
  <si>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</si>
  <si>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</si>
  <si>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</si>
  <si>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</si>
  <si>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</si>
  <si>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</si>
  <si>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</si>
  <si>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</si>
  <si>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</si>
  <si>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</si>
  <si>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</si>
  <si>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</si>
  <si>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</si>
  <si>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</si>
  <si>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</si>
  <si>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</si>
  <si>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</si>
  <si>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</si>
  <si>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</si>
  <si>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</si>
  <si>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</si>
  <si>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</si>
  <si>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</si>
  <si>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</si>
  <si>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</si>
  <si>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</si>
  <si>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</si>
  <si>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</si>
  <si>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</si>
  <si>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</si>
  <si>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</si>
  <si>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</si>
  <si>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</si>
  <si>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</si>
  <si>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</si>
  <si>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</si>
  <si>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</si>
  <si>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</si>
  <si>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</si>
  <si>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</si>
  <si>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</si>
  <si>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</si>
  <si>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</si>
  <si>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</si>
  <si>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</si>
  <si>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</si>
  <si>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</si>
  <si>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</si>
  <si>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</si>
  <si>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</si>
  <si>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</si>
  <si>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</si>
  <si>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</si>
  <si>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</si>
  <si>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</si>
  <si>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</si>
  <si>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</si>
  <si>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</si>
  <si>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</si>
  <si>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</si>
  <si>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</si>
  <si>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</si>
  <si>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</si>
  <si>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</si>
  <si>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</si>
  <si>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</si>
  <si>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</si>
  <si>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</si>
  <si>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</si>
  <si>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</si>
  <si>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</si>
  <si>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</si>
  <si>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</si>
  <si>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</si>
  <si>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</si>
  <si>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</si>
  <si>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</si>
  <si>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</si>
  <si>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</si>
  <si>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</si>
  <si>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</si>
  <si>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</si>
  <si>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</si>
  <si>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</si>
  <si>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</si>
  <si>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</si>
  <si>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</si>
  <si>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</si>
  <si>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</si>
  <si>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</si>
  <si>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</si>
  <si>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</si>
  <si>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</si>
  <si>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</si>
  <si>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</si>
  <si>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</si>
  <si>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</si>
  <si>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</si>
  <si>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</si>
  <si>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</si>
  <si>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</si>
  <si>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</si>
  <si>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</si>
  <si>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</si>
  <si>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</si>
  <si>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</si>
  <si>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</si>
  <si>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</si>
  <si>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</si>
  <si>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</si>
  <si>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</si>
  <si>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</si>
  <si>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</si>
  <si>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</si>
  <si>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</si>
  <si>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</si>
  <si>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</si>
  <si>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</si>
  <si>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</si>
  <si>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</si>
  <si>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</si>
  <si>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</si>
  <si>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</si>
  <si>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</si>
  <si>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</si>
  <si>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</si>
  <si>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</si>
  <si>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</si>
  <si>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</si>
  <si>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</si>
  <si>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</si>
  <si>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</si>
  <si>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</si>
  <si>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</si>
  <si>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</si>
  <si>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</si>
  <si>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</si>
  <si>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</si>
  <si>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</si>
  <si>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</si>
  <si>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</si>
  <si>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</si>
  <si>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</si>
  <si>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</si>
  <si>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</si>
  <si>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</si>
  <si>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</si>
  <si>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</si>
  <si>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</si>
  <si>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</si>
  <si>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</si>
  <si>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</si>
  <si>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</si>
  <si>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</si>
  <si>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</si>
  <si>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</si>
  <si>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</si>
  <si>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</si>
  <si>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</si>
  <si>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</si>
  <si>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</si>
  <si>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</si>
  <si>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</si>
  <si>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</si>
  <si>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</si>
  <si>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</si>
  <si>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</si>
  <si>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</si>
  <si>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</si>
  <si>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</si>
  <si>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</si>
  <si>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</si>
  <si>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</si>
  <si>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</si>
  <si>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</si>
  <si>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</si>
  <si>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</si>
  <si>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</si>
  <si>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</si>
  <si>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</si>
  <si>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</si>
  <si>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</si>
  <si>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</si>
  <si>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</si>
  <si>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</si>
  <si>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</si>
  <si>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</si>
  <si>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</si>
  <si>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</si>
  <si>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</si>
  <si>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</si>
  <si>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</si>
  <si>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</si>
  <si>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</si>
  <si>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</si>
  <si>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</si>
  <si>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</si>
  <si>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</si>
  <si>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</si>
  <si>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</si>
  <si>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</si>
  <si>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</si>
  <si>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</si>
  <si>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</si>
  <si>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</si>
  <si>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</si>
  <si>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</si>
  <si>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</si>
  <si>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</si>
  <si>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</si>
  <si>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</si>
  <si>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</si>
  <si>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</si>
  <si>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</si>
  <si>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</si>
  <si>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</si>
  <si>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</si>
  <si>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</si>
  <si>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</si>
  <si>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</si>
  <si>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</si>
  <si>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</si>
  <si>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</si>
  <si>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</si>
  <si>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</si>
  <si>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</si>
  <si>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</si>
  <si>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</si>
  <si>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</si>
  <si>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</si>
  <si>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</si>
  <si>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</si>
  <si>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</si>
  <si>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</si>
  <si>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</si>
  <si>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</si>
  <si>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</si>
  <si>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</si>
  <si>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</si>
  <si>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</si>
  <si>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</si>
  <si>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</si>
  <si>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</si>
  <si>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</si>
  <si>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</si>
  <si>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</si>
  <si>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</si>
  <si>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</si>
  <si>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</si>
  <si>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</si>
  <si>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</si>
  <si>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</si>
  <si>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</si>
  <si>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</si>
  <si>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</si>
  <si>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</si>
  <si>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</si>
  <si>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</si>
  <si>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</si>
  <si>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</si>
  <si>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</si>
  <si>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</si>
  <si>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</si>
  <si>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</si>
  <si>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</si>
  <si>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</si>
  <si>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</si>
  <si>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</si>
  <si>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</si>
  <si>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</si>
  <si>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</si>
  <si>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</si>
  <si>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</si>
  <si>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</si>
  <si>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</si>
  <si>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</si>
  <si>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</si>
  <si>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</si>
  <si>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</si>
  <si>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</si>
  <si>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</si>
  <si>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</si>
  <si>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</si>
  <si>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</si>
  <si>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</si>
  <si>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</si>
  <si>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</si>
  <si>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</si>
  <si>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</si>
  <si>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</si>
  <si>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</si>
  <si>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</si>
  <si>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</si>
  <si>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</si>
  <si>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</si>
  <si>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</si>
  <si>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</si>
  <si>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</si>
  <si>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</si>
  <si>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</si>
  <si>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</si>
  <si>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</si>
  <si>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</si>
  <si>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</si>
  <si>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</si>
  <si>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</si>
  <si>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</si>
  <si>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</si>
  <si>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</si>
  <si>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</si>
  <si>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</si>
  <si>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</si>
  <si>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</si>
  <si>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</si>
  <si>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</si>
  <si>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</si>
  <si>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</si>
  <si>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</si>
  <si>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</si>
  <si>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</si>
  <si>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</si>
  <si>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</si>
  <si>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</si>
  <si>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</si>
  <si>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</si>
  <si>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</si>
  <si>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</si>
  <si>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</si>
  <si>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</si>
  <si>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</si>
  <si>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</si>
  <si>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</si>
  <si>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</si>
  <si>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</si>
  <si>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</si>
  <si>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</si>
  <si>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</si>
  <si>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</si>
  <si>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</si>
  <si>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</si>
  <si>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</si>
  <si>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</si>
  <si>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</si>
  <si>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</si>
  <si>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</si>
  <si>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</si>
  <si>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</si>
  <si>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</si>
  <si>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</si>
  <si>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</si>
  <si>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</si>
  <si>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</si>
  <si>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</si>
  <si>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</si>
  <si>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</si>
  <si>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</si>
  <si>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</si>
  <si>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</si>
  <si>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</si>
  <si>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</si>
  <si>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</si>
  <si>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</si>
  <si>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</si>
  <si>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</si>
  <si>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</si>
  <si>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</si>
  <si>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</si>
  <si>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</si>
  <si>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</si>
  <si>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</si>
  <si>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</si>
  <si>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</si>
  <si>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</si>
  <si>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</si>
  <si>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</si>
  <si>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</si>
  <si>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</si>
  <si>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</si>
  <si>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</si>
  <si>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</si>
  <si>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</si>
  <si>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</si>
  <si>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</si>
  <si>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</si>
  <si>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</si>
  <si>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</si>
  <si>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</si>
  <si>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</si>
  <si>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</si>
  <si>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</si>
  <si>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</si>
  <si>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</si>
  <si>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</si>
  <si>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</si>
  <si>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</si>
  <si>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</si>
  <si>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</si>
  <si>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</si>
  <si>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</si>
  <si>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</si>
  <si>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</si>
  <si>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</si>
  <si>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</si>
  <si>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</si>
  <si>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</si>
  <si>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</si>
  <si>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</si>
  <si>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</si>
  <si>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</si>
  <si>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</si>
  <si>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</si>
  <si>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</si>
  <si>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</si>
  <si>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</si>
  <si>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</si>
  <si>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</si>
  <si>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</si>
  <si>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</si>
  <si>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</si>
  <si>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</si>
  <si>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</si>
  <si>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</si>
  <si>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</si>
  <si>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</si>
  <si>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</si>
  <si>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</si>
  <si>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</si>
  <si>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</si>
  <si>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</si>
  <si>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</si>
  <si>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</si>
  <si>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</si>
  <si>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</si>
  <si>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</si>
  <si>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</si>
  <si>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</si>
  <si>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</si>
  <si>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</si>
  <si>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</si>
  <si>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</si>
  <si>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</si>
  <si>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</si>
  <si>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</si>
  <si>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</si>
  <si>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</si>
  <si>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</si>
  <si>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</si>
  <si>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</si>
  <si>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</si>
  <si>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</si>
  <si>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</si>
  <si>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</si>
  <si>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</si>
  <si>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</si>
  <si>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</si>
  <si>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</si>
  <si>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</si>
  <si>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</si>
  <si>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</si>
  <si>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</si>
  <si>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</si>
  <si>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</si>
  <si>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</si>
  <si>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</si>
  <si>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</si>
  <si>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</si>
  <si>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</si>
  <si>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</si>
  <si>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</si>
  <si>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</si>
  <si>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</si>
  <si>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</si>
  <si>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</si>
  <si>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</si>
  <si>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</si>
  <si>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</si>
  <si>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</si>
  <si>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</si>
  <si>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</si>
  <si>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</si>
  <si>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</si>
  <si>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</si>
  <si>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</si>
  <si>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</si>
  <si>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</si>
  <si>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</si>
  <si>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</si>
  <si>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</si>
  <si>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</si>
  <si>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</si>
  <si>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</si>
  <si>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</si>
  <si>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</si>
  <si>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</si>
  <si>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</si>
  <si>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</si>
  <si>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</si>
  <si>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</si>
  <si>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</si>
  <si>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</si>
  <si>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</si>
  <si>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</si>
  <si>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</si>
  <si>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</si>
  <si>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</si>
  <si>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</si>
  <si>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</si>
  <si>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</si>
  <si>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</si>
  <si>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</si>
  <si>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</si>
  <si>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</si>
  <si>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</si>
  <si>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</si>
  <si>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</si>
  <si>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</si>
  <si>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</si>
  <si>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</si>
  <si>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</si>
  <si>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</si>
  <si>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</si>
  <si>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</si>
  <si>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</si>
  <si>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</si>
  <si>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</si>
  <si>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</si>
  <si>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</si>
  <si>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</si>
  <si>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</si>
  <si>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</si>
  <si>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</si>
  <si>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</si>
  <si>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</si>
  <si>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</si>
  <si>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</si>
  <si>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</si>
  <si>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</si>
  <si>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</si>
  <si>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</si>
  <si>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</si>
  <si>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</si>
  <si>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</si>
  <si>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</si>
  <si>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</si>
  <si>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</si>
  <si>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</si>
  <si>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</si>
  <si>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</si>
  <si>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</si>
  <si>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</si>
  <si>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</si>
  <si>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</si>
  <si>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</si>
  <si>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</si>
  <si>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</si>
  <si>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</si>
  <si>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</si>
  <si>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</si>
  <si>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</si>
  <si>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</si>
  <si>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</si>
  <si>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</si>
  <si>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</si>
  <si>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</si>
  <si>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</si>
  <si>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</si>
  <si>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</si>
  <si>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</si>
  <si>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</si>
  <si>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</si>
  <si>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</si>
  <si>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</si>
  <si>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</si>
  <si>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</si>
  <si>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</si>
  <si>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</si>
  <si>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</si>
  <si>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</si>
  <si>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</si>
  <si>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</si>
  <si>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</si>
  <si>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</si>
  <si>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</si>
  <si>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</si>
  <si>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</si>
  <si>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</si>
  <si>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</si>
  <si>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</si>
  <si>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</si>
  <si>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</si>
  <si>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</si>
  <si>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</si>
  <si>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</si>
  <si>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</si>
  <si>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</si>
  <si>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</si>
  <si>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</si>
  <si>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</si>
  <si>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</si>
  <si>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</si>
  <si>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</si>
  <si>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</si>
  <si>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</si>
  <si>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</si>
  <si>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</si>
  <si>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</si>
  <si>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</si>
  <si>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</si>
  <si>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</si>
  <si>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</si>
  <si>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</si>
  <si>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</si>
  <si>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</si>
  <si>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</si>
  <si>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</si>
  <si>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</si>
  <si>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</si>
  <si>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</si>
  <si>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</si>
  <si>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</si>
  <si>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</si>
  <si>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</si>
  <si>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</si>
  <si>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</si>
  <si>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</si>
  <si>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</si>
  <si>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</si>
  <si>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</si>
  <si>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</si>
  <si>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</si>
  <si>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</si>
  <si>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</si>
  <si>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</si>
  <si>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</si>
  <si>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</si>
  <si>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</si>
  <si>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</si>
  <si>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</si>
  <si>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</si>
  <si>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</si>
  <si>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</si>
  <si>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</si>
  <si>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</si>
  <si>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</si>
  <si>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</si>
  <si>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</si>
  <si>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</si>
  <si>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</si>
  <si>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</si>
  <si>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</si>
  <si>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</si>
  <si>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</si>
  <si>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</si>
  <si>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</si>
  <si>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</si>
  <si>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</si>
  <si>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</si>
  <si>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</si>
  <si>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</si>
  <si>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</si>
  <si>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</si>
  <si>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</si>
  <si>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Preamble</t>
  </si>
  <si>
    <t>1 (top)</t>
  </si>
  <si>
    <t>Title</t>
  </si>
  <si>
    <t>Signature page</t>
  </si>
  <si>
    <t>8 (middle)</t>
  </si>
  <si>
    <t>Ministry of Agriculture of FDRE (Federal Democratic Republic of Ethiopia)</t>
  </si>
  <si>
    <t>Art. 19</t>
  </si>
  <si>
    <t>25 years</t>
  </si>
  <si>
    <t xml:space="preserve">The land lease agreement can be renewed for another additional years mutually agreed between the parties. The land lease agreement shall be renewed on the same terms and conditions. If any of the parties wish to renew the agreement, it shall inform the other party at least 6 months before the expiration of the contract period. </t>
  </si>
  <si>
    <t>Arts. 2.1, 8</t>
  </si>
  <si>
    <t>2 (top), 5 (bottom)</t>
  </si>
  <si>
    <t>Art. 1.1</t>
  </si>
  <si>
    <t>1 (bottom)</t>
  </si>
  <si>
    <t>The Ministry of Agriculture undertakes to provide special investment privileges such as exemptions from taxation and import duties of capital goods and repatriation of capital and profits granted under the investment laws of Ethiopia</t>
  </si>
  <si>
    <t>Art. 6.2</t>
  </si>
  <si>
    <t>5 (top)</t>
  </si>
  <si>
    <t>Art. 4.1(d)</t>
  </si>
  <si>
    <t>3 (top)</t>
  </si>
  <si>
    <t>Art. 4.1</t>
  </si>
  <si>
    <t>Art. 3.2</t>
  </si>
  <si>
    <t>Arts. 1.1, 3.5</t>
  </si>
  <si>
    <t>1 (bottom), 2 (bottom)</t>
  </si>
  <si>
    <t>2 (top), 3 (bottom)</t>
  </si>
  <si>
    <t>The governing law for operations under the agreement shall be the laws of Ethiopia</t>
  </si>
  <si>
    <t>Art. 12</t>
  </si>
  <si>
    <t>7 (top)</t>
  </si>
  <si>
    <t>Art. 17</t>
  </si>
  <si>
    <t>7 (bottom)</t>
  </si>
  <si>
    <t>The site plan of the leased land and the environmental code of practice</t>
  </si>
  <si>
    <t>Art. 16</t>
  </si>
  <si>
    <t>Conditions of force majeure shall be governed by the Ethiopian Civil code</t>
  </si>
  <si>
    <t>Art. 13</t>
  </si>
  <si>
    <t>3 (bottom), 4 (middle)</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</si>
  <si>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</si>
  <si>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</si>
  <si>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</si>
  <si>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</si>
  <si>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</si>
  <si>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</si>
  <si>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</si>
  <si>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</si>
  <si>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</si>
  <si>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Pages missing from copy</t>
  </si>
  <si>
    <t>3 (bottom)</t>
  </si>
  <si>
    <t>Getafan Mechanized Farming P.L.C.</t>
  </si>
  <si>
    <t xml:space="preserve">Benshangul Gumuz Regional State, Metekel Zone, Dangur District Kota kebele </t>
  </si>
  <si>
    <t>Arts. 2.1, 19</t>
  </si>
  <si>
    <t>2 (top),8 (top)</t>
  </si>
  <si>
    <t>4 (bottom)</t>
  </si>
  <si>
    <t>Getafan Mechanized Farming bears an obligation to conduct environmental impact assessment and deliver the report within 3 months of execution of the agreement</t>
  </si>
  <si>
    <t>Getafan Mechanized Farming has the right to build infrastructure such as dams, water boreholes, power houses, irrigation system, roads, bridges, offices, residential buildings, fuel/power supply stations/outlets, health/hospitals, dispensaries, education facilities, at their discretion upon consultation and submission of a permit request with concerned offices, subject to the type and size of the investment project whenever it deems so appropriate</t>
  </si>
  <si>
    <t>Upon expiry or termination of the contract or revocation of the investment license, Getafan Mechanized Farming shall remove assets installed on the leased land in good order and hand over the leased land to the Ministry of Agriculture within 1 year</t>
  </si>
  <si>
    <t xml:space="preserve">Unless 75% of the project land is developed, Getafan Mechanized Farming has no right to transfer the land or properties developed on the land in favor of any other company or individual. Upon developing 75% of the land, Getafan Mechanized Farming can transfer the land or properties developed on the land in favor of any other company or individual only with the prior permit of the lessor. Getafan Mechanized Farming shall not have the right to transfer the remaining land which is not developed. </t>
  </si>
  <si>
    <t>Getafan Mechanized Farming shall provide correct data and investment activity reports upon request by the Ministry of Agriculture. The Ministry of Agriculture has the right to monitor and establish whether Getafan Mechanized Farming is discharging and accomplishing its obligations diligently.</t>
  </si>
  <si>
    <t>There shall be a 3-year grace period for the land rent. The rent during this period will be prorated over the remaining years annually, commencing from the date of execution of the agreement. After 3 years, the annual lease rate per hectare for use of agricultural investment shall be birr 285.15 per hectare (making a total of birr 855,450 for all hectares). The total amount payment of contract will be birr 21,386,250. There shall be 1 year down payment for the land. The Ministry of Agriculture reserves the right to revise the lease payment rate as the need may arise. Once the annual land lease rent becomes payable upon completion of the grace period, Getafan Mechanized Farming has the obligation to settle the current annual land rent, including the prorated amount of the grace period, to the regions where the land is located during the months December up to June every year as per predetermined lease rate for rural lands.</t>
  </si>
  <si>
    <t>Arts. 2.2, 4.7</t>
  </si>
  <si>
    <t>2 (bottom)</t>
  </si>
  <si>
    <t>Art. 4.5</t>
  </si>
  <si>
    <t>Arts. 4.11-4.13</t>
  </si>
  <si>
    <t>4 (top)</t>
  </si>
  <si>
    <t>Arts. 4.6, 5.1</t>
  </si>
  <si>
    <t>Getafan Mechanized Farming shall bear the obligation to provide good care and conservation of the leased land, with particular obligations to: (a) conserve tree plantations that have not been cleared for earth works, (b) apply appropriate working methods to prevent soil erosion in "slopping" areas, and (c) observe and implement the legislation providing for natural resource conservation</t>
  </si>
  <si>
    <t>Arts. 6.6, 14</t>
  </si>
  <si>
    <t>5 (middle), 7 (top)</t>
  </si>
  <si>
    <t xml:space="preserve">The Government shall ensure that during the period of the lease, Getafan Mechanized Farming shall enjoy peaceful and trouble-free possession of the premises and be provided with adequate security, on its request and free of cost, for carrying out its activities in that premises, against any riot, disturbance or any other turbulent time, other than force majeure. The Government shall protect the right of Getafan Mechanized Farming to the peaceful possession, use and quiet enjoyment of the leased area. </t>
  </si>
  <si>
    <t xml:space="preserve">There shall be a 1-year down payment for the land. Getafan Mechanized Farming should take over the leased land within 30 days of execution of the agreement by making the down payment of 1 year's rent. Getafan Mechanized Farming is expected to start developing the land within 6 months of the date of execution of the agreement, or from the date that it receives final clearance from the Government, whichever is later. It shall develop 1/3 of the leased plot of land within the first year from the date of signing of the agreement or from the date of receipt of all clearances from the Government, whichever is later. It shall develop the entire plot of leased land within 3 years. </t>
  </si>
  <si>
    <t>3,000 hectares. Getafan Mechanized Farming has the right to get additional land based on the performance, accomplishment and need of the company.</t>
  </si>
  <si>
    <t>3 (top), 4 (middle), 5 (top), 5 (bottom), 4 (middle), 5 (top)</t>
  </si>
  <si>
    <t>H.no 980 Kebele 10/11, Akaki Kality sub city, Addis Ababa, Ethiopia</t>
  </si>
  <si>
    <t>Ethiopia, Getafan Mechanized Farming PLC, Land Rent Contractual Agreement, Kota Kebele, Cotton, 11 July 2011</t>
  </si>
  <si>
    <t>Fantahun Alemu, Assistance Manager, Getafan Mechanized Farming P.L.C.</t>
  </si>
  <si>
    <t>Tefera Derbew, Minister of Agriculture</t>
  </si>
  <si>
    <t>Cotton as principal investment crop; oils seeds and pulses as rotational/substitute crops</t>
  </si>
  <si>
    <t>Arts. 2.2.4, 4.2-4.4</t>
  </si>
  <si>
    <t>2 (middle), 3 (middle)</t>
  </si>
  <si>
    <t xml:space="preserve">If a dispute arises between the Ministry of Agriculture and Getafan Mechanized Farming out of or in connection with this agreement, both parties will do their utmost to resolve the dispute amicably and to their mutual satisfaction. If they are unable to achieve such a settlement, the dispute shall be referred to the Ethiopian Federal Court. </t>
  </si>
  <si>
    <t>Arts. 3.6, 5.4, 6.5, 9, 5.2</t>
  </si>
  <si>
    <t>Dividing the leased land among shareholders to develop in an independent way or subleasing to any party is strictly forbidden and shall result in the termination of the agreement</t>
  </si>
  <si>
    <t>Art. 4.10</t>
  </si>
  <si>
    <t>Getafan Mechanized Farming has the right to terminate the land lease agreement subject to at least 6 months' prior written notice upon justified good cause. The Government has the right to terminate the land lease agreement subject to at least 6 months' prior written notice (i) for better socio economic benefit of the country/public, (ii) on the grounds of failure to develop the land within the time limits in accordance the contract obligation, (iii) on the grounds of any damage on the natural resources, or (iv) on the grounds of non-performance of due payment of lease charge. In the case of (ii), (iii) and (iv) above, if Getafan Mechanized Farming does not address such issue, the Government may extend the time period for such compliance or terminate the agreement. The land lease agreement may be terminated for a number of reasons, including upon (9.3) failure of the Government to fulfill or observe any of its obligations or covenants in the lease after Getafan Mechanized Farming has given a written notice of 6 months and the Government fails to perform, (9.4) failure of Getafan Mechanized Farming to settle annual rental and other relevant tax payments for 2 consecutive years, (9.5) failure of Getafan Mechanized Farming to perform its obligations in the lease after the Government has given 6 months' written notice calling upon them to observe and perform such obligations. The Government has the right to restore any land which is not developed with 6 months' advance notice and after Getafan Mechanized Farming has not cured the failure within 1 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</si>
</sst>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8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6">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4"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16" fillId="6" borderId="5" xfId="0" applyFont="1" applyFill="1" applyBorder="1" applyAlignment="1">
      <alignment wrapText="1"/>
    </xf>
    <xf numFmtId="0" fontId="16" fillId="0" borderId="5" xfId="0" applyFont="1" applyFill="1" applyBorder="1"/>
    <xf numFmtId="0" fontId="16" fillId="0" borderId="5" xfId="0" applyFont="1" applyFill="1" applyBorder="1" applyAlignment="1">
      <alignment wrapText="1"/>
    </xf>
    <xf numFmtId="0" fontId="5" fillId="0" borderId="0" xfId="0" applyFont="1" applyFill="1" applyBorder="1" applyAlignment="1">
      <alignment wrapText="1"/>
    </xf>
    <xf numFmtId="0" fontId="16" fillId="2" borderId="5" xfId="0" applyFont="1" applyFill="1" applyBorder="1" applyAlignment="1">
      <alignment wrapText="1"/>
    </xf>
    <xf numFmtId="164" fontId="0" fillId="4" borderId="9" xfId="0" applyNumberFormat="1" applyFont="1" applyFill="1" applyBorder="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0"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cellXfs>
  <cellStyles count="28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2:H151"/>
  <sheetViews>
    <sheetView showGridLines="0" tabSelected="1" topLeftCell="A133" zoomScale="70" zoomScaleNormal="70" zoomScalePageLayoutView="125" workbookViewId="0">
      <selection activeCell="C133" sqref="C133"/>
    </sheetView>
  </sheetViews>
  <sheetFormatPr defaultColWidth="8.5" defaultRowHeight="15.5"/>
  <cols>
    <col min="1" max="2" width="52.5" style="1" customWidth="1"/>
    <col min="3" max="3" width="70.6640625" style="1" customWidth="1"/>
    <col min="4" max="4" width="13.5" style="1" customWidth="1"/>
    <col min="6" max="6" width="19.83203125" customWidth="1"/>
    <col min="7" max="7" width="31" style="47" customWidth="1"/>
    <col min="8" max="8" width="17.33203125" style="48" customWidth="1"/>
  </cols>
  <sheetData>
    <row r="2" spans="1:8" ht="30" customHeight="1"/>
    <row r="10" spans="1:8" ht="28" customHeight="1">
      <c r="A10" s="219" t="s">
        <v>865</v>
      </c>
      <c r="B10" s="219"/>
      <c r="C10" s="218"/>
    </row>
    <row r="12" spans="1:8" ht="26">
      <c r="C12" s="233">
        <v>42125</v>
      </c>
      <c r="D12" s="234"/>
    </row>
    <row r="16" spans="1:8" ht="30" customHeight="1">
      <c r="B16" s="230" t="s">
        <v>901</v>
      </c>
      <c r="C16" s="230"/>
      <c r="G16" s="231" t="s">
        <v>0</v>
      </c>
      <c r="H16" s="232"/>
    </row>
    <row r="17" spans="1:8" ht="31">
      <c r="A17" s="2" t="s">
        <v>1</v>
      </c>
      <c r="B17" s="2" t="s">
        <v>2</v>
      </c>
      <c r="C17" s="209" t="s">
        <v>866</v>
      </c>
      <c r="D17" s="3" t="s">
        <v>3</v>
      </c>
      <c r="E17" s="209" t="s">
        <v>236</v>
      </c>
      <c r="F17" s="2" t="s">
        <v>4</v>
      </c>
      <c r="G17" s="4" t="s">
        <v>5</v>
      </c>
      <c r="H17" s="5" t="s">
        <v>6</v>
      </c>
    </row>
    <row r="18" spans="1:8" ht="31">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375</v>
      </c>
      <c r="D19" s="71" t="s">
        <v>832</v>
      </c>
      <c r="E19" s="71" t="s">
        <v>833</v>
      </c>
      <c r="F19" s="68"/>
      <c r="G19" s="69" t="str">
        <f>IF(OR(Table1[[#This Row],[English]]&lt;&gt;"",Table1[[#This Row],[Français]]&lt;&gt;""),Table1[[#This Row],[Français]]&amp;"//"&amp;Table1[[#This Row],[English]],"")</f>
        <v>Pays//Country</v>
      </c>
      <c r="H19" s="70" t="str">
        <f t="shared" si="0"/>
        <v>Ethiopia--Preamble</v>
      </c>
    </row>
    <row r="20" spans="1:8" ht="24" customHeight="1">
      <c r="A20" s="67" t="s">
        <v>11</v>
      </c>
      <c r="B20" s="71" t="s">
        <v>12</v>
      </c>
      <c r="C20" s="164" t="s">
        <v>876</v>
      </c>
      <c r="D20" s="71" t="s">
        <v>832</v>
      </c>
      <c r="E20" s="71" t="s">
        <v>833</v>
      </c>
      <c r="F20" s="222"/>
      <c r="G20" s="69" t="str">
        <f>IF(OR(Table1[[#This Row],[English]]&lt;&gt;"",Table1[[#This Row],[Français]]&lt;&gt;""),Table1[[#This Row],[Français]]&amp;"//"&amp;Table1[[#This Row],[English]],"")</f>
        <v>Nom de la société locale//Local company name</v>
      </c>
      <c r="H20" s="70" t="str">
        <f t="shared" si="0"/>
        <v>Getafan Mechanized Farming P.L.C.--Preamble</v>
      </c>
    </row>
    <row r="21" spans="1:8">
      <c r="A21" s="71" t="s">
        <v>234</v>
      </c>
      <c r="B21" s="71" t="s">
        <v>235</v>
      </c>
      <c r="C21" s="164"/>
      <c r="D21" s="71"/>
      <c r="E21" s="71"/>
      <c r="F21" s="206"/>
      <c r="G21" s="16" t="str">
        <f>IF(OR(Table1[[#This Row],[English]]&lt;&gt;"",Table1[[#This Row],[Français]]&lt;&gt;""),Table1[[#This Row],[Français]]&amp;"//"&amp;Table1[[#This Row],[English]],"")</f>
        <v>Numéro d'entreprise légal//Legal Enterprise Identifier</v>
      </c>
      <c r="H21" s="207" t="str">
        <f>IF(C21&lt;&gt;"",IF(D21&lt;&gt;"",C21&amp;"--"&amp;D21,C21),"")</f>
        <v/>
      </c>
    </row>
    <row r="22" spans="1:8" ht="77.5">
      <c r="A22" s="10" t="s">
        <v>13</v>
      </c>
      <c r="B22" s="10" t="s">
        <v>14</v>
      </c>
      <c r="C22" s="165" t="s">
        <v>900</v>
      </c>
      <c r="D22" s="10" t="s">
        <v>832</v>
      </c>
      <c r="E22" s="10" t="s">
        <v>833</v>
      </c>
      <c r="F22" s="224"/>
      <c r="G22" s="12" t="str">
        <f>IF(OR(Table1[[#This Row],[English]]&lt;&gt;"",Table1[[#This Row],[Français]]&lt;&gt;""),Table1[[#This Row],[Français]]&amp;"//"&amp;Table1[[#This Row],[English]],"")</f>
        <v xml:space="preserve">Siège social //Corporate headquarters </v>
      </c>
      <c r="H22" s="13" t="str">
        <f t="shared" si="0"/>
        <v>H.no 980 Kebele 10/11, Akaki Kality sub city, Addis Ababa, Ethiopia--Preamble</v>
      </c>
    </row>
    <row r="23" spans="1:8">
      <c r="A23" s="10" t="s">
        <v>15</v>
      </c>
      <c r="B23" s="10" t="s">
        <v>16</v>
      </c>
      <c r="C23" s="165"/>
      <c r="D23" s="10"/>
      <c r="E23" s="10"/>
      <c r="F23" s="223"/>
      <c r="G23" s="12" t="str">
        <f>IF(OR(Table1[[#This Row],[English]]&lt;&gt;"",Table1[[#This Row],[Français]]&lt;&gt;""),Table1[[#This Row],[Français]]&amp;"//"&amp;Table1[[#This Row],[English]],"")</f>
        <v>Structure du Capital//Company structure</v>
      </c>
      <c r="H23" s="13" t="str">
        <f t="shared" si="0"/>
        <v/>
      </c>
    </row>
    <row r="24" spans="1:8" ht="47.25" customHeight="1">
      <c r="A24" s="67" t="s">
        <v>17</v>
      </c>
      <c r="B24" s="71" t="s">
        <v>189</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234</v>
      </c>
      <c r="B25" s="71" t="s">
        <v>235</v>
      </c>
      <c r="C25" s="164"/>
      <c r="D25" s="71"/>
      <c r="E25" s="71"/>
      <c r="F25" s="206"/>
      <c r="G25" s="16" t="str">
        <f>IF(OR(Table1[[#This Row],[English]]&lt;&gt;"",Table1[[#This Row],[Français]]&lt;&gt;""),Table1[[#This Row],[Français]]&amp;"//"&amp;Table1[[#This Row],[English]],"")</f>
        <v>Numéro d'entreprise légal//Legal Enterprise Identifier</v>
      </c>
      <c r="H25" s="207"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31">
      <c r="A27" s="71" t="s">
        <v>200</v>
      </c>
      <c r="B27" s="72" t="s">
        <v>20</v>
      </c>
      <c r="C27" s="164" t="s">
        <v>737</v>
      </c>
      <c r="D27" s="71" t="s">
        <v>834</v>
      </c>
      <c r="E27" s="71" t="s">
        <v>833</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Lease--Title</v>
      </c>
    </row>
    <row r="28" spans="1:8">
      <c r="A28" s="67" t="s">
        <v>21</v>
      </c>
      <c r="B28" s="67" t="s">
        <v>22</v>
      </c>
      <c r="C28" s="166"/>
      <c r="D28" s="155"/>
      <c r="E28" s="155"/>
      <c r="F28" s="68"/>
      <c r="G28" s="69" t="str">
        <f>IF(OR(Table1[[#This Row],[English]]&lt;&gt;"",Table1[[#This Row],[Français]]&lt;&gt;""),Table1[[#This Row],[Français]]&amp;"//"&amp;Table1[[#This Row],[English]],"")</f>
        <v>Nom du projet//Project title</v>
      </c>
      <c r="H28" s="70" t="str">
        <f t="shared" si="0"/>
        <v/>
      </c>
    </row>
    <row r="29" spans="1:8">
      <c r="A29" s="71" t="s">
        <v>197</v>
      </c>
      <c r="B29" s="72" t="s">
        <v>23</v>
      </c>
      <c r="C29" s="164"/>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201</v>
      </c>
      <c r="B30" s="111" t="s">
        <v>867</v>
      </c>
      <c r="C30" s="164" t="s">
        <v>877</v>
      </c>
      <c r="D30" s="76" t="s">
        <v>843</v>
      </c>
      <c r="E30" s="71" t="s">
        <v>844</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Benshangul Gumuz Regional State, Metekel Zone, Dangur District Kota kebele --Art. 1.1</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1">
      <c r="A38" s="208" t="s">
        <v>36</v>
      </c>
      <c r="B38" s="208"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1">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85.5" customHeight="1">
      <c r="A40" s="67" t="s">
        <v>40</v>
      </c>
      <c r="B40" s="67" t="s">
        <v>41</v>
      </c>
      <c r="C40" s="164" t="s">
        <v>876</v>
      </c>
      <c r="D40" s="76" t="s">
        <v>835</v>
      </c>
      <c r="E40" s="76" t="s">
        <v>836</v>
      </c>
      <c r="F40" s="222"/>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Getafan Mechanized Farming P.L.C.--Signature page</v>
      </c>
    </row>
    <row r="41" spans="1:8">
      <c r="A41" s="71" t="s">
        <v>234</v>
      </c>
      <c r="B41" s="71" t="s">
        <v>235</v>
      </c>
      <c r="C41" s="164"/>
      <c r="D41" s="71"/>
      <c r="E41" s="71"/>
      <c r="F41" s="206"/>
      <c r="G41" s="16" t="str">
        <f>IF(OR(Table1[[#This Row],[English]]&lt;&gt;"",Table1[[#This Row],[Français]]&lt;&gt;""),Table1[[#This Row],[Français]]&amp;"//"&amp;Table1[[#This Row],[English]],"")</f>
        <v>Numéro d'entreprise légal//Legal Enterprise Identifier</v>
      </c>
      <c r="H41" s="207" t="str">
        <f>IF(C41&lt;&gt;"",IF(D41&lt;&gt;"",C41&amp;"--"&amp;D41,C41),"")</f>
        <v/>
      </c>
    </row>
    <row r="42" spans="1:8" ht="93">
      <c r="A42" s="10" t="s">
        <v>42</v>
      </c>
      <c r="B42" s="10" t="s">
        <v>43</v>
      </c>
      <c r="C42" s="165" t="s">
        <v>902</v>
      </c>
      <c r="D42" s="105" t="s">
        <v>835</v>
      </c>
      <c r="E42" s="105" t="s">
        <v>836</v>
      </c>
      <c r="F42" s="22"/>
      <c r="G42" s="23" t="str">
        <f>IF(OR(Table1[[#This Row],[English]]&lt;&gt;"",Table1[[#This Row],[Français]]&lt;&gt;""),Table1[[#This Row],[Français]]&amp;"//"&amp;Table1[[#This Row],[English]],"")</f>
        <v>Signataire(s), société //Signatories, company</v>
      </c>
      <c r="H42" s="13" t="str">
        <f t="shared" si="0"/>
        <v>Fantahun Alemu, Assistance Manager, Getafan Mechanized Farming P.L.C.--Signature page</v>
      </c>
    </row>
    <row r="43" spans="1:8" ht="42" customHeight="1">
      <c r="A43" s="67" t="s">
        <v>44</v>
      </c>
      <c r="B43" s="67" t="s">
        <v>45</v>
      </c>
      <c r="C43" s="164" t="s">
        <v>837</v>
      </c>
      <c r="D43" s="76" t="s">
        <v>835</v>
      </c>
      <c r="E43" s="76" t="s">
        <v>836</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Ministry of Agriculture of FDRE (Federal Democratic Republic of Ethiopia)--Signature page</v>
      </c>
    </row>
    <row r="44" spans="1:8" ht="62">
      <c r="A44" s="10" t="s">
        <v>46</v>
      </c>
      <c r="B44" s="10" t="s">
        <v>47</v>
      </c>
      <c r="C44" s="165" t="s">
        <v>903</v>
      </c>
      <c r="D44" s="10" t="s">
        <v>835</v>
      </c>
      <c r="E44" s="10" t="s">
        <v>836</v>
      </c>
      <c r="F44" s="22"/>
      <c r="G44" s="23" t="str">
        <f>IF(OR(Table1[[#This Row],[English]]&lt;&gt;"",Table1[[#This Row],[Français]]&lt;&gt;""),Table1[[#This Row],[Français]]&amp;"//"&amp;Table1[[#This Row],[English]],"")</f>
        <v>Signataire(s), Etat//Signatories, State</v>
      </c>
      <c r="H44" s="13" t="str">
        <f t="shared" si="0"/>
        <v>Tefera Derbew, Minister of Agriculture--Signature page</v>
      </c>
    </row>
    <row r="45" spans="1:8" ht="47.25"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6.5">
      <c r="A46" s="10" t="s">
        <v>174</v>
      </c>
      <c r="B46" s="61" t="s">
        <v>166</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1">
      <c r="A47" s="67" t="s">
        <v>50</v>
      </c>
      <c r="B47" s="67" t="s">
        <v>51</v>
      </c>
      <c r="C47" s="227">
        <v>40735</v>
      </c>
      <c r="D47" s="221" t="s">
        <v>838</v>
      </c>
      <c r="E47" s="221" t="s">
        <v>836</v>
      </c>
      <c r="F47" s="73"/>
      <c r="G47" s="74" t="str">
        <f>IF(OR(Table1[[#This Row],[English]]&lt;&gt;"",Table1[[#This Row],[Français]]&lt;&gt;""),Table1[[#This Row],[Français]]&amp;"//"&amp;Table1[[#This Row],[English]],"")</f>
        <v>Date de signature du contrat//Date of contract signature</v>
      </c>
      <c r="H47" s="70" t="str">
        <f t="shared" si="0"/>
        <v>40735--Art. 19</v>
      </c>
    </row>
    <row r="48" spans="1:8" ht="31">
      <c r="A48" s="71" t="s">
        <v>52</v>
      </c>
      <c r="B48" s="67" t="s">
        <v>53</v>
      </c>
      <c r="C48" s="166">
        <f>IF(C47&lt;&gt;"",YEAR(C47),"")</f>
        <v>2011</v>
      </c>
      <c r="D48" s="221" t="s">
        <v>838</v>
      </c>
      <c r="E48" s="221" t="s">
        <v>836</v>
      </c>
      <c r="F48" s="73"/>
      <c r="G48" s="74" t="str">
        <f>IF(OR(Table1[[#This Row],[English]]&lt;&gt;"",Table1[[#This Row],[Français]]&lt;&gt;""),Table1[[#This Row],[Français]]&amp;"//"&amp;Table1[[#This Row],[English]],"")</f>
        <v>Année de signature du contrat//Year of contract signature</v>
      </c>
      <c r="H48" s="70" t="str">
        <f t="shared" si="0"/>
        <v>2011--Art. 19</v>
      </c>
    </row>
    <row r="49" spans="1:8" ht="27" customHeight="1">
      <c r="A49" s="67" t="s">
        <v>54</v>
      </c>
      <c r="B49" s="67" t="s">
        <v>55</v>
      </c>
      <c r="C49" s="164" t="s">
        <v>839</v>
      </c>
      <c r="D49" s="221" t="s">
        <v>878</v>
      </c>
      <c r="E49" s="221" t="s">
        <v>879</v>
      </c>
      <c r="F49" s="73"/>
      <c r="G49" s="74" t="str">
        <f>IF(OR(Table1[[#This Row],[English]]&lt;&gt;"",Table1[[#This Row],[Français]]&lt;&gt;""),Table1[[#This Row],[Français]]&amp;"//"&amp;Table1[[#This Row],[English]],"")</f>
        <v>Durée//Term</v>
      </c>
      <c r="H49" s="70" t="str">
        <f t="shared" si="0"/>
        <v>25 years--Arts. 2.1, 19</v>
      </c>
    </row>
    <row r="50" spans="1:8" ht="118.5" customHeight="1">
      <c r="A50" s="10" t="s">
        <v>56</v>
      </c>
      <c r="B50" s="10" t="s">
        <v>57</v>
      </c>
      <c r="C50" s="165" t="s">
        <v>840</v>
      </c>
      <c r="D50" s="10" t="s">
        <v>841</v>
      </c>
      <c r="E50" s="10" t="s">
        <v>842</v>
      </c>
      <c r="F50" s="22"/>
      <c r="G50" s="23" t="str">
        <f>IF(OR(Table1[[#This Row],[English]]&lt;&gt;"",Table1[[#This Row],[Français]]&lt;&gt;""),Table1[[#This Row],[Français]]&amp;"//"&amp;Table1[[#This Row],[English]],"")</f>
        <v xml:space="preserve">Conditions de renouvellement//Conditions for renewal </v>
      </c>
      <c r="H50" s="13" t="str">
        <f t="shared" si="0"/>
        <v>The land lease agreement can be renewed for another additional years mutually agreed between the parties. The land lease agreement shall be renewed on the same terms and conditions. If any of the parties wish to renew the agreement, it shall inform the other party at least 6 months before the expiration of the contract period. --Arts. 2.1, 8</v>
      </c>
    </row>
    <row r="51" spans="1:8" ht="42" customHeight="1">
      <c r="A51" s="71" t="s">
        <v>224</v>
      </c>
      <c r="B51" s="72" t="s">
        <v>868</v>
      </c>
      <c r="C51" s="164" t="s">
        <v>904</v>
      </c>
      <c r="D51" s="71" t="s">
        <v>843</v>
      </c>
      <c r="E51" s="71" t="s">
        <v>844</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Cotton as principal investment crop; oils seeds and pulses as rotational/substitute crops--Art. 1.1</v>
      </c>
    </row>
    <row r="52" spans="1:8" ht="67.5" customHeight="1">
      <c r="A52" s="119" t="s">
        <v>213</v>
      </c>
      <c r="B52" s="119" t="s">
        <v>212</v>
      </c>
      <c r="C52" s="181" t="s">
        <v>898</v>
      </c>
      <c r="D52" s="56" t="s">
        <v>852</v>
      </c>
      <c r="E52" s="56" t="s">
        <v>853</v>
      </c>
      <c r="F52" s="225"/>
      <c r="G52" s="126" t="str">
        <f>IF(OR(Table1[[#This Row],[English]]&lt;&gt;"",Table1[[#This Row],[Français]]&lt;&gt;""),Table1[[#This Row],[Français]]&amp;"//"&amp;Table1[[#This Row],[English]],"")</f>
        <v>Superficie de la concession//Size of the concession area</v>
      </c>
      <c r="H52" s="127" t="str">
        <f>IF(C52&lt;&gt;"",IF(D52&lt;&gt;"",C52&amp;"--"&amp;D52,C52),"")</f>
        <v>3,000 hectares. Getafan Mechanized Farming has the right to get additional land based on the performance, accomplishment and need of the company.--Arts. 1.1, 3.5</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188</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c r="A55" s="75" t="s">
        <v>59</v>
      </c>
      <c r="B55" s="67" t="s">
        <v>60</v>
      </c>
      <c r="C55" s="166"/>
      <c r="D55" s="155"/>
      <c r="E55" s="155"/>
      <c r="F55" s="68"/>
      <c r="G55" s="69" t="str">
        <f>IF(OR(Table1[[#This Row],[English]]&lt;&gt;"",Table1[[#This Row],[Français]]&lt;&gt;""),Table1[[#This Row],[Français]]&amp;"//"&amp;Table1[[#This Row],[English]],"")</f>
        <v>Convention de développement local//Local development agreement</v>
      </c>
      <c r="H55" s="70" t="str">
        <f t="shared" si="0"/>
        <v/>
      </c>
    </row>
    <row r="56" spans="1:8">
      <c r="A56" s="10" t="s">
        <v>225</v>
      </c>
      <c r="B56" s="10" t="s">
        <v>61</v>
      </c>
      <c r="C56" s="165"/>
      <c r="D56" s="10"/>
      <c r="E56" s="10"/>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c>
    </row>
    <row r="57" spans="1:8" ht="46.5">
      <c r="A57" s="71" t="s">
        <v>228</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24" customHeight="1">
      <c r="A58" s="10" t="s">
        <v>229</v>
      </c>
      <c r="B58" s="10" t="s">
        <v>63</v>
      </c>
      <c r="C58" s="16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1" t="s">
        <v>226</v>
      </c>
      <c r="B59" s="67" t="s">
        <v>64</v>
      </c>
      <c r="C59" s="171"/>
      <c r="D59" s="71"/>
      <c r="E59" s="71"/>
      <c r="F59" s="73"/>
      <c r="G59" s="74" t="str">
        <f>IF(OR(Table1[[#This Row],[English]]&lt;&gt;"",Table1[[#This Row],[Français]]&lt;&gt;""),Table1[[#This Row],[Français]]&amp;"//"&amp;Table1[[#This Row],[English]],"")</f>
        <v>Obligations liées à l'emploi du personnel local//Local employment requirements</v>
      </c>
      <c r="H59" s="70" t="str">
        <f t="shared" si="0"/>
        <v/>
      </c>
    </row>
    <row r="60" spans="1:8" ht="164.25" customHeight="1">
      <c r="A60" s="71" t="s">
        <v>227</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869</v>
      </c>
      <c r="B63" s="132" t="s">
        <v>218</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64" customHeight="1">
      <c r="A64" s="124" t="s">
        <v>181</v>
      </c>
      <c r="B64" s="10" t="s">
        <v>180</v>
      </c>
      <c r="C64" s="173"/>
      <c r="D64" s="10"/>
      <c r="E64" s="10"/>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157.5" customHeight="1">
      <c r="A65" s="83" t="s">
        <v>183</v>
      </c>
      <c r="B65" s="82" t="s">
        <v>182</v>
      </c>
      <c r="C65" s="174" t="s">
        <v>896</v>
      </c>
      <c r="D65" s="76" t="s">
        <v>894</v>
      </c>
      <c r="E65" s="76" t="s">
        <v>895</v>
      </c>
      <c r="F65" s="73"/>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The Government shall ensure that during the period of the lease, Getafan Mechanized Farming shall enjoy peaceful and trouble-free possession of the premises and be provided with adequate security, on its request and free of cost, for carrying out its activities in that premises, against any riot, disturbance or any other turbulent time, other than force majeure. The Government shall protect the right of Getafan Mechanized Farming to the peaceful possession, use and quiet enjoyment of the leased area. --Arts. 6.6, 14</v>
      </c>
    </row>
    <row r="66" spans="1:8" ht="34" customHeight="1">
      <c r="A66" s="145" t="s">
        <v>185</v>
      </c>
      <c r="B66" s="146" t="s">
        <v>186</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61.5" customHeight="1">
      <c r="A67" s="123" t="s">
        <v>211</v>
      </c>
      <c r="B67" s="119" t="s">
        <v>210</v>
      </c>
      <c r="C67" s="170"/>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ht="31">
      <c r="A68" s="83" t="s">
        <v>173</v>
      </c>
      <c r="B68" s="82" t="s">
        <v>171</v>
      </c>
      <c r="C68" s="166"/>
      <c r="D68" s="155"/>
      <c r="E68" s="155"/>
      <c r="F68" s="73"/>
      <c r="G68" s="74" t="str">
        <f>IF(OR(Table1[[#This Row],[English]]&lt;&gt;"",Table1[[#This Row],[Français]]&lt;&gt;""),Table1[[#This Row],[Français]]&amp;"//"&amp;Table1[[#This Row],[English]],"")</f>
        <v>Autre - [le nom de catégorie]//Other - [Name of Category]</v>
      </c>
      <c r="H68" s="70" t="str">
        <f t="shared" si="0"/>
        <v/>
      </c>
    </row>
    <row r="69" spans="1:8">
      <c r="A69" s="24"/>
      <c r="B69" s="24"/>
      <c r="C69" s="182"/>
      <c r="D69" s="195"/>
      <c r="E69" s="195"/>
      <c r="F69" s="15"/>
      <c r="G69" s="16" t="str">
        <f>IF(OR(Table1[[#This Row],[English]]&lt;&gt;"",Table1[[#This Row],[Français]]&lt;&gt;""),Table1[[#This Row],[Français]]&amp;"//"&amp;Table1[[#This Row],[English]],"")</f>
        <v/>
      </c>
      <c r="H69" s="25" t="str">
        <f t="shared" si="0"/>
        <v/>
      </c>
    </row>
    <row r="70" spans="1:8" ht="29.25"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51"/>
      <c r="E71" s="151"/>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6"/>
      <c r="D72" s="151"/>
      <c r="E72" s="151"/>
      <c r="F72" s="86"/>
      <c r="G72" s="87" t="str">
        <f>IF(OR(Table1[[#This Row],[English]]&lt;&gt;"",Table1[[#This Row],[Français]]&lt;&gt;""),Table1[[#This Row],[Français]]&amp;"//"&amp;Table1[[#This Row],[English]],"")</f>
        <v>Impôt sur les bénéfices: taux//Income tax: rate</v>
      </c>
      <c r="H72" s="88" t="str">
        <f t="shared" si="0"/>
        <v/>
      </c>
    </row>
    <row r="73" spans="1:8" ht="99" customHeight="1">
      <c r="A73" s="85" t="s">
        <v>219</v>
      </c>
      <c r="B73" s="85" t="s">
        <v>74</v>
      </c>
      <c r="C73" s="176" t="s">
        <v>845</v>
      </c>
      <c r="D73" s="160" t="s">
        <v>846</v>
      </c>
      <c r="E73" s="160" t="s">
        <v>880</v>
      </c>
      <c r="F73" s="222"/>
      <c r="G73" s="87" t="str">
        <f>IF(OR(Table1[[#This Row],[English]]&lt;&gt;"",Table1[[#This Row],[Français]]&lt;&gt;""),Table1[[#This Row],[Français]]&amp;"//"&amp;Table1[[#This Row],[English]],"")</f>
        <v>Impôt sur les bénéfices: exonération//Income tax: exemptions</v>
      </c>
      <c r="H73" s="88" t="str">
        <f t="shared" si="0"/>
        <v>The Ministry of Agriculture undertakes to provide special investment privileges such as exemptions from taxation and import duties of capital goods and repatriation of capital and profits granted under the investment laws of Ethiopia--Art. 6.2</v>
      </c>
    </row>
    <row r="74" spans="1:8" ht="46.5">
      <c r="A74" s="85" t="s">
        <v>220</v>
      </c>
      <c r="B74" s="85" t="s">
        <v>75</v>
      </c>
      <c r="C74" s="177"/>
      <c r="D74" s="160"/>
      <c r="E74" s="160"/>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195</v>
      </c>
      <c r="B75" s="106" t="s">
        <v>870</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196</v>
      </c>
      <c r="B76" s="106" t="s">
        <v>871</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1">
      <c r="A77" s="106" t="s">
        <v>872</v>
      </c>
      <c r="B77" s="106" t="s">
        <v>76</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25" customHeight="1">
      <c r="A78" s="89" t="s">
        <v>230</v>
      </c>
      <c r="B78" s="89" t="s">
        <v>77</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25" customHeight="1">
      <c r="A79" s="128" t="s">
        <v>198</v>
      </c>
      <c r="B79" s="128" t="s">
        <v>204</v>
      </c>
      <c r="C79" s="170"/>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78</v>
      </c>
      <c r="B80" s="27" t="s">
        <v>79</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80</v>
      </c>
      <c r="B81" s="27" t="s">
        <v>81</v>
      </c>
      <c r="C81" s="192"/>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1">
      <c r="A82" s="27" t="s">
        <v>82</v>
      </c>
      <c r="B82" s="27" t="s">
        <v>83</v>
      </c>
      <c r="C82" s="192"/>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84</v>
      </c>
      <c r="B83" s="27" t="s">
        <v>85</v>
      </c>
      <c r="C83" s="192"/>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86</v>
      </c>
      <c r="B84" s="27" t="s">
        <v>87</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88</v>
      </c>
      <c r="B85" s="27" t="s">
        <v>89</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90</v>
      </c>
      <c r="B86" s="27" t="s">
        <v>91</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92</v>
      </c>
      <c r="B87" s="27" t="s">
        <v>93</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94</v>
      </c>
      <c r="B88" s="27" t="s">
        <v>95</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96</v>
      </c>
      <c r="B89" s="27" t="s">
        <v>97</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98</v>
      </c>
      <c r="B90" s="27" t="s">
        <v>214</v>
      </c>
      <c r="C90" s="17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93" customHeight="1">
      <c r="A91" s="27" t="s">
        <v>99</v>
      </c>
      <c r="B91" s="27" t="s">
        <v>100</v>
      </c>
      <c r="C91" s="27" t="s">
        <v>845</v>
      </c>
      <c r="D91" s="27" t="s">
        <v>846</v>
      </c>
      <c r="E91" s="27" t="s">
        <v>847</v>
      </c>
      <c r="F91" s="29"/>
      <c r="G91" s="30" t="str">
        <f>IF(OR(Table1[[#This Row],[English]]&lt;&gt;"",Table1[[#This Row],[Français]]&lt;&gt;""),Table1[[#This Row],[Français]]&amp;"//"&amp;Table1[[#This Row],[English]],"")</f>
        <v>Droits de douane pour le matériel de traitement//Custom duties on processing equipment</v>
      </c>
      <c r="H91" s="31" t="str">
        <f t="shared" si="0"/>
        <v>The Ministry of Agriculture undertakes to provide special investment privileges such as exemptions from taxation and import duties of capital goods and repatriation of capital and profits granted under the investment laws of Ethiopia--Art. 6.2</v>
      </c>
    </row>
    <row r="92" spans="1:8" ht="98.25" customHeight="1">
      <c r="A92" s="27" t="s">
        <v>101</v>
      </c>
      <c r="B92" s="27" t="s">
        <v>102</v>
      </c>
      <c r="C92" s="27" t="s">
        <v>845</v>
      </c>
      <c r="D92" s="27" t="s">
        <v>846</v>
      </c>
      <c r="E92" s="27" t="s">
        <v>847</v>
      </c>
      <c r="F92" s="29"/>
      <c r="G92" s="30" t="str">
        <f>IF(OR(Table1[[#This Row],[English]]&lt;&gt;"",Table1[[#This Row],[Français]]&lt;&gt;""),Table1[[#This Row],[Français]]&amp;"//"&amp;Table1[[#This Row],[English]],"")</f>
        <v>Droits de douane pour le matériel de transformation//Custom duties on transformation equipment</v>
      </c>
      <c r="H92" s="31" t="str">
        <f t="shared" si="0"/>
        <v>The Ministry of Agriculture undertakes to provide special investment privileges such as exemptions from taxation and import duties of capital goods and repatriation of capital and profits granted under the investment laws of Ethiopia--Art. 6.2</v>
      </c>
    </row>
    <row r="93" spans="1:8" ht="113.25" customHeight="1">
      <c r="A93" s="27" t="s">
        <v>103</v>
      </c>
      <c r="B93" s="27" t="s">
        <v>104</v>
      </c>
      <c r="C93" s="27" t="s">
        <v>845</v>
      </c>
      <c r="D93" s="27" t="s">
        <v>846</v>
      </c>
      <c r="E93" s="27" t="s">
        <v>847</v>
      </c>
      <c r="F93" s="29"/>
      <c r="G93" s="30" t="str">
        <f>IF(OR(Table1[[#This Row],[English]]&lt;&gt;"",Table1[[#This Row],[Français]]&lt;&gt;""),Table1[[#This Row],[Français]]&amp;"//"&amp;Table1[[#This Row],[English]],"")</f>
        <v>Droits de douane pour le matériel de transport//Custom duties on transportation equipment</v>
      </c>
      <c r="H93" s="31" t="str">
        <f t="shared" si="0"/>
        <v>The Ministry of Agriculture undertakes to provide special investment privileges such as exemptions from taxation and import duties of capital goods and repatriation of capital and profits granted under the investment laws of Ethiopia--Art. 6.2</v>
      </c>
    </row>
    <row r="94" spans="1:8">
      <c r="A94" s="27" t="s">
        <v>105</v>
      </c>
      <c r="B94" s="27" t="s">
        <v>106</v>
      </c>
      <c r="C94" s="179"/>
      <c r="D94" s="27"/>
      <c r="E94" s="27"/>
      <c r="F94" s="29"/>
      <c r="G94" s="30" t="str">
        <f>IF(OR(Table1[[#This Row],[English]]&lt;&gt;"",Table1[[#This Row],[Français]]&lt;&gt;""),Table1[[#This Row],[Français]]&amp;"//"&amp;Table1[[#This Row],[English]],"")</f>
        <v>TVA//VAT</v>
      </c>
      <c r="H94" s="31" t="str">
        <f t="shared" si="0"/>
        <v/>
      </c>
    </row>
    <row r="95" spans="1:8" ht="50.25" customHeight="1">
      <c r="A95" s="27" t="s">
        <v>107</v>
      </c>
      <c r="B95" s="27" t="s">
        <v>873</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108</v>
      </c>
      <c r="B96" s="27" t="s">
        <v>109</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2" si="2">IF(C96&lt;&gt;"",IF(D96&lt;&gt;"",C96&amp;"--"&amp;D96,C96),"")</f>
        <v/>
      </c>
    </row>
    <row r="97" spans="1:8" ht="303.75" customHeight="1">
      <c r="A97" s="128" t="s">
        <v>110</v>
      </c>
      <c r="B97" s="128" t="s">
        <v>111</v>
      </c>
      <c r="C97" s="181" t="s">
        <v>886</v>
      </c>
      <c r="D97" s="27" t="s">
        <v>887</v>
      </c>
      <c r="E97" s="27" t="s">
        <v>854</v>
      </c>
      <c r="F97" s="226"/>
      <c r="G97" s="130" t="str">
        <f>IF(OR(Table1[[#This Row],[English]]&lt;&gt;"",Table1[[#This Row],[Français]]&lt;&gt;""),Table1[[#This Row],[Français]]&amp;"//"&amp;Table1[[#This Row],[English]],"")</f>
        <v>Redevances superficiaires//Surface fees</v>
      </c>
      <c r="H97" s="131" t="str">
        <f t="shared" si="2"/>
        <v>There shall be a 3-year grace period for the land rent. The rent during this period will be prorated over the remaining years annually, commencing from the date of execution of the agreement. After 3 years, the annual lease rate per hectare for use of agricultural investment shall be birr 285.15 per hectare (making a total of birr 855,450 for all hectares). The total amount payment of contract will be birr 21,386,250. There shall be 1 year down payment for the land. The Ministry of Agriculture reserves the right to revise the lease payment rate as the need may arise. Once the annual land lease rent becomes payable upon completion of the grace period, Getafan Mechanized Farming has the obligation to settle the current annual land rent, including the prorated amount of the grace period, to the regions where the land is located during the months December up to June every year as per predetermined lease rate for rural lands.--Arts. 2.2, 4.7</v>
      </c>
    </row>
    <row r="98" spans="1:8">
      <c r="A98" s="27" t="s">
        <v>112</v>
      </c>
      <c r="B98" s="27" t="s">
        <v>113</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25" customHeight="1">
      <c r="A99" s="27" t="s">
        <v>194</v>
      </c>
      <c r="B99" s="27" t="s">
        <v>167</v>
      </c>
      <c r="C99" s="18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114</v>
      </c>
      <c r="B100" s="89" t="s">
        <v>115</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116</v>
      </c>
      <c r="B101" s="89" t="s">
        <v>117</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118</v>
      </c>
      <c r="B102" s="85" t="s">
        <v>119</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192</v>
      </c>
      <c r="B103" s="104" t="s">
        <v>191</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58.5" customHeight="1">
      <c r="A104" s="85" t="s">
        <v>120</v>
      </c>
      <c r="B104" s="85" t="s">
        <v>121</v>
      </c>
      <c r="C104" s="204" t="s">
        <v>909</v>
      </c>
      <c r="D104" s="151" t="s">
        <v>910</v>
      </c>
      <c r="E104" s="151" t="s">
        <v>891</v>
      </c>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Dividing the leased land among shareholders to develop in an independent way or subleasing to any party is strictly forbidden and shall result in the termination of the agreement--Art. 4.10</v>
      </c>
    </row>
    <row r="105" spans="1:8" ht="27.75" customHeight="1">
      <c r="A105" s="83" t="s">
        <v>173</v>
      </c>
      <c r="B105" s="82" t="s">
        <v>171</v>
      </c>
      <c r="C105" s="176"/>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7"/>
      <c r="D106" s="152"/>
      <c r="E106" s="152"/>
      <c r="F106" s="15"/>
      <c r="G106" s="16" t="str">
        <f>IF(OR(Table1[[#This Row],[English]]&lt;&gt;"",Table1[[#This Row],[Français]]&lt;&gt;""),Table1[[#This Row],[Français]]&amp;"//"&amp;Table1[[#This Row],[English]],"")</f>
        <v/>
      </c>
      <c r="H106" s="35" t="str">
        <f t="shared" si="2"/>
        <v/>
      </c>
    </row>
    <row r="107" spans="1:8" ht="31">
      <c r="A107" s="62" t="s">
        <v>187</v>
      </c>
      <c r="B107" s="63" t="s">
        <v>122</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71.25" customHeight="1">
      <c r="A108" s="93" t="s">
        <v>207</v>
      </c>
      <c r="B108" s="93" t="s">
        <v>215</v>
      </c>
      <c r="C108" s="164" t="s">
        <v>881</v>
      </c>
      <c r="D108" s="71" t="s">
        <v>848</v>
      </c>
      <c r="E108" s="71" t="s">
        <v>849</v>
      </c>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Getafan Mechanized Farming bears an obligation to conduct environmental impact assessment and deliver the report within 3 months of execution of the agreement--Art. 4.1(d)</v>
      </c>
    </row>
    <row r="109" spans="1:8" ht="31">
      <c r="A109" s="124" t="s">
        <v>209</v>
      </c>
      <c r="B109" s="124" t="s">
        <v>208</v>
      </c>
      <c r="C109" s="183"/>
      <c r="D109" s="10"/>
      <c r="E109" s="10"/>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
      </c>
    </row>
    <row r="110" spans="1:8" ht="46.5">
      <c r="A110" s="94" t="s">
        <v>221</v>
      </c>
      <c r="B110" s="95" t="s">
        <v>176</v>
      </c>
      <c r="C110" s="174"/>
      <c r="D110" s="82"/>
      <c r="E110" s="94"/>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
      </c>
    </row>
    <row r="111" spans="1:8" ht="142.5" customHeight="1">
      <c r="A111" s="118" t="s">
        <v>206</v>
      </c>
      <c r="B111" s="118" t="s">
        <v>205</v>
      </c>
      <c r="C111" s="181" t="s">
        <v>893</v>
      </c>
      <c r="D111" s="56" t="s">
        <v>850</v>
      </c>
      <c r="E111" s="196" t="s">
        <v>849</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Getafan Mechanized Farming shall bear the obligation to provide good care and conservation of the leased land, with particular obligations to: (a) conserve tree plantations that have not been cleared for earth works, (b) apply appropriate working methods to prevent soil erosion in "slopping" areas, and (c) observe and implement the legislation providing for natural resource conservation--Art. 4.1</v>
      </c>
    </row>
    <row r="112" spans="1:8" ht="45" customHeight="1">
      <c r="A112" s="83" t="s">
        <v>233</v>
      </c>
      <c r="B112" s="82" t="s">
        <v>232</v>
      </c>
      <c r="C112" s="164"/>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84"/>
      <c r="D113" s="200"/>
      <c r="E113" s="200"/>
      <c r="F113" s="15"/>
      <c r="G113" s="16" t="str">
        <f>IF(OR(Table1[[#This Row],[English]]&lt;&gt;"",Table1[[#This Row],[Français]]&lt;&gt;""),Table1[[#This Row],[Français]]&amp;"//"&amp;Table1[[#This Row],[English]],"")</f>
        <v/>
      </c>
      <c r="H113" s="17" t="str">
        <f t="shared" si="2"/>
        <v/>
      </c>
    </row>
    <row r="114" spans="1:8" ht="46.5">
      <c r="A114" s="62" t="s">
        <v>179</v>
      </c>
      <c r="B114" s="18" t="s">
        <v>123</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89.25" customHeight="1">
      <c r="A115" s="55" t="s">
        <v>177</v>
      </c>
      <c r="B115" s="64" t="s">
        <v>178</v>
      </c>
      <c r="C115" s="185"/>
      <c r="D115" s="65"/>
      <c r="E115" s="64"/>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
      </c>
    </row>
    <row r="116" spans="1:8" ht="202.5" customHeight="1">
      <c r="A116" s="93" t="s">
        <v>124</v>
      </c>
      <c r="B116" s="99" t="s">
        <v>125</v>
      </c>
      <c r="C116" s="164" t="s">
        <v>897</v>
      </c>
      <c r="D116" s="76" t="s">
        <v>905</v>
      </c>
      <c r="E116" s="76" t="s">
        <v>906</v>
      </c>
      <c r="F116" s="68"/>
      <c r="G116" s="69" t="str">
        <f>IF(OR(Table1[[#This Row],[English]]&lt;&gt;"",Table1[[#This Row],[Français]]&lt;&gt;""),Table1[[#This Row],[Français]]&amp;"//"&amp;Table1[[#This Row],[English]],"")</f>
        <v>Obligations de travaux, d'investissements//Work and investment commitments</v>
      </c>
      <c r="H116" s="70" t="str">
        <f t="shared" si="2"/>
        <v>There shall be a 1-year down payment for the land. Getafan Mechanized Farming should take over the leased land within 30 days of execution of the agreement by making the down payment of 1 year's rent. Getafan Mechanized Farming is expected to start developing the land within 6 months of the date of execution of the agreement, or from the date that it receives final clearance from the Government, whichever is later. It shall develop 1/3 of the leased plot of land within the first year from the date of signing of the agreement or from the date of receipt of all clearances from the Government, whichever is later. It shall develop the entire plot of leased land within 3 years. --Arts. 2.2.4, 4.2-4.4</v>
      </c>
    </row>
    <row r="117" spans="1:8">
      <c r="A117" s="36" t="s">
        <v>126</v>
      </c>
      <c r="B117" s="36" t="s">
        <v>127</v>
      </c>
      <c r="C117" s="186"/>
      <c r="D117" s="10"/>
      <c r="E117" s="10"/>
      <c r="F117" s="11"/>
      <c r="G117" s="12" t="str">
        <f>IF(OR(Table1[[#This Row],[English]]&lt;&gt;"",Table1[[#This Row],[Français]]&lt;&gt;""),Table1[[#This Row],[Français]]&amp;"//"&amp;Table1[[#This Row],[English]],"")</f>
        <v>Rétrocession//Transfer of risk</v>
      </c>
      <c r="H117" s="13" t="str">
        <f t="shared" si="2"/>
        <v/>
      </c>
    </row>
    <row r="118" spans="1:8" ht="169.5" customHeight="1">
      <c r="A118" s="67" t="s">
        <v>128</v>
      </c>
      <c r="B118" s="67" t="s">
        <v>129</v>
      </c>
      <c r="C118" s="164" t="s">
        <v>882</v>
      </c>
      <c r="D118" s="155" t="s">
        <v>851</v>
      </c>
      <c r="E118" s="155" t="s">
        <v>888</v>
      </c>
      <c r="F118" s="68"/>
      <c r="G118" s="69" t="str">
        <f>IF(OR(Table1[[#This Row],[English]]&lt;&gt;"",Table1[[#This Row],[Français]]&lt;&gt;""),Table1[[#This Row],[Français]]&amp;"//"&amp;Table1[[#This Row],[English]],"")</f>
        <v>Construction et entretien d'infrastructure//Construction and maintenance of infrastructure</v>
      </c>
      <c r="H118" s="70" t="str">
        <f t="shared" si="2"/>
        <v>Getafan Mechanized Farming has the right to build infrastructure such as dams, water boreholes, power houses, irrigation system, roads, bridges, offices, residential buildings, fuel/power supply stations/outlets, health/hospitals, dispensaries, education facilities, at their discretion upon consultation and submission of a permit request with concerned offices, subject to the type and size of the investment project whenever it deems so appropriate--Art. 3.2</v>
      </c>
    </row>
    <row r="119" spans="1:8" ht="15" customHeight="1">
      <c r="A119" s="10" t="s">
        <v>199</v>
      </c>
      <c r="B119" s="10" t="s">
        <v>130</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c r="A120" s="113" t="s">
        <v>131</v>
      </c>
      <c r="B120" s="114" t="s">
        <v>132</v>
      </c>
      <c r="C120" s="187"/>
      <c r="D120" s="112"/>
      <c r="E120" s="112"/>
      <c r="F120" s="115"/>
      <c r="G120" s="116" t="str">
        <f>IF(OR(Table1[[#This Row],[English]]&lt;&gt;"",Table1[[#This Row],[Français]]&lt;&gt;""),Table1[[#This Row],[Français]]&amp;"//"&amp;Table1[[#This Row],[English]],"")</f>
        <v>Utilisation d’infrastructure par les tiers//Third party use of infrastructure</v>
      </c>
      <c r="H120" s="117" t="str">
        <f t="shared" si="2"/>
        <v/>
      </c>
    </row>
    <row r="121" spans="1:8">
      <c r="A121" s="39" t="s">
        <v>133</v>
      </c>
      <c r="B121" s="33" t="s">
        <v>134</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108.75" customHeight="1">
      <c r="A122" s="39" t="s">
        <v>135</v>
      </c>
      <c r="B122" s="33" t="s">
        <v>136</v>
      </c>
      <c r="C122" s="165" t="s">
        <v>883</v>
      </c>
      <c r="D122" s="10" t="s">
        <v>889</v>
      </c>
      <c r="E122" s="10" t="s">
        <v>875</v>
      </c>
      <c r="F122" s="11"/>
      <c r="G122" s="12" t="str">
        <f>IF(OR(Table1[[#This Row],[English]]&lt;&gt;"",Table1[[#This Row],[Français]]&lt;&gt;""),Table1[[#This Row],[Français]]&amp;"//"&amp;Table1[[#This Row],[English]],"")</f>
        <v>Propriété d’infrastructure//Ownership of infrastructure</v>
      </c>
      <c r="H122" s="13" t="str">
        <f t="shared" si="2"/>
        <v>Upon expiry or termination of the contract or revocation of the investment license, Getafan Mechanized Farming shall remove assets installed on the leased land in good order and hand over the leased land to the Ministry of Agriculture within 1 year--Art. 4.5</v>
      </c>
    </row>
    <row r="123" spans="1:8">
      <c r="A123" s="28" t="s">
        <v>193</v>
      </c>
      <c r="B123" s="27" t="s">
        <v>190</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175</v>
      </c>
      <c r="B124" s="55" t="s">
        <v>168</v>
      </c>
      <c r="C124" s="181"/>
      <c r="D124" s="56"/>
      <c r="E124" s="196"/>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31">
      <c r="A125" s="137" t="s">
        <v>222</v>
      </c>
      <c r="B125" s="138" t="s">
        <v>169</v>
      </c>
      <c r="C125" s="188"/>
      <c r="D125" s="136"/>
      <c r="E125" s="137"/>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
      </c>
    </row>
    <row r="126" spans="1:8" ht="24.75" customHeight="1">
      <c r="A126" s="83" t="s">
        <v>173</v>
      </c>
      <c r="B126" s="205" t="s">
        <v>171</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201"/>
      <c r="B127" s="40"/>
      <c r="C127" s="202"/>
      <c r="D127" s="203"/>
      <c r="E127" s="203"/>
      <c r="F127" s="15"/>
      <c r="G127" s="16" t="str">
        <f>IF(OR(Table1[[#This Row],[English]]&lt;&gt;"",Table1[[#This Row],[Français]]&lt;&gt;""),Table1[[#This Row],[Français]]&amp;"//"&amp;Table1[[#This Row],[English]],"")</f>
        <v/>
      </c>
      <c r="H127" s="17" t="str">
        <f t="shared" si="2"/>
        <v/>
      </c>
    </row>
    <row r="128" spans="1:8" ht="31">
      <c r="A128" s="21" t="s">
        <v>137</v>
      </c>
      <c r="B128" s="21" t="s">
        <v>138</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139</v>
      </c>
      <c r="B129" s="93" t="s">
        <v>140</v>
      </c>
      <c r="C129" s="164" t="s">
        <v>855</v>
      </c>
      <c r="D129" s="71" t="s">
        <v>856</v>
      </c>
      <c r="E129" s="71" t="s">
        <v>857</v>
      </c>
      <c r="F129" s="68"/>
      <c r="G129" s="69" t="str">
        <f>IF(OR(Table1[[#This Row],[English]]&lt;&gt;"",Table1[[#This Row],[Français]]&lt;&gt;""),Table1[[#This Row],[Français]]&amp;"//"&amp;Table1[[#This Row],[English]],"")</f>
        <v>Loi applicable en cas des différends//Governing law in case of dispute</v>
      </c>
      <c r="H129" s="70" t="str">
        <f t="shared" si="2"/>
        <v>The governing law for operations under the agreement shall be the laws of Ethiopia--Art. 12</v>
      </c>
    </row>
    <row r="130" spans="1:8" ht="151.5" customHeight="1">
      <c r="A130" s="99" t="s">
        <v>141</v>
      </c>
      <c r="B130" s="85" t="s">
        <v>142</v>
      </c>
      <c r="C130" s="164" t="s">
        <v>907</v>
      </c>
      <c r="D130" s="76" t="s">
        <v>858</v>
      </c>
      <c r="E130" s="76" t="s">
        <v>859</v>
      </c>
      <c r="F130" s="68"/>
      <c r="G130" s="69" t="str">
        <f>IF(OR(Table1[[#This Row],[English]]&lt;&gt;"",Table1[[#This Row],[Français]]&lt;&gt;""),Table1[[#This Row],[Français]]&amp;"//"&amp;Table1[[#This Row],[English]],"")</f>
        <v>Arbitrage et règlement des différends//Arbitration and dispute resolution</v>
      </c>
      <c r="H130" s="70" t="str">
        <f t="shared" si="2"/>
        <v>If a dispute arises between the Ministry of Agriculture and Getafan Mechanized Farming out of or in connection with this agreement, both parties will do their utmost to resolve the dispute amicably and to their mutual satisfaction. If they are unable to achieve such a settlement, the dispute shall be referred to the Ethiopian Federal Court. --Art. 17</v>
      </c>
    </row>
    <row r="131" spans="1:8" ht="41.25" customHeight="1">
      <c r="A131" s="99" t="s">
        <v>143</v>
      </c>
      <c r="B131" s="93" t="s">
        <v>144</v>
      </c>
      <c r="C131" s="176"/>
      <c r="D131" s="71"/>
      <c r="E131" s="71"/>
      <c r="F131" s="68"/>
      <c r="G131" s="69" t="str">
        <f>IF(OR(Table1[[#This Row],[English]]&lt;&gt;"",Table1[[#This Row],[Français]]&lt;&gt;""),Table1[[#This Row],[Français]]&amp;"//"&amp;Table1[[#This Row],[English]],"")</f>
        <v>Clause de stabilisation//Stabilization clause</v>
      </c>
      <c r="H131" s="70" t="str">
        <f t="shared" si="2"/>
        <v/>
      </c>
    </row>
    <row r="132" spans="1:8" ht="168.75" customHeight="1">
      <c r="A132" s="36" t="s">
        <v>145</v>
      </c>
      <c r="B132" s="10" t="s">
        <v>146</v>
      </c>
      <c r="C132" s="165" t="s">
        <v>884</v>
      </c>
      <c r="D132" s="10" t="s">
        <v>890</v>
      </c>
      <c r="E132" s="10" t="s">
        <v>891</v>
      </c>
      <c r="F132" s="11"/>
      <c r="G132" s="12" t="str">
        <f>IF(OR(Table1[[#This Row],[English]]&lt;&gt;"",Table1[[#This Row],[Français]]&lt;&gt;""),Table1[[#This Row],[Français]]&amp;"//"&amp;Table1[[#This Row],[English]],"")</f>
        <v>Cession / transfert//Assignment / transfer</v>
      </c>
      <c r="H132" s="13" t="str">
        <f t="shared" si="2"/>
        <v>Unless 75% of the project land is developed, Getafan Mechanized Farming has no right to transfer the land or properties developed on the land in favor of any other company or individual. Upon developing 75% of the land, Getafan Mechanized Farming can transfer the land or properties developed on the land in favor of any other company or individual only with the prior permit of the lessor. Getafan Mechanized Farming shall not have the right to transfer the remaining land which is not developed. --Arts. 4.11-4.13</v>
      </c>
    </row>
    <row r="133" spans="1:8" ht="332" customHeight="1">
      <c r="A133" s="36" t="s">
        <v>223</v>
      </c>
      <c r="B133" s="10" t="s">
        <v>147</v>
      </c>
      <c r="C133" s="165" t="s">
        <v>911</v>
      </c>
      <c r="D133" s="10" t="s">
        <v>908</v>
      </c>
      <c r="E133" s="10" t="s">
        <v>899</v>
      </c>
      <c r="F133" s="11"/>
      <c r="G133" s="12" t="str">
        <f>IF(OR(Table1[[#This Row],[English]]&lt;&gt;"",Table1[[#This Row],[Français]]&lt;&gt;""),Table1[[#This Row],[Français]]&amp;"//"&amp;Table1[[#This Row],[English]],"")</f>
        <v>Annulation / Résiliation //Cancellation / termination</v>
      </c>
      <c r="H133" s="13" t="str">
        <f t="shared" si="2"/>
        <v>Getafan Mechanized Farming has the right to terminate the land lease agreement subject to at least 6 months' prior written notice upon justified good cause. The Government has the right to terminate the land lease agreement subject to at least 6 months' prior written notice (i) for better socio economic benefit of the country/public, (ii) on the grounds of failure to develop the land within the time limits in accordance the contract obligation, (iii) on the grounds of any damage on the natural resources, or (iv) on the grounds of non-performance of due payment of lease charge. In the case of (ii), (iii) and (iv) above, if Getafan Mechanized Farming does not address such issue, the Government may extend the time period for such compliance or terminate the agreement. The land lease agreement may be terminated for a number of reasons, including upon (9.3) failure of the Government to fulfill or observe any of its obligations or covenants in the lease after Getafan Mechanized Farming has given a written notice of 6 months and the Government fails to perform, (9.4) failure of Getafan Mechanized Farming to settle annual rental and other relevant tax payments for 2 consecutive years, (9.5) failure of Getafan Mechanized Farming to perform its obligations in the lease after the Government has given 6 months' written notice calling upon them to observe and perform such obligations. The Government has the right to restore any land which is not developed with 6 months' advance notice and after Getafan Mechanized Farming has not cured the failure within 1 year.--Arts. 3.6, 5.4, 6.5, 9, 5.2</v>
      </c>
    </row>
    <row r="134" spans="1:8">
      <c r="A134" s="33" t="s">
        <v>148</v>
      </c>
      <c r="B134" s="33" t="s">
        <v>149</v>
      </c>
      <c r="C134" s="165"/>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150</v>
      </c>
      <c r="B135" s="76" t="s">
        <v>151</v>
      </c>
      <c r="C135" s="198"/>
      <c r="D135" s="71"/>
      <c r="E135" s="71"/>
      <c r="F135" s="68"/>
      <c r="G135" s="69" t="str">
        <f>IF(OR(Table1[[#This Row],[English]]&lt;&gt;"",Table1[[#This Row],[Français]]&lt;&gt;""),Table1[[#This Row],[Français]]&amp;"//"&amp;Table1[[#This Row],[English]],"")</f>
        <v>Confidentialité//Confidentiality</v>
      </c>
      <c r="H135" s="70" t="str">
        <f t="shared" si="2"/>
        <v/>
      </c>
    </row>
    <row r="136" spans="1:8">
      <c r="A136" s="100" t="s">
        <v>152</v>
      </c>
      <c r="B136" s="76" t="s">
        <v>153</v>
      </c>
      <c r="C136" s="176" t="s">
        <v>750</v>
      </c>
      <c r="D136" s="71"/>
      <c r="E136" s="71"/>
      <c r="F136" s="68"/>
      <c r="G136" s="69" t="str">
        <f>IF(OR(Table1[[#This Row],[English]]&lt;&gt;"",Table1[[#This Row],[Français]]&lt;&gt;""),Table1[[#This Row],[Français]]&amp;"//"&amp;Table1[[#This Row],[English]],"")</f>
        <v>Langue//Language</v>
      </c>
      <c r="H136" s="70" t="str">
        <f>IF(C136&lt;&gt;"",IF(D136&lt;&gt;"",C136&amp;"--"&amp;D136,C136),"")</f>
        <v>ENG</v>
      </c>
    </row>
    <row r="137" spans="1:8" ht="114" customHeight="1">
      <c r="A137" s="10" t="s">
        <v>231</v>
      </c>
      <c r="B137" s="10" t="s">
        <v>184</v>
      </c>
      <c r="C137" s="165" t="s">
        <v>885</v>
      </c>
      <c r="D137" s="10" t="s">
        <v>892</v>
      </c>
      <c r="E137" s="10" t="s">
        <v>864</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Getafan Mechanized Farming shall provide correct data and investment activity reports upon request by the Ministry of Agriculture. The Ministry of Agriculture has the right to monitor and establish whether Getafan Mechanized Farming is discharging and accomplishing its obligations diligently.--Arts. 4.6, 5.1</v>
      </c>
    </row>
    <row r="138" spans="1:8" ht="77.5">
      <c r="A138" s="124" t="s">
        <v>217</v>
      </c>
      <c r="B138" s="124" t="s">
        <v>216</v>
      </c>
      <c r="C138" s="165" t="s">
        <v>862</v>
      </c>
      <c r="D138" s="10" t="s">
        <v>863</v>
      </c>
      <c r="E138" s="10" t="s">
        <v>857</v>
      </c>
      <c r="F138" s="11"/>
      <c r="G138" s="12" t="str">
        <f>IF(OR(Table1[[#This Row],[English]]&lt;&gt;"",Table1[[#This Row],[Français]]&lt;&gt;""),Table1[[#This Row],[Français]]&amp;"//"&amp;Table1[[#This Row],[English]],"")</f>
        <v>Clause de hardship ou force majeure//Hardship clause or force majeure</v>
      </c>
      <c r="H138" s="13" t="str">
        <f t="shared" si="2"/>
        <v>Conditions of force majeure shall be governed by the Ethiopian Civil code--Art. 13</v>
      </c>
    </row>
    <row r="139" spans="1:8">
      <c r="A139" s="10" t="s">
        <v>172</v>
      </c>
      <c r="B139" s="124" t="s">
        <v>170</v>
      </c>
      <c r="C139" s="193"/>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173</v>
      </c>
      <c r="B140" s="82" t="s">
        <v>171</v>
      </c>
      <c r="C140" s="189"/>
      <c r="D140" s="199"/>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4"/>
      <c r="D141" s="156"/>
      <c r="E141" s="156"/>
      <c r="F141" s="15"/>
      <c r="G141" s="16" t="str">
        <f>IF(OR(Table1[[#This Row],[English]]&lt;&gt;"",Table1[[#This Row],[Français]]&lt;&gt;""),Table1[[#This Row],[Français]]&amp;"//"&amp;Table1[[#This Row],[English]],"")</f>
        <v/>
      </c>
      <c r="H141" s="17" t="str">
        <f t="shared" si="2"/>
        <v/>
      </c>
    </row>
    <row r="142" spans="1:8" ht="31">
      <c r="A142" s="21" t="s">
        <v>154</v>
      </c>
      <c r="B142" s="21" t="s">
        <v>155</v>
      </c>
      <c r="C142" s="190"/>
      <c r="D142" s="162"/>
      <c r="E142" s="162"/>
      <c r="F142" s="21"/>
      <c r="G142" s="45" t="str">
        <f>IF(OR(Table1[[#This Row],[English]]&lt;&gt;"",Table1[[#This Row],[Français]]&lt;&gt;""),Table1[[#This Row],[Français]]&amp;"//"&amp;Table1[[#This Row],[English]],"")</f>
        <v>III. Notes sur le document//III. Document notes</v>
      </c>
      <c r="H142" s="46" t="str">
        <f t="shared" si="2"/>
        <v/>
      </c>
    </row>
    <row r="143" spans="1:8" ht="77.5">
      <c r="A143" s="10" t="s">
        <v>156</v>
      </c>
      <c r="B143" s="10" t="s">
        <v>874</v>
      </c>
      <c r="C143" s="228"/>
      <c r="D143" s="229"/>
      <c r="E143" s="229"/>
      <c r="F143" s="41"/>
      <c r="G143" s="42" t="str">
        <f>IF(OR(Table1[[#This Row],[English]]&lt;&gt;"",Table1[[#This Row],[Français]]&lt;&gt;""),Table1[[#This Row],[Français]]&amp;"//"&amp;Table1[[#This Row],[English]],"")</f>
        <v>Pages Manquantes de la copie//Pages missing from copy</v>
      </c>
      <c r="H143" s="43" t="str">
        <f>IF(C144&lt;&gt;"",IF(D144&lt;&gt;"",C144&amp;"--"&amp;D144,C144),"")</f>
        <v>The site plan of the leased land and the environmental code of practice--Art. 16</v>
      </c>
    </row>
    <row r="144" spans="1:8" ht="31">
      <c r="A144" s="10" t="s">
        <v>158</v>
      </c>
      <c r="B144" s="10" t="s">
        <v>159</v>
      </c>
      <c r="C144" s="191" t="s">
        <v>860</v>
      </c>
      <c r="D144" s="33" t="s">
        <v>861</v>
      </c>
      <c r="E144" s="33" t="s">
        <v>859</v>
      </c>
      <c r="F144" s="22"/>
      <c r="G144" s="23" t="str">
        <f>IF(OR(Table1[[#This Row],[English]]&lt;&gt;"",Table1[[#This Row],[Français]]&lt;&gt;""),Table1[[#This Row],[Français]]&amp;"//"&amp;Table1[[#This Row],[English]],"")</f>
        <v>Annexes Manquantes de la copie//Annexes missing from copy</v>
      </c>
      <c r="H144" s="13" t="e">
        <f>IF(#REF!&lt;&gt;"",IF(#REF!&lt;&gt;"",#REF!&amp;"--"&amp;#REF!,#REF!),"")</f>
        <v>#REF!</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5"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38"/>
  <sheetViews>
    <sheetView workbookViewId="0">
      <selection activeCell="B2" sqref="B2"/>
    </sheetView>
  </sheetViews>
  <sheetFormatPr defaultColWidth="8.5" defaultRowHeight="15.5"/>
  <cols>
    <col min="1" max="1" width="30.5" customWidth="1"/>
    <col min="2" max="2" width="31.83203125" style="215" customWidth="1"/>
    <col min="3" max="3" width="23" bestFit="1" customWidth="1"/>
  </cols>
  <sheetData>
    <row r="1" spans="1:2">
      <c r="A1" s="49" t="s">
        <v>160</v>
      </c>
      <c r="B1" s="214" t="s">
        <v>161</v>
      </c>
    </row>
    <row r="2" spans="1:2">
      <c r="A2" s="212" t="s">
        <v>743</v>
      </c>
      <c r="B2" s="215" t="str">
        <f>IF(Categories!C136&lt;&gt;"",Categories!C136,"ENG")</f>
        <v>ENG</v>
      </c>
    </row>
    <row r="3" spans="1:2">
      <c r="A3" s="50" t="s">
        <v>237</v>
      </c>
      <c r="B3" s="216" t="str">
        <f>IF(Categories!C19&lt;&gt;"",Categories!C19,"")</f>
        <v>Ethiopia</v>
      </c>
    </row>
    <row r="4" spans="1:2">
      <c r="A4" s="50" t="s">
        <v>729</v>
      </c>
      <c r="B4" s="216" t="str">
        <f>IF(Categories!C19&lt;&gt;"",VLOOKUP(Categories!C19,picklists!A2:B248,2,FALSE), "")</f>
        <v>ETH</v>
      </c>
    </row>
    <row r="5" spans="1:2">
      <c r="A5" t="s">
        <v>731</v>
      </c>
      <c r="B5" s="215" t="str">
        <f>IF(Categories!C51&lt;&gt;"",Categories!C51,"")</f>
        <v>Cotton as principal investment crop; oils seeds and pulses as rotational/substitute crops</v>
      </c>
    </row>
    <row r="6" spans="1:2">
      <c r="A6" s="50" t="s">
        <v>162</v>
      </c>
      <c r="B6" s="216" t="str">
        <f>IF(Categories!C27&lt;&gt;"",VLOOKUP(Categories!C27,picklists!I3:J26,IF(B2="ENG",1,IF(B2="FRE",2,1)),FALSE),"")</f>
        <v>Lease</v>
      </c>
    </row>
    <row r="7" spans="1:2">
      <c r="A7" s="50" t="s">
        <v>163</v>
      </c>
      <c r="B7" s="215">
        <f>IF(Categories!C47&lt;&gt;"",Categories!C47,"")</f>
        <v>40735</v>
      </c>
    </row>
    <row r="8" spans="1:2">
      <c r="A8" t="s">
        <v>164</v>
      </c>
      <c r="B8" s="215">
        <f>IF(Categories!C48&lt;&gt;"",Categories!C48,"")</f>
        <v>2011</v>
      </c>
    </row>
    <row r="9" spans="1:2">
      <c r="A9" t="s">
        <v>165</v>
      </c>
      <c r="B9" s="215" t="str">
        <f>IF(Categories!C49&lt;&gt;"",Categories!C49,"")</f>
        <v>25 years</v>
      </c>
    </row>
    <row r="10" spans="1:2">
      <c r="A10" s="235" t="s">
        <v>739</v>
      </c>
      <c r="B10" s="235"/>
    </row>
    <row r="11" spans="1:2">
      <c r="A11" s="211" t="s">
        <v>12</v>
      </c>
      <c r="B11" s="215" t="str">
        <f>IF(Categories!C20&lt;&gt;"",Categories!C20,"")</f>
        <v>Getafan Mechanized Farming P.L.C.</v>
      </c>
    </row>
    <row r="12" spans="1:2">
      <c r="A12" s="211" t="s">
        <v>235</v>
      </c>
      <c r="B12" s="215" t="str">
        <f>IF(Categories!C21&lt;&gt;"",Categories!C21,"")</f>
        <v/>
      </c>
    </row>
    <row r="13" spans="1:2">
      <c r="A13" s="211" t="s">
        <v>14</v>
      </c>
      <c r="B13" s="215" t="str">
        <f>IF(Categories!C22&lt;&gt;"",Categories!C22,"")</f>
        <v>H.no 980 Kebele 10/11, Akaki Kality sub city, Addis Ababa, Ethiopia</v>
      </c>
    </row>
    <row r="14" spans="1:2">
      <c r="A14" s="211" t="s">
        <v>16</v>
      </c>
      <c r="B14" s="215" t="str">
        <f>IF(Categories!C23&lt;&gt;"",Categories!C23,"")</f>
        <v/>
      </c>
    </row>
    <row r="15" spans="1:2">
      <c r="A15" s="211" t="s">
        <v>740</v>
      </c>
      <c r="B15" s="215" t="str">
        <f>IF(Categories!C24&lt;&gt;"",Categories!C24,"")</f>
        <v/>
      </c>
    </row>
    <row r="16" spans="1:2">
      <c r="A16" s="211" t="s">
        <v>235</v>
      </c>
      <c r="B16" s="215" t="str">
        <f>IF(Categories!C25&lt;&gt;"",Categories!C25,"")</f>
        <v/>
      </c>
    </row>
    <row r="17" spans="1:2">
      <c r="A17" s="211" t="s">
        <v>19</v>
      </c>
      <c r="B17" s="215" t="str">
        <f>IF(Categories!C26&lt;&gt;"",Categories!C26,"")</f>
        <v/>
      </c>
    </row>
    <row r="18" spans="1:2">
      <c r="A18" s="211" t="s">
        <v>22</v>
      </c>
      <c r="B18" s="215" t="str">
        <f>IF(Categories!C28&lt;&gt;"",Categories!C28,"")</f>
        <v/>
      </c>
    </row>
    <row r="19" spans="1:2" ht="31">
      <c r="A19" s="211" t="s">
        <v>23</v>
      </c>
      <c r="B19" s="215" t="str">
        <f>IF(Categories!C29&lt;&gt;"",Categories!C29,"")</f>
        <v/>
      </c>
    </row>
    <row r="20" spans="1:2">
      <c r="A20" s="211" t="s">
        <v>741</v>
      </c>
      <c r="B20" s="215" t="str">
        <f>IF(Categories!C30&lt;&gt;"",Categories!C30,"")</f>
        <v xml:space="preserve">Benshangul Gumuz Regional State, Metekel Zone, Dangur District Kota kebele </v>
      </c>
    </row>
    <row r="21" spans="1:2">
      <c r="A21" s="211" t="s">
        <v>25</v>
      </c>
      <c r="B21" s="215" t="str">
        <f>IF(Categories!C31&lt;&gt;"",Categories!C31,"")</f>
        <v/>
      </c>
    </row>
    <row r="22" spans="1:2">
      <c r="A22" s="211" t="s">
        <v>27</v>
      </c>
      <c r="B22" s="215" t="str">
        <f>IF(Categories!C32&lt;&gt;"",Categories!C32,"")</f>
        <v/>
      </c>
    </row>
    <row r="23" spans="1:2">
      <c r="A23" s="211" t="s">
        <v>29</v>
      </c>
      <c r="B23" s="215" t="str">
        <f>IF(Categories!C33&lt;&gt;"",Categories!C33,"")</f>
        <v/>
      </c>
    </row>
    <row r="24" spans="1:2">
      <c r="A24" s="211" t="s">
        <v>31</v>
      </c>
      <c r="B24" s="215" t="str">
        <f>IF(Categories!C34&lt;&gt;"",Categories!C34,"")</f>
        <v/>
      </c>
    </row>
    <row r="25" spans="1:2">
      <c r="A25" s="211" t="s">
        <v>742</v>
      </c>
      <c r="B25" s="215" t="str">
        <f>IF(B24&lt;&gt;"",YEAR(B24),"")</f>
        <v/>
      </c>
    </row>
    <row r="26" spans="1:2">
      <c r="A26" s="211" t="s">
        <v>33</v>
      </c>
      <c r="B26" s="215" t="str">
        <f>IF(Categories!C35&lt;&gt;"",Categories!C35,"")</f>
        <v/>
      </c>
    </row>
    <row r="27" spans="1:2">
      <c r="A27" s="211" t="s">
        <v>35</v>
      </c>
      <c r="B27" s="215" t="str">
        <f>IF(Categories!C36&lt;&gt;"",Categories!C36,"")</f>
        <v/>
      </c>
    </row>
    <row r="28" spans="1:2" ht="46.5">
      <c r="A28" s="211" t="s">
        <v>41</v>
      </c>
      <c r="B28" s="215" t="str">
        <f>IF(Categories!C40&lt;&gt;"",Categories!C40,"")</f>
        <v>Getafan Mechanized Farming P.L.C.</v>
      </c>
    </row>
    <row r="29" spans="1:2">
      <c r="A29" s="211" t="s">
        <v>235</v>
      </c>
      <c r="B29" s="215" t="str">
        <f>IF(Categories!C41&lt;&gt;"",Categories!C41,"")</f>
        <v/>
      </c>
    </row>
    <row r="30" spans="1:2">
      <c r="A30" s="211" t="s">
        <v>43</v>
      </c>
      <c r="B30" s="215" t="str">
        <f>IF(Categories!C42&lt;&gt;"",Categories!C42,"")</f>
        <v>Fantahun Alemu, Assistance Manager, Getafan Mechanized Farming P.L.C.</v>
      </c>
    </row>
    <row r="31" spans="1:2" ht="31">
      <c r="A31" s="211" t="s">
        <v>45</v>
      </c>
      <c r="B31" s="215" t="str">
        <f>IF(Categories!C43&lt;&gt;"",Categories!C43,"")</f>
        <v>Ministry of Agriculture of FDRE (Federal Democratic Republic of Ethiopia)</v>
      </c>
    </row>
    <row r="32" spans="1:2">
      <c r="A32" s="211" t="s">
        <v>47</v>
      </c>
      <c r="B32" s="215" t="str">
        <f>IF(Categories!C44&lt;&gt;"",Categories!C44,"")</f>
        <v>Tefera Derbew, Minister of Agriculture</v>
      </c>
    </row>
    <row r="33" spans="1:2" ht="31">
      <c r="A33" s="211" t="s">
        <v>49</v>
      </c>
      <c r="B33" s="215" t="str">
        <f>IF(Categories!C45&lt;&gt;"",Categories!C45,"")</f>
        <v/>
      </c>
    </row>
    <row r="34" spans="1:2" ht="31">
      <c r="A34" s="211" t="s">
        <v>166</v>
      </c>
      <c r="B34" s="215" t="str">
        <f>IF(Categories!C46&lt;&gt;"",Categories!C46,"")</f>
        <v/>
      </c>
    </row>
    <row r="35" spans="1:2">
      <c r="A35" s="211" t="s">
        <v>57</v>
      </c>
      <c r="B35" s="215" t="str">
        <f>IF(Categories!C50&lt;&gt;"",Categories!C50,"")</f>
        <v xml:space="preserve">The land lease agreement can be renewed for another additional years mutually agreed between the parties. The land lease agreement shall be renewed on the same terms and conditions. If any of the parties wish to renew the agreement, it shall inform the other party at least 6 months before the expiration of the contract period. </v>
      </c>
    </row>
    <row r="36" spans="1:2">
      <c r="A36" s="211" t="s">
        <v>212</v>
      </c>
      <c r="B36" s="215" t="str">
        <f>IF(Categories!C52&lt;&gt;"",Categories!C52,"")</f>
        <v>3,000 hectares. Getafan Mechanized Farming has the right to get additional land based on the performance, accomplishment and need of the company.</v>
      </c>
    </row>
    <row r="37" spans="1:2">
      <c r="A37" s="213" t="s">
        <v>157</v>
      </c>
      <c r="B37" s="215" t="str">
        <f>IF(Categories!C144&lt;&gt;"",Categories!C144,"")</f>
        <v>The site plan of the leased land and the environmental code of practice</v>
      </c>
    </row>
    <row r="38" spans="1:2">
      <c r="A38" s="213" t="s">
        <v>159</v>
      </c>
      <c r="B38" s="215" t="e">
        <f>IF(Categories!#REF!&lt;&gt;"",Categories!#REF!,"")</f>
        <v>#REF!</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48"/>
  <sheetViews>
    <sheetView workbookViewId="0">
      <selection activeCell="H25" sqref="H25"/>
    </sheetView>
  </sheetViews>
  <sheetFormatPr defaultColWidth="11" defaultRowHeight="15.5"/>
  <cols>
    <col min="8" max="8" width="35.5" customWidth="1"/>
    <col min="9" max="9" width="23.5" bestFit="1" customWidth="1"/>
    <col min="10" max="10" width="17.83203125" customWidth="1"/>
  </cols>
  <sheetData>
    <row r="1" spans="1:13">
      <c r="A1" t="s">
        <v>237</v>
      </c>
      <c r="B1" t="s">
        <v>238</v>
      </c>
      <c r="D1" t="s">
        <v>730</v>
      </c>
      <c r="H1" t="s">
        <v>732</v>
      </c>
      <c r="I1" t="s">
        <v>732</v>
      </c>
      <c r="L1" t="s">
        <v>743</v>
      </c>
    </row>
    <row r="2" spans="1:13">
      <c r="A2" t="s">
        <v>239</v>
      </c>
      <c r="B2" t="s">
        <v>240</v>
      </c>
      <c r="D2" t="str">
        <f>IF(Metadata!B2="ENG",E2,F2)</f>
        <v>Aluminium</v>
      </c>
      <c r="E2" t="s">
        <v>813</v>
      </c>
      <c r="F2" t="s">
        <v>814</v>
      </c>
      <c r="H2" t="str">
        <f>IF(Metadata!B2="ENG",I2,J2)</f>
        <v>Amodiation contract</v>
      </c>
      <c r="I2" t="s">
        <v>808</v>
      </c>
      <c r="J2" t="s">
        <v>809</v>
      </c>
      <c r="L2" t="s">
        <v>750</v>
      </c>
      <c r="M2" t="s">
        <v>752</v>
      </c>
    </row>
    <row r="3" spans="1:13">
      <c r="A3" t="s">
        <v>241</v>
      </c>
      <c r="B3" t="s">
        <v>242</v>
      </c>
      <c r="D3" t="str">
        <f>IF(Metadata!B2="ENG",E3,F3)</f>
        <v>Base metals</v>
      </c>
      <c r="E3" t="s">
        <v>763</v>
      </c>
      <c r="F3" t="s">
        <v>831</v>
      </c>
      <c r="H3" t="str">
        <f>IF(Metadata!B2="ENG",I3,J3)</f>
        <v>Concession</v>
      </c>
      <c r="I3" s="210" t="s">
        <v>734</v>
      </c>
      <c r="J3" s="210" t="s">
        <v>734</v>
      </c>
      <c r="L3" t="s">
        <v>751</v>
      </c>
      <c r="M3" t="s">
        <v>749</v>
      </c>
    </row>
    <row r="4" spans="1:13">
      <c r="A4" t="s">
        <v>243</v>
      </c>
      <c r="B4" t="s">
        <v>244</v>
      </c>
      <c r="D4" t="str">
        <f>IF(Metadata!B2="ENG",E4,F4)</f>
        <v>Bauxite</v>
      </c>
      <c r="E4" s="217" t="s">
        <v>764</v>
      </c>
      <c r="F4" s="217" t="s">
        <v>764</v>
      </c>
      <c r="H4" t="str">
        <f>IF(Metadata!B2="ENG",I4,J4)</f>
        <v>Convention</v>
      </c>
      <c r="I4" t="s">
        <v>753</v>
      </c>
      <c r="J4" t="s">
        <v>753</v>
      </c>
    </row>
    <row r="5" spans="1:13">
      <c r="A5" t="s">
        <v>245</v>
      </c>
      <c r="B5" t="s">
        <v>246</v>
      </c>
      <c r="D5" t="str">
        <f>IF(Metadata!B2="ENG",E5,F5)</f>
        <v>Coal</v>
      </c>
      <c r="E5" t="s">
        <v>765</v>
      </c>
      <c r="F5" t="s">
        <v>766</v>
      </c>
      <c r="H5" t="str">
        <f>IF(Metadata!B2="ENG",I5,J5)</f>
        <v>Exploration Permit/License</v>
      </c>
      <c r="I5" s="210" t="s">
        <v>733</v>
      </c>
      <c r="J5" t="s">
        <v>744</v>
      </c>
    </row>
    <row r="6" spans="1:13" ht="31">
      <c r="A6" t="s">
        <v>247</v>
      </c>
      <c r="B6" t="s">
        <v>248</v>
      </c>
      <c r="D6" t="str">
        <f>IF(Metadata!B2="ENG",E6,F6)</f>
        <v>Cobalt</v>
      </c>
      <c r="E6" t="s">
        <v>767</v>
      </c>
      <c r="F6" t="s">
        <v>767</v>
      </c>
      <c r="H6" t="str">
        <f>IF(Metadata!B2="ENG",I6,J6)</f>
        <v>Exploitation Permit/License</v>
      </c>
      <c r="I6" s="210" t="s">
        <v>754</v>
      </c>
      <c r="J6" t="s">
        <v>755</v>
      </c>
    </row>
    <row r="7" spans="1:13" ht="31">
      <c r="A7" t="s">
        <v>249</v>
      </c>
      <c r="B7" t="s">
        <v>250</v>
      </c>
      <c r="D7" t="str">
        <f>IF(Metadata!B2="ENG",E7,F7)</f>
        <v>Copper</v>
      </c>
      <c r="E7" t="s">
        <v>768</v>
      </c>
      <c r="F7" t="s">
        <v>820</v>
      </c>
      <c r="H7" t="str">
        <f>IF(Metadata!B2="ENG",I7,J7)</f>
        <v>Forestry Concession Contract</v>
      </c>
      <c r="I7" s="210" t="s">
        <v>761</v>
      </c>
      <c r="J7" t="s">
        <v>762</v>
      </c>
    </row>
    <row r="8" spans="1:13">
      <c r="A8" t="s">
        <v>251</v>
      </c>
      <c r="B8" t="s">
        <v>252</v>
      </c>
      <c r="D8" t="str">
        <f>IF(Metadata!B2="ENG",E8,F8)</f>
        <v>Crude oil</v>
      </c>
      <c r="E8" t="s">
        <v>769</v>
      </c>
      <c r="F8" t="s">
        <v>770</v>
      </c>
      <c r="H8" t="str">
        <f>IF(Metadata!B2="ENG",I8,J8)</f>
        <v>Investment Agreement</v>
      </c>
      <c r="I8" s="210" t="s">
        <v>756</v>
      </c>
      <c r="J8" t="s">
        <v>803</v>
      </c>
    </row>
    <row r="9" spans="1:13" ht="31">
      <c r="A9" t="s">
        <v>253</v>
      </c>
      <c r="B9" t="s">
        <v>254</v>
      </c>
      <c r="D9" t="str">
        <f>IF(Metadata!B2="ENG",E9,F9)</f>
        <v>Diamonds</v>
      </c>
      <c r="E9" t="s">
        <v>771</v>
      </c>
      <c r="F9" t="s">
        <v>821</v>
      </c>
      <c r="H9" t="str">
        <f>IF(Metadata!B2="ENG",I9,J9)</f>
        <v>Investment Incentive Contract</v>
      </c>
      <c r="I9" s="210" t="s">
        <v>757</v>
      </c>
      <c r="J9" t="s">
        <v>804</v>
      </c>
    </row>
    <row r="10" spans="1:13">
      <c r="A10" t="s">
        <v>255</v>
      </c>
      <c r="B10" t="s">
        <v>256</v>
      </c>
      <c r="D10" t="str">
        <f>IF(Metadata!B2="ENG",E10,F10)</f>
        <v>Gas</v>
      </c>
      <c r="E10" t="s">
        <v>772</v>
      </c>
      <c r="F10" t="s">
        <v>773</v>
      </c>
      <c r="H10" t="str">
        <f>IF(Metadata!B2="ENG",I10,J10)</f>
        <v>Joint Venture Contract</v>
      </c>
      <c r="I10" t="s">
        <v>758</v>
      </c>
      <c r="J10" t="s">
        <v>805</v>
      </c>
      <c r="K10" s="220"/>
    </row>
    <row r="11" spans="1:13">
      <c r="A11" t="s">
        <v>257</v>
      </c>
      <c r="B11" t="s">
        <v>258</v>
      </c>
      <c r="D11" t="str">
        <f>IF(Metadata!B2="ENG",E11,F11)</f>
        <v>Gold</v>
      </c>
      <c r="E11" t="s">
        <v>774</v>
      </c>
      <c r="F11" t="s">
        <v>775</v>
      </c>
      <c r="H11" t="str">
        <f>IF(Metadata!B2="ENG",I11,J11)</f>
        <v>Lease</v>
      </c>
      <c r="I11" t="s">
        <v>737</v>
      </c>
      <c r="J11" t="s">
        <v>747</v>
      </c>
    </row>
    <row r="12" spans="1:13" ht="31">
      <c r="A12" t="s">
        <v>259</v>
      </c>
      <c r="B12" t="s">
        <v>260</v>
      </c>
      <c r="D12" t="str">
        <f>IF(Metadata!B2="ENG",E12,F12)</f>
        <v>Iron ore</v>
      </c>
      <c r="E12" t="s">
        <v>776</v>
      </c>
      <c r="F12" t="s">
        <v>812</v>
      </c>
      <c r="H12" t="str">
        <f>IF(Metadata!B2="ENG",I12,J12)</f>
        <v>Production Sharing Agreement</v>
      </c>
      <c r="I12" s="210" t="s">
        <v>738</v>
      </c>
      <c r="J12" t="s">
        <v>745</v>
      </c>
    </row>
    <row r="13" spans="1:13" ht="46.5">
      <c r="A13" t="s">
        <v>261</v>
      </c>
      <c r="B13" t="s">
        <v>262</v>
      </c>
      <c r="D13" t="str">
        <f>IF(Metadata!B2="ENG",E13,F13)</f>
        <v>Lapis lazuli</v>
      </c>
      <c r="E13" t="s">
        <v>777</v>
      </c>
      <c r="F13" t="s">
        <v>817</v>
      </c>
      <c r="H13" t="str">
        <f>IF(Metadata!B2="ENG",I13,J13)</f>
        <v>Operating Agreement between Private Companies</v>
      </c>
      <c r="I13" s="210" t="s">
        <v>759</v>
      </c>
      <c r="J13" t="s">
        <v>806</v>
      </c>
    </row>
    <row r="14" spans="1:13">
      <c r="A14" t="s">
        <v>263</v>
      </c>
      <c r="B14" t="s">
        <v>264</v>
      </c>
      <c r="D14" t="str">
        <f>IF(Metadata!B2="ENG",E14,F14)</f>
        <v>Lead</v>
      </c>
      <c r="E14" t="s">
        <v>778</v>
      </c>
      <c r="F14" t="s">
        <v>818</v>
      </c>
      <c r="H14" t="str">
        <f>IF(Metadata!B2="ENG",I14,J14)</f>
        <v>Options contract</v>
      </c>
      <c r="I14" s="210" t="s">
        <v>810</v>
      </c>
      <c r="J14" t="s">
        <v>811</v>
      </c>
    </row>
    <row r="15" spans="1:13">
      <c r="A15" t="s">
        <v>265</v>
      </c>
      <c r="B15" t="s">
        <v>266</v>
      </c>
      <c r="D15" t="str">
        <f>IF(Metadata!B2="ENG",E15,F15)</f>
        <v>Lithium</v>
      </c>
      <c r="E15" t="s">
        <v>779</v>
      </c>
      <c r="F15" t="s">
        <v>779</v>
      </c>
      <c r="H15" t="str">
        <f>IF(Metadata!B2="ENG",I15,J15)</f>
        <v>Profit Sharing Contract</v>
      </c>
      <c r="I15" s="210" t="s">
        <v>760</v>
      </c>
      <c r="J15" t="s">
        <v>807</v>
      </c>
    </row>
    <row r="16" spans="1:13">
      <c r="A16" t="s">
        <v>267</v>
      </c>
      <c r="B16" t="s">
        <v>268</v>
      </c>
      <c r="D16" t="str">
        <f>IF(Metadata!B2="ENG",E16,F16)</f>
        <v>Manganese</v>
      </c>
      <c r="E16" t="s">
        <v>780</v>
      </c>
      <c r="F16" t="s">
        <v>819</v>
      </c>
      <c r="H16" t="str">
        <f>IF(Metadata!B2="ENG",I16,J16)</f>
        <v>Service Contract</v>
      </c>
      <c r="I16" s="210" t="s">
        <v>735</v>
      </c>
      <c r="J16" t="s">
        <v>746</v>
      </c>
    </row>
    <row r="17" spans="1:10">
      <c r="A17" t="s">
        <v>269</v>
      </c>
      <c r="B17" t="s">
        <v>270</v>
      </c>
      <c r="D17" t="str">
        <f>IF(Metadata!B2="ENG",E17,F17)</f>
        <v>Molybdenum</v>
      </c>
      <c r="E17" t="s">
        <v>815</v>
      </c>
      <c r="F17" t="s">
        <v>816</v>
      </c>
      <c r="H17" t="str">
        <f>IF(Metadata!B2="ENG",I17,J17)</f>
        <v>Other</v>
      </c>
      <c r="I17" s="210" t="s">
        <v>736</v>
      </c>
      <c r="J17" t="s">
        <v>748</v>
      </c>
    </row>
    <row r="18" spans="1:10">
      <c r="A18" t="s">
        <v>271</v>
      </c>
      <c r="B18" t="s">
        <v>272</v>
      </c>
      <c r="D18" t="str">
        <f>IF(Metadata!B2="ENG",E18,F18)</f>
        <v>Nickel</v>
      </c>
      <c r="E18" t="s">
        <v>781</v>
      </c>
      <c r="F18" t="s">
        <v>781</v>
      </c>
      <c r="H18">
        <f>IF(Metadata!B2="ENG",I18,J18)</f>
        <v>0</v>
      </c>
    </row>
    <row r="19" spans="1:10">
      <c r="A19" t="s">
        <v>273</v>
      </c>
      <c r="B19" t="s">
        <v>274</v>
      </c>
      <c r="D19" t="str">
        <f>IF(Metadata!B2="ENG",E19,F19)</f>
        <v>Phosphate rock</v>
      </c>
      <c r="E19" t="s">
        <v>782</v>
      </c>
      <c r="F19" t="s">
        <v>822</v>
      </c>
      <c r="H19">
        <f>IF(Metadata!B2="ENG",I19,J19)</f>
        <v>0</v>
      </c>
    </row>
    <row r="20" spans="1:10">
      <c r="A20" t="s">
        <v>275</v>
      </c>
      <c r="B20" t="s">
        <v>276</v>
      </c>
      <c r="D20" t="str">
        <f>IF(Metadata!B2="ENG",E20,F20)</f>
        <v>Platinum Group Metals</v>
      </c>
      <c r="E20" t="s">
        <v>783</v>
      </c>
      <c r="F20" t="s">
        <v>823</v>
      </c>
      <c r="H20">
        <f>IF(Metadata!B2="ENG",I20,J20)</f>
        <v>0</v>
      </c>
    </row>
    <row r="21" spans="1:10">
      <c r="A21" t="s">
        <v>277</v>
      </c>
      <c r="B21" t="s">
        <v>278</v>
      </c>
      <c r="D21" t="str">
        <f>IF(Metadata!B2="ENG",E21,F21)</f>
        <v>Precious stones</v>
      </c>
      <c r="E21" t="s">
        <v>784</v>
      </c>
      <c r="F21" t="s">
        <v>824</v>
      </c>
      <c r="H21">
        <f>IF(Metadata!B2="ENG",I21,J21)</f>
        <v>0</v>
      </c>
    </row>
    <row r="22" spans="1:10">
      <c r="A22" t="s">
        <v>279</v>
      </c>
      <c r="B22" t="s">
        <v>280</v>
      </c>
      <c r="D22" t="str">
        <f>IF(Metadata!B2="ENG",E22,F22)</f>
        <v>Quartz</v>
      </c>
      <c r="E22" t="s">
        <v>785</v>
      </c>
      <c r="F22" t="s">
        <v>785</v>
      </c>
      <c r="H22">
        <f>IF(Metadata!B2="ENG",I22,J22)</f>
        <v>0</v>
      </c>
    </row>
    <row r="23" spans="1:10">
      <c r="A23" t="s">
        <v>281</v>
      </c>
      <c r="B23" t="s">
        <v>282</v>
      </c>
      <c r="D23" t="str">
        <f>IF(Metadata!B2="ENG",E23,F23)</f>
        <v>Semi-precious stones</v>
      </c>
      <c r="E23" t="s">
        <v>786</v>
      </c>
      <c r="F23" t="s">
        <v>825</v>
      </c>
      <c r="H23">
        <f>IF(Metadata!B2="ENG",I23,J23)</f>
        <v>0</v>
      </c>
    </row>
    <row r="24" spans="1:10">
      <c r="A24" t="s">
        <v>283</v>
      </c>
      <c r="B24" t="s">
        <v>284</v>
      </c>
      <c r="D24" t="str">
        <f>IF(Metadata!B2="ENG",E24,F24)</f>
        <v>Silver</v>
      </c>
      <c r="E24" t="s">
        <v>787</v>
      </c>
      <c r="F24" t="s">
        <v>826</v>
      </c>
      <c r="H24">
        <f>IF(Metadata!B2="ENG",I24,J24)</f>
        <v>0</v>
      </c>
    </row>
    <row r="25" spans="1:10">
      <c r="A25" t="s">
        <v>285</v>
      </c>
      <c r="B25" t="s">
        <v>286</v>
      </c>
      <c r="D25" t="str">
        <f>IF(Metadata!B2="ENG",E25,F25)</f>
        <v>Titanium</v>
      </c>
      <c r="E25" t="s">
        <v>788</v>
      </c>
      <c r="F25" t="s">
        <v>827</v>
      </c>
      <c r="H25">
        <f>IF(Metadata!B2="ENG",I25,J25)</f>
        <v>0</v>
      </c>
    </row>
    <row r="26" spans="1:10">
      <c r="A26" t="s">
        <v>287</v>
      </c>
      <c r="B26" t="s">
        <v>288</v>
      </c>
      <c r="D26" t="str">
        <f>IF(Metadata!B2="ENG",E26,F26)</f>
        <v>Uranium</v>
      </c>
      <c r="E26" t="s">
        <v>789</v>
      </c>
      <c r="F26" t="s">
        <v>789</v>
      </c>
      <c r="H26">
        <f>IF(Metadata!B2="ENG",I26,J26)</f>
        <v>0</v>
      </c>
    </row>
    <row r="27" spans="1:10">
      <c r="A27" t="s">
        <v>289</v>
      </c>
      <c r="B27" t="s">
        <v>290</v>
      </c>
      <c r="D27" t="str">
        <f>IF(Metadata!B2="ENG",E27,F27)</f>
        <v>Zinc</v>
      </c>
      <c r="E27" t="s">
        <v>790</v>
      </c>
      <c r="F27" t="s">
        <v>790</v>
      </c>
      <c r="H27">
        <f>IF(Metadata!B2="ENG",I27,J27)</f>
        <v>0</v>
      </c>
    </row>
    <row r="28" spans="1:10">
      <c r="A28" t="s">
        <v>291</v>
      </c>
      <c r="B28" t="s">
        <v>292</v>
      </c>
      <c r="D28" t="str">
        <f>IF(Metadata!B2="ENG",E28,F28)</f>
        <v>Citrus</v>
      </c>
      <c r="E28" t="s">
        <v>791</v>
      </c>
      <c r="F28" t="s">
        <v>791</v>
      </c>
      <c r="H28">
        <f>IF(Metadata!B2="ENG",I28,J28)</f>
        <v>0</v>
      </c>
    </row>
    <row r="29" spans="1:10">
      <c r="A29" t="s">
        <v>293</v>
      </c>
      <c r="B29" t="s">
        <v>294</v>
      </c>
      <c r="D29" t="str">
        <f>IF(Metadata!B2="ENG",E29,F29)</f>
        <v>Food crops</v>
      </c>
      <c r="E29" t="s">
        <v>792</v>
      </c>
      <c r="F29" t="s">
        <v>793</v>
      </c>
      <c r="H29">
        <f>IF(Metadata!B2="ENG",I29,J29)</f>
        <v>0</v>
      </c>
    </row>
    <row r="30" spans="1:10">
      <c r="A30" t="s">
        <v>295</v>
      </c>
      <c r="B30" t="s">
        <v>296</v>
      </c>
      <c r="D30" t="str">
        <f>IF(Metadata!B2="ENG",E30,F30)</f>
        <v>Hydrocarbons</v>
      </c>
      <c r="E30" t="s">
        <v>794</v>
      </c>
      <c r="F30" t="s">
        <v>828</v>
      </c>
      <c r="H30">
        <f>IF(Metadata!B2="ENG",I30,J30)</f>
        <v>0</v>
      </c>
    </row>
    <row r="31" spans="1:10">
      <c r="A31" t="s">
        <v>297</v>
      </c>
      <c r="B31" t="s">
        <v>298</v>
      </c>
      <c r="D31" t="str">
        <f>IF(Metadata!B2="ENG",E31,F31)</f>
        <v>Palm oil</v>
      </c>
      <c r="E31" t="s">
        <v>795</v>
      </c>
      <c r="F31" t="s">
        <v>796</v>
      </c>
      <c r="H31">
        <f>IF(Metadata!B2="ENG",I31,J31)</f>
        <v>0</v>
      </c>
    </row>
    <row r="32" spans="1:10">
      <c r="A32" t="s">
        <v>299</v>
      </c>
      <c r="B32" t="s">
        <v>300</v>
      </c>
      <c r="D32" t="str">
        <f>IF(Metadata!B2="ENG",E32,F32)</f>
        <v>Rubber</v>
      </c>
      <c r="E32" t="s">
        <v>797</v>
      </c>
      <c r="F32" t="s">
        <v>829</v>
      </c>
      <c r="H32">
        <f>IF(Metadata!B2="ENG",I32,J32)</f>
        <v>0</v>
      </c>
    </row>
    <row r="33" spans="1:8">
      <c r="A33" t="s">
        <v>301</v>
      </c>
      <c r="B33" t="s">
        <v>302</v>
      </c>
      <c r="D33" t="str">
        <f>IF(Metadata!B2="ENG",E33,F33)</f>
        <v>Soy</v>
      </c>
      <c r="E33" t="s">
        <v>798</v>
      </c>
      <c r="F33" t="s">
        <v>830</v>
      </c>
      <c r="H33">
        <f>IF(Metadata!B2="ENG",I33,J33)</f>
        <v>0</v>
      </c>
    </row>
    <row r="34" spans="1:8">
      <c r="A34" t="s">
        <v>303</v>
      </c>
      <c r="B34" t="s">
        <v>304</v>
      </c>
      <c r="D34" t="str">
        <f>IF(Metadata!B2="ENG",E34,F34)</f>
        <v>Sugar</v>
      </c>
      <c r="E34" t="s">
        <v>799</v>
      </c>
      <c r="F34" t="s">
        <v>800</v>
      </c>
      <c r="H34">
        <f>IF(Metadata!B2="ENG",I34,J34)</f>
        <v>0</v>
      </c>
    </row>
    <row r="35" spans="1:8">
      <c r="A35" t="s">
        <v>305</v>
      </c>
      <c r="B35" t="s">
        <v>306</v>
      </c>
      <c r="D35" t="str">
        <f>IF(Metadata!B2="ENG",E35,F35)</f>
        <v>Timber</v>
      </c>
      <c r="E35" t="s">
        <v>801</v>
      </c>
      <c r="F35" t="s">
        <v>802</v>
      </c>
      <c r="H35">
        <f>IF(Metadata!B2="ENG",I35,J35)</f>
        <v>0</v>
      </c>
    </row>
    <row r="36" spans="1:8">
      <c r="A36" t="s">
        <v>307</v>
      </c>
      <c r="B36" t="s">
        <v>308</v>
      </c>
      <c r="D36">
        <f>IF(Metadata!B2="ENG",E36,F36)</f>
        <v>0</v>
      </c>
      <c r="H36">
        <f>IF(Metadata!B2="ENG",I36,J36)</f>
        <v>0</v>
      </c>
    </row>
    <row r="37" spans="1:8">
      <c r="A37" t="s">
        <v>309</v>
      </c>
      <c r="B37" t="s">
        <v>310</v>
      </c>
      <c r="D37">
        <f>IF(Metadata!B2="ENG",E37,F37)</f>
        <v>0</v>
      </c>
      <c r="H37">
        <f>IF(Metadata!B2="ENG",I37,J37)</f>
        <v>0</v>
      </c>
    </row>
    <row r="38" spans="1:8">
      <c r="A38" t="s">
        <v>311</v>
      </c>
      <c r="B38" t="s">
        <v>312</v>
      </c>
      <c r="D38">
        <f>IF(Metadata!B2="ENG",E38,F38)</f>
        <v>0</v>
      </c>
      <c r="H38">
        <f>IF(Metadata!B2="ENG",I38,J38)</f>
        <v>0</v>
      </c>
    </row>
    <row r="39" spans="1:8">
      <c r="A39" t="s">
        <v>313</v>
      </c>
      <c r="B39" t="s">
        <v>314</v>
      </c>
      <c r="D39">
        <f>IF(Metadata!B2="ENG",E39,F39)</f>
        <v>0</v>
      </c>
      <c r="H39">
        <f>IF(Metadata!B2="ENG",I39,J39)</f>
        <v>0</v>
      </c>
    </row>
    <row r="40" spans="1:8">
      <c r="A40" t="s">
        <v>315</v>
      </c>
      <c r="B40" t="s">
        <v>316</v>
      </c>
      <c r="D40">
        <f>IF(Metadata!B2="ENG",E40,F40)</f>
        <v>0</v>
      </c>
      <c r="H40">
        <f>IF(Metadata!B2="ENG",I40,J40)</f>
        <v>0</v>
      </c>
    </row>
    <row r="41" spans="1:8">
      <c r="A41" t="s">
        <v>317</v>
      </c>
      <c r="B41" t="s">
        <v>318</v>
      </c>
      <c r="D41">
        <f>IF(Metadata!B2="ENG",E41,F41)</f>
        <v>0</v>
      </c>
      <c r="H41">
        <f>IF(Metadata!B2="ENG",I41,J41)</f>
        <v>0</v>
      </c>
    </row>
    <row r="42" spans="1:8">
      <c r="A42" t="s">
        <v>319</v>
      </c>
      <c r="B42" t="s">
        <v>320</v>
      </c>
      <c r="D42">
        <f>IF(Metadata!B2="ENG",E42,F42)</f>
        <v>0</v>
      </c>
      <c r="H42">
        <f>IF(Metadata!B2="ENG",I42,J42)</f>
        <v>0</v>
      </c>
    </row>
    <row r="43" spans="1:8">
      <c r="A43" t="s">
        <v>321</v>
      </c>
      <c r="B43" t="s">
        <v>322</v>
      </c>
      <c r="D43">
        <f>IF(Metadata!B2="ENG",E43,F43)</f>
        <v>0</v>
      </c>
      <c r="H43">
        <f>IF(Metadata!B2="ENG",I43,J43)</f>
        <v>0</v>
      </c>
    </row>
    <row r="44" spans="1:8">
      <c r="A44" t="s">
        <v>323</v>
      </c>
      <c r="B44" t="s">
        <v>324</v>
      </c>
      <c r="D44">
        <f>IF(Metadata!B2="ENG",E44,F44)</f>
        <v>0</v>
      </c>
      <c r="H44">
        <f>IF(Metadata!B2="ENG",I44,J44)</f>
        <v>0</v>
      </c>
    </row>
    <row r="45" spans="1:8">
      <c r="A45" t="s">
        <v>325</v>
      </c>
      <c r="B45" t="s">
        <v>326</v>
      </c>
      <c r="D45">
        <f>IF(Metadata!B2="ENG",E45,F45)</f>
        <v>0</v>
      </c>
      <c r="H45">
        <f>IF(Metadata!B2="ENG",I45,J45)</f>
        <v>0</v>
      </c>
    </row>
    <row r="46" spans="1:8">
      <c r="A46" t="s">
        <v>327</v>
      </c>
      <c r="B46" t="s">
        <v>328</v>
      </c>
      <c r="D46">
        <f>IF(Metadata!B2="ENG",E46,F46)</f>
        <v>0</v>
      </c>
      <c r="H46">
        <f>IF(Metadata!B2="ENG",I46,J46)</f>
        <v>0</v>
      </c>
    </row>
    <row r="47" spans="1:8">
      <c r="A47" t="s">
        <v>329</v>
      </c>
      <c r="B47" t="s">
        <v>330</v>
      </c>
      <c r="D47">
        <f>IF(Metadata!B2="ENG",E47,F47)</f>
        <v>0</v>
      </c>
      <c r="H47">
        <f>IF(Metadata!B2="ENG",I47,J47)</f>
        <v>0</v>
      </c>
    </row>
    <row r="48" spans="1:8">
      <c r="A48" t="s">
        <v>331</v>
      </c>
      <c r="B48" t="s">
        <v>332</v>
      </c>
      <c r="D48">
        <f>IF(Metadata!B2="ENG",E48,F48)</f>
        <v>0</v>
      </c>
      <c r="H48">
        <f>IF(Metadata!B2="ENG",I48,J48)</f>
        <v>0</v>
      </c>
    </row>
    <row r="49" spans="1:8">
      <c r="A49" t="s">
        <v>333</v>
      </c>
      <c r="B49" t="s">
        <v>334</v>
      </c>
      <c r="D49">
        <f>IF(Metadata!B2="ENG",E49,F49)</f>
        <v>0</v>
      </c>
      <c r="H49">
        <f>IF(Metadata!B2="ENG",I49,J49)</f>
        <v>0</v>
      </c>
    </row>
    <row r="50" spans="1:8">
      <c r="A50" t="s">
        <v>335</v>
      </c>
      <c r="B50" t="s">
        <v>336</v>
      </c>
      <c r="D50">
        <f>IF(Metadata!B2="ENG",E50,F50)</f>
        <v>0</v>
      </c>
      <c r="H50">
        <f>IF(Metadata!B2="ENG",I50,J50)</f>
        <v>0</v>
      </c>
    </row>
    <row r="51" spans="1:8">
      <c r="A51" t="s">
        <v>337</v>
      </c>
      <c r="B51" t="s">
        <v>338</v>
      </c>
      <c r="D51">
        <f>IF(Metadata!B2="ENG",E51,F51)</f>
        <v>0</v>
      </c>
      <c r="H51">
        <f>IF(Metadata!B2="ENG",I51,J51)</f>
        <v>0</v>
      </c>
    </row>
    <row r="52" spans="1:8">
      <c r="A52" t="s">
        <v>339</v>
      </c>
      <c r="B52" t="s">
        <v>340</v>
      </c>
      <c r="D52">
        <f>IF(Metadata!B2="ENG",E52,F52)</f>
        <v>0</v>
      </c>
      <c r="H52">
        <f>IF(Metadata!B2="ENG",I52,J52)</f>
        <v>0</v>
      </c>
    </row>
    <row r="53" spans="1:8">
      <c r="A53" t="s">
        <v>341</v>
      </c>
      <c r="B53" t="s">
        <v>342</v>
      </c>
      <c r="D53">
        <f>IF(Metadata!B2="ENG",E53,F53)</f>
        <v>0</v>
      </c>
      <c r="H53">
        <f>IF(Metadata!B2="ENG",I53,J53)</f>
        <v>0</v>
      </c>
    </row>
    <row r="54" spans="1:8">
      <c r="A54" t="s">
        <v>343</v>
      </c>
      <c r="B54" t="s">
        <v>344</v>
      </c>
      <c r="D54">
        <f>IF(Metadata!B2="ENG",E54,F54)</f>
        <v>0</v>
      </c>
      <c r="H54">
        <f>IF(Metadata!B2="ENG",I54,J54)</f>
        <v>0</v>
      </c>
    </row>
    <row r="55" spans="1:8">
      <c r="A55" t="s">
        <v>345</v>
      </c>
      <c r="B55" t="s">
        <v>346</v>
      </c>
      <c r="D55">
        <f>IF(Metadata!B2="ENG",E55,F55)</f>
        <v>0</v>
      </c>
      <c r="H55">
        <f>IF(Metadata!B2="ENG",I55,J55)</f>
        <v>0</v>
      </c>
    </row>
    <row r="56" spans="1:8">
      <c r="A56" t="s">
        <v>347</v>
      </c>
      <c r="B56" t="s">
        <v>348</v>
      </c>
      <c r="D56">
        <f>IF(Metadata!B2="ENG",E56,F56)</f>
        <v>0</v>
      </c>
      <c r="H56">
        <f>IF(Metadata!B2="ENG",I56,J56)</f>
        <v>0</v>
      </c>
    </row>
    <row r="57" spans="1:8">
      <c r="A57" t="s">
        <v>349</v>
      </c>
      <c r="B57" t="s">
        <v>350</v>
      </c>
      <c r="D57">
        <f>IF(Metadata!B2="ENG",E57,F57)</f>
        <v>0</v>
      </c>
      <c r="H57">
        <f>IF(Metadata!B2="ENG",I57,J57)</f>
        <v>0</v>
      </c>
    </row>
    <row r="58" spans="1:8">
      <c r="A58" t="s">
        <v>351</v>
      </c>
      <c r="B58" t="s">
        <v>352</v>
      </c>
      <c r="D58">
        <f>IF(Metadata!B2="ENG",E58,F58)</f>
        <v>0</v>
      </c>
      <c r="H58">
        <f>IF(Metadata!B2="ENG",I58,J58)</f>
        <v>0</v>
      </c>
    </row>
    <row r="59" spans="1:8">
      <c r="A59" t="s">
        <v>353</v>
      </c>
      <c r="B59" t="s">
        <v>354</v>
      </c>
      <c r="D59">
        <f>IF(Metadata!B2="ENG",E59,F59)</f>
        <v>0</v>
      </c>
      <c r="H59">
        <f>IF(Metadata!B2="ENG",I59,J59)</f>
        <v>0</v>
      </c>
    </row>
    <row r="60" spans="1:8">
      <c r="A60" t="s">
        <v>355</v>
      </c>
      <c r="B60" t="s">
        <v>356</v>
      </c>
      <c r="D60">
        <f>IF(Metadata!B2="ENG",E60,F60)</f>
        <v>0</v>
      </c>
      <c r="H60">
        <f>IF(Metadata!B2="ENG",I60,J60)</f>
        <v>0</v>
      </c>
    </row>
    <row r="61" spans="1:8">
      <c r="A61" t="s">
        <v>357</v>
      </c>
      <c r="B61" t="s">
        <v>358</v>
      </c>
      <c r="D61">
        <f>IF(Metadata!B2="ENG",E61,F61)</f>
        <v>0</v>
      </c>
      <c r="H61">
        <f>IF(Metadata!B2="ENG",I61,J61)</f>
        <v>0</v>
      </c>
    </row>
    <row r="62" spans="1:8">
      <c r="A62" t="s">
        <v>359</v>
      </c>
      <c r="B62" t="s">
        <v>360</v>
      </c>
    </row>
    <row r="63" spans="1:8">
      <c r="A63" t="s">
        <v>361</v>
      </c>
      <c r="B63" t="s">
        <v>362</v>
      </c>
    </row>
    <row r="64" spans="1:8">
      <c r="A64" t="s">
        <v>363</v>
      </c>
      <c r="B64" t="s">
        <v>364</v>
      </c>
    </row>
    <row r="65" spans="1:2">
      <c r="A65" t="s">
        <v>365</v>
      </c>
      <c r="B65" t="s">
        <v>366</v>
      </c>
    </row>
    <row r="66" spans="1:2">
      <c r="A66" t="s">
        <v>367</v>
      </c>
      <c r="B66" t="s">
        <v>368</v>
      </c>
    </row>
    <row r="67" spans="1:2">
      <c r="A67" t="s">
        <v>369</v>
      </c>
      <c r="B67" t="s">
        <v>370</v>
      </c>
    </row>
    <row r="68" spans="1:2">
      <c r="A68" t="s">
        <v>371</v>
      </c>
      <c r="B68" t="s">
        <v>372</v>
      </c>
    </row>
    <row r="69" spans="1:2">
      <c r="A69" t="s">
        <v>373</v>
      </c>
      <c r="B69" t="s">
        <v>374</v>
      </c>
    </row>
    <row r="70" spans="1:2">
      <c r="A70" t="s">
        <v>375</v>
      </c>
      <c r="B70" t="s">
        <v>376</v>
      </c>
    </row>
    <row r="71" spans="1:2">
      <c r="A71" t="s">
        <v>377</v>
      </c>
      <c r="B71" t="s">
        <v>378</v>
      </c>
    </row>
    <row r="72" spans="1:2">
      <c r="A72" t="s">
        <v>379</v>
      </c>
      <c r="B72" t="s">
        <v>380</v>
      </c>
    </row>
    <row r="73" spans="1:2">
      <c r="A73" t="s">
        <v>381</v>
      </c>
      <c r="B73" t="s">
        <v>382</v>
      </c>
    </row>
    <row r="74" spans="1:2">
      <c r="A74" t="s">
        <v>383</v>
      </c>
      <c r="B74" t="s">
        <v>384</v>
      </c>
    </row>
    <row r="75" spans="1:2">
      <c r="A75" t="s">
        <v>385</v>
      </c>
      <c r="B75" t="s">
        <v>386</v>
      </c>
    </row>
    <row r="76" spans="1:2">
      <c r="A76" t="s">
        <v>387</v>
      </c>
      <c r="B76" t="s">
        <v>388</v>
      </c>
    </row>
    <row r="77" spans="1:2">
      <c r="A77" t="s">
        <v>389</v>
      </c>
      <c r="B77" t="s">
        <v>390</v>
      </c>
    </row>
    <row r="78" spans="1:2">
      <c r="A78" t="s">
        <v>391</v>
      </c>
      <c r="B78" t="s">
        <v>392</v>
      </c>
    </row>
    <row r="79" spans="1:2">
      <c r="A79" t="s">
        <v>393</v>
      </c>
      <c r="B79" t="s">
        <v>394</v>
      </c>
    </row>
    <row r="80" spans="1:2">
      <c r="A80" t="s">
        <v>395</v>
      </c>
      <c r="B80" t="s">
        <v>396</v>
      </c>
    </row>
    <row r="81" spans="1:2">
      <c r="A81" t="s">
        <v>397</v>
      </c>
      <c r="B81" t="s">
        <v>398</v>
      </c>
    </row>
    <row r="82" spans="1:2">
      <c r="A82" t="s">
        <v>399</v>
      </c>
      <c r="B82" t="s">
        <v>400</v>
      </c>
    </row>
    <row r="83" spans="1:2">
      <c r="A83" t="s">
        <v>401</v>
      </c>
      <c r="B83" t="s">
        <v>402</v>
      </c>
    </row>
    <row r="84" spans="1:2">
      <c r="A84" t="s">
        <v>403</v>
      </c>
      <c r="B84" t="s">
        <v>404</v>
      </c>
    </row>
    <row r="85" spans="1:2">
      <c r="A85" t="s">
        <v>405</v>
      </c>
      <c r="B85" t="s">
        <v>406</v>
      </c>
    </row>
    <row r="86" spans="1:2">
      <c r="A86" t="s">
        <v>407</v>
      </c>
      <c r="B86" t="s">
        <v>408</v>
      </c>
    </row>
    <row r="87" spans="1:2">
      <c r="A87" t="s">
        <v>409</v>
      </c>
      <c r="B87" t="s">
        <v>410</v>
      </c>
    </row>
    <row r="88" spans="1:2">
      <c r="A88" t="s">
        <v>411</v>
      </c>
      <c r="B88" t="s">
        <v>412</v>
      </c>
    </row>
    <row r="89" spans="1:2">
      <c r="A89" t="s">
        <v>413</v>
      </c>
      <c r="B89" t="s">
        <v>414</v>
      </c>
    </row>
    <row r="90" spans="1:2">
      <c r="A90" t="s">
        <v>415</v>
      </c>
      <c r="B90" t="s">
        <v>416</v>
      </c>
    </row>
    <row r="91" spans="1:2">
      <c r="A91" t="s">
        <v>417</v>
      </c>
      <c r="B91" t="s">
        <v>418</v>
      </c>
    </row>
    <row r="92" spans="1:2">
      <c r="A92" t="s">
        <v>419</v>
      </c>
      <c r="B92" t="s">
        <v>420</v>
      </c>
    </row>
    <row r="93" spans="1:2">
      <c r="A93" t="s">
        <v>421</v>
      </c>
      <c r="B93" t="s">
        <v>422</v>
      </c>
    </row>
    <row r="94" spans="1:2">
      <c r="A94" t="s">
        <v>423</v>
      </c>
      <c r="B94" t="s">
        <v>424</v>
      </c>
    </row>
    <row r="95" spans="1:2">
      <c r="A95" t="s">
        <v>425</v>
      </c>
      <c r="B95" t="s">
        <v>426</v>
      </c>
    </row>
    <row r="96" spans="1:2">
      <c r="A96" t="s">
        <v>427</v>
      </c>
      <c r="B96" t="s">
        <v>106</v>
      </c>
    </row>
    <row r="97" spans="1:2">
      <c r="A97" t="s">
        <v>428</v>
      </c>
      <c r="B97" t="s">
        <v>429</v>
      </c>
    </row>
    <row r="98" spans="1:2">
      <c r="A98" t="s">
        <v>430</v>
      </c>
      <c r="B98" t="s">
        <v>431</v>
      </c>
    </row>
    <row r="99" spans="1:2">
      <c r="A99" t="s">
        <v>432</v>
      </c>
      <c r="B99" t="s">
        <v>433</v>
      </c>
    </row>
    <row r="100" spans="1:2">
      <c r="A100" t="s">
        <v>434</v>
      </c>
      <c r="B100" t="s">
        <v>435</v>
      </c>
    </row>
    <row r="101" spans="1:2">
      <c r="A101" t="s">
        <v>436</v>
      </c>
      <c r="B101" t="s">
        <v>437</v>
      </c>
    </row>
    <row r="102" spans="1:2">
      <c r="A102" t="s">
        <v>438</v>
      </c>
      <c r="B102" t="s">
        <v>439</v>
      </c>
    </row>
    <row r="103" spans="1:2">
      <c r="A103" t="s">
        <v>440</v>
      </c>
      <c r="B103" t="s">
        <v>441</v>
      </c>
    </row>
    <row r="104" spans="1:2">
      <c r="A104" t="s">
        <v>442</v>
      </c>
      <c r="B104" t="s">
        <v>443</v>
      </c>
    </row>
    <row r="105" spans="1:2">
      <c r="A105" t="s">
        <v>444</v>
      </c>
      <c r="B105" t="s">
        <v>445</v>
      </c>
    </row>
    <row r="106" spans="1:2">
      <c r="A106" t="s">
        <v>446</v>
      </c>
      <c r="B106" t="s">
        <v>447</v>
      </c>
    </row>
    <row r="107" spans="1:2">
      <c r="A107" t="s">
        <v>448</v>
      </c>
      <c r="B107" t="s">
        <v>449</v>
      </c>
    </row>
    <row r="108" spans="1:2">
      <c r="A108" t="s">
        <v>450</v>
      </c>
      <c r="B108" t="s">
        <v>451</v>
      </c>
    </row>
    <row r="109" spans="1:2">
      <c r="A109" t="s">
        <v>452</v>
      </c>
      <c r="B109" t="s">
        <v>453</v>
      </c>
    </row>
    <row r="110" spans="1:2">
      <c r="A110" t="s">
        <v>454</v>
      </c>
      <c r="B110" t="s">
        <v>455</v>
      </c>
    </row>
    <row r="111" spans="1:2">
      <c r="A111" t="s">
        <v>456</v>
      </c>
      <c r="B111" t="s">
        <v>457</v>
      </c>
    </row>
    <row r="112" spans="1:2">
      <c r="A112" t="s">
        <v>458</v>
      </c>
      <c r="B112" t="s">
        <v>459</v>
      </c>
    </row>
    <row r="113" spans="1:2">
      <c r="A113" t="s">
        <v>460</v>
      </c>
      <c r="B113" t="s">
        <v>461</v>
      </c>
    </row>
    <row r="114" spans="1:2">
      <c r="A114" t="s">
        <v>462</v>
      </c>
      <c r="B114" t="s">
        <v>463</v>
      </c>
    </row>
    <row r="115" spans="1:2">
      <c r="A115" t="s">
        <v>464</v>
      </c>
      <c r="B115" t="s">
        <v>465</v>
      </c>
    </row>
    <row r="116" spans="1:2">
      <c r="A116" t="s">
        <v>466</v>
      </c>
      <c r="B116" t="s">
        <v>467</v>
      </c>
    </row>
    <row r="117" spans="1:2">
      <c r="A117" t="s">
        <v>468</v>
      </c>
      <c r="B117" t="s">
        <v>469</v>
      </c>
    </row>
    <row r="118" spans="1:2">
      <c r="A118" t="s">
        <v>470</v>
      </c>
      <c r="B118" t="s">
        <v>471</v>
      </c>
    </row>
    <row r="119" spans="1:2">
      <c r="A119" t="s">
        <v>472</v>
      </c>
      <c r="B119" t="s">
        <v>473</v>
      </c>
    </row>
    <row r="120" spans="1:2">
      <c r="A120" t="s">
        <v>474</v>
      </c>
      <c r="B120" t="s">
        <v>475</v>
      </c>
    </row>
    <row r="121" spans="1:2">
      <c r="A121" t="s">
        <v>476</v>
      </c>
      <c r="B121" t="s">
        <v>477</v>
      </c>
    </row>
    <row r="122" spans="1:2">
      <c r="A122" t="s">
        <v>478</v>
      </c>
      <c r="B122" t="s">
        <v>479</v>
      </c>
    </row>
    <row r="123" spans="1:2">
      <c r="A123" t="s">
        <v>480</v>
      </c>
      <c r="B123" t="s">
        <v>481</v>
      </c>
    </row>
    <row r="124" spans="1:2">
      <c r="A124" t="s">
        <v>482</v>
      </c>
      <c r="B124" t="s">
        <v>483</v>
      </c>
    </row>
    <row r="125" spans="1:2">
      <c r="A125" t="s">
        <v>484</v>
      </c>
      <c r="B125" t="s">
        <v>485</v>
      </c>
    </row>
    <row r="126" spans="1:2">
      <c r="A126" t="s">
        <v>486</v>
      </c>
      <c r="B126" t="s">
        <v>487</v>
      </c>
    </row>
    <row r="127" spans="1:2">
      <c r="A127" t="s">
        <v>488</v>
      </c>
      <c r="B127" t="s">
        <v>489</v>
      </c>
    </row>
    <row r="128" spans="1:2">
      <c r="A128" t="s">
        <v>490</v>
      </c>
      <c r="B128" t="s">
        <v>491</v>
      </c>
    </row>
    <row r="129" spans="1:2">
      <c r="A129" t="s">
        <v>492</v>
      </c>
      <c r="B129" t="s">
        <v>493</v>
      </c>
    </row>
    <row r="130" spans="1:2">
      <c r="A130" t="s">
        <v>494</v>
      </c>
      <c r="B130" t="s">
        <v>495</v>
      </c>
    </row>
    <row r="131" spans="1:2">
      <c r="A131" t="s">
        <v>496</v>
      </c>
      <c r="B131" t="s">
        <v>497</v>
      </c>
    </row>
    <row r="132" spans="1:2">
      <c r="A132" t="s">
        <v>498</v>
      </c>
      <c r="B132" t="s">
        <v>499</v>
      </c>
    </row>
    <row r="133" spans="1:2">
      <c r="A133" t="s">
        <v>500</v>
      </c>
      <c r="B133" t="s">
        <v>501</v>
      </c>
    </row>
    <row r="134" spans="1:2">
      <c r="A134" t="s">
        <v>502</v>
      </c>
      <c r="B134" t="s">
        <v>503</v>
      </c>
    </row>
    <row r="135" spans="1:2">
      <c r="A135" t="s">
        <v>504</v>
      </c>
      <c r="B135" t="s">
        <v>505</v>
      </c>
    </row>
    <row r="136" spans="1:2">
      <c r="A136" t="s">
        <v>506</v>
      </c>
      <c r="B136" t="s">
        <v>507</v>
      </c>
    </row>
    <row r="137" spans="1:2">
      <c r="A137" t="s">
        <v>508</v>
      </c>
      <c r="B137" t="s">
        <v>509</v>
      </c>
    </row>
    <row r="138" spans="1:2">
      <c r="A138" t="s">
        <v>510</v>
      </c>
      <c r="B138" t="s">
        <v>511</v>
      </c>
    </row>
    <row r="139" spans="1:2">
      <c r="A139" t="s">
        <v>512</v>
      </c>
      <c r="B139" t="s">
        <v>513</v>
      </c>
    </row>
    <row r="140" spans="1:2">
      <c r="A140" t="s">
        <v>514</v>
      </c>
      <c r="B140" t="s">
        <v>515</v>
      </c>
    </row>
    <row r="141" spans="1:2">
      <c r="A141" t="s">
        <v>516</v>
      </c>
      <c r="B141" t="s">
        <v>517</v>
      </c>
    </row>
    <row r="142" spans="1:2">
      <c r="A142" t="s">
        <v>518</v>
      </c>
      <c r="B142" t="s">
        <v>519</v>
      </c>
    </row>
    <row r="143" spans="1:2">
      <c r="A143" t="s">
        <v>520</v>
      </c>
      <c r="B143" t="s">
        <v>521</v>
      </c>
    </row>
    <row r="144" spans="1:2">
      <c r="A144" t="s">
        <v>522</v>
      </c>
      <c r="B144" t="s">
        <v>523</v>
      </c>
    </row>
    <row r="145" spans="1:2">
      <c r="A145" t="s">
        <v>524</v>
      </c>
      <c r="B145" t="s">
        <v>525</v>
      </c>
    </row>
    <row r="146" spans="1:2">
      <c r="A146" t="s">
        <v>526</v>
      </c>
      <c r="B146" t="s">
        <v>527</v>
      </c>
    </row>
    <row r="147" spans="1:2">
      <c r="A147" t="s">
        <v>528</v>
      </c>
      <c r="B147" t="s">
        <v>529</v>
      </c>
    </row>
    <row r="148" spans="1:2">
      <c r="A148" t="s">
        <v>530</v>
      </c>
      <c r="B148" t="s">
        <v>531</v>
      </c>
    </row>
    <row r="149" spans="1:2">
      <c r="A149" t="s">
        <v>532</v>
      </c>
      <c r="B149" t="s">
        <v>533</v>
      </c>
    </row>
    <row r="150" spans="1:2">
      <c r="A150" t="s">
        <v>534</v>
      </c>
      <c r="B150" t="s">
        <v>535</v>
      </c>
    </row>
    <row r="151" spans="1:2">
      <c r="A151" t="s">
        <v>536</v>
      </c>
      <c r="B151" t="s">
        <v>537</v>
      </c>
    </row>
    <row r="152" spans="1:2">
      <c r="A152" t="s">
        <v>538</v>
      </c>
      <c r="B152" t="s">
        <v>539</v>
      </c>
    </row>
    <row r="153" spans="1:2">
      <c r="A153" t="s">
        <v>540</v>
      </c>
      <c r="B153" t="s">
        <v>541</v>
      </c>
    </row>
    <row r="154" spans="1:2">
      <c r="A154" t="s">
        <v>542</v>
      </c>
      <c r="B154" t="s">
        <v>543</v>
      </c>
    </row>
    <row r="155" spans="1:2">
      <c r="A155" t="s">
        <v>544</v>
      </c>
      <c r="B155" t="s">
        <v>545</v>
      </c>
    </row>
    <row r="156" spans="1:2">
      <c r="A156" t="s">
        <v>546</v>
      </c>
      <c r="B156" t="s">
        <v>547</v>
      </c>
    </row>
    <row r="157" spans="1:2">
      <c r="A157" t="s">
        <v>548</v>
      </c>
      <c r="B157" t="s">
        <v>549</v>
      </c>
    </row>
    <row r="158" spans="1:2">
      <c r="A158" t="s">
        <v>550</v>
      </c>
      <c r="B158" t="s">
        <v>551</v>
      </c>
    </row>
    <row r="159" spans="1:2">
      <c r="A159" t="s">
        <v>552</v>
      </c>
      <c r="B159" t="s">
        <v>553</v>
      </c>
    </row>
    <row r="160" spans="1:2">
      <c r="A160" t="s">
        <v>554</v>
      </c>
      <c r="B160" t="s">
        <v>555</v>
      </c>
    </row>
    <row r="161" spans="1:2">
      <c r="A161" t="s">
        <v>556</v>
      </c>
      <c r="B161" t="s">
        <v>557</v>
      </c>
    </row>
    <row r="162" spans="1:2">
      <c r="A162" t="s">
        <v>558</v>
      </c>
      <c r="B162" t="s">
        <v>559</v>
      </c>
    </row>
    <row r="163" spans="1:2">
      <c r="A163" t="s">
        <v>560</v>
      </c>
      <c r="B163" t="s">
        <v>561</v>
      </c>
    </row>
    <row r="164" spans="1:2">
      <c r="A164" t="s">
        <v>562</v>
      </c>
      <c r="B164" t="s">
        <v>563</v>
      </c>
    </row>
    <row r="165" spans="1:2">
      <c r="A165" t="s">
        <v>564</v>
      </c>
      <c r="B165" t="s">
        <v>565</v>
      </c>
    </row>
    <row r="166" spans="1:2">
      <c r="A166" t="s">
        <v>566</v>
      </c>
      <c r="B166" t="s">
        <v>567</v>
      </c>
    </row>
    <row r="167" spans="1:2">
      <c r="A167" t="s">
        <v>568</v>
      </c>
      <c r="B167" t="s">
        <v>569</v>
      </c>
    </row>
    <row r="168" spans="1:2">
      <c r="A168" t="s">
        <v>570</v>
      </c>
      <c r="B168" t="s">
        <v>571</v>
      </c>
    </row>
    <row r="169" spans="1:2">
      <c r="A169" t="s">
        <v>572</v>
      </c>
      <c r="B169" t="s">
        <v>573</v>
      </c>
    </row>
    <row r="170" spans="1:2">
      <c r="A170" t="s">
        <v>574</v>
      </c>
      <c r="B170" t="s">
        <v>575</v>
      </c>
    </row>
    <row r="171" spans="1:2">
      <c r="A171" t="s">
        <v>576</v>
      </c>
      <c r="B171" t="s">
        <v>577</v>
      </c>
    </row>
    <row r="172" spans="1:2">
      <c r="A172" t="s">
        <v>578</v>
      </c>
      <c r="B172" t="s">
        <v>579</v>
      </c>
    </row>
    <row r="173" spans="1:2">
      <c r="A173" t="s">
        <v>580</v>
      </c>
      <c r="B173" t="s">
        <v>581</v>
      </c>
    </row>
    <row r="174" spans="1:2">
      <c r="A174" t="s">
        <v>582</v>
      </c>
      <c r="B174" t="s">
        <v>583</v>
      </c>
    </row>
    <row r="175" spans="1:2">
      <c r="A175" t="s">
        <v>584</v>
      </c>
      <c r="B175" t="s">
        <v>585</v>
      </c>
    </row>
    <row r="176" spans="1:2">
      <c r="A176" t="s">
        <v>586</v>
      </c>
      <c r="B176" t="s">
        <v>587</v>
      </c>
    </row>
    <row r="177" spans="1:2">
      <c r="A177" t="s">
        <v>588</v>
      </c>
      <c r="B177" t="s">
        <v>589</v>
      </c>
    </row>
    <row r="178" spans="1:2">
      <c r="A178" t="s">
        <v>590</v>
      </c>
      <c r="B178" t="s">
        <v>591</v>
      </c>
    </row>
    <row r="179" spans="1:2">
      <c r="A179" t="s">
        <v>592</v>
      </c>
      <c r="B179" t="s">
        <v>593</v>
      </c>
    </row>
    <row r="180" spans="1:2">
      <c r="A180" t="s">
        <v>594</v>
      </c>
      <c r="B180" t="s">
        <v>595</v>
      </c>
    </row>
    <row r="181" spans="1:2">
      <c r="A181" t="s">
        <v>596</v>
      </c>
      <c r="B181" t="s">
        <v>597</v>
      </c>
    </row>
    <row r="182" spans="1:2">
      <c r="A182" t="s">
        <v>598</v>
      </c>
      <c r="B182" t="s">
        <v>599</v>
      </c>
    </row>
    <row r="183" spans="1:2">
      <c r="A183" t="s">
        <v>600</v>
      </c>
      <c r="B183" t="s">
        <v>601</v>
      </c>
    </row>
    <row r="184" spans="1:2">
      <c r="A184" t="s">
        <v>602</v>
      </c>
      <c r="B184" t="s">
        <v>290</v>
      </c>
    </row>
    <row r="185" spans="1:2">
      <c r="A185" t="s">
        <v>603</v>
      </c>
      <c r="B185" t="s">
        <v>604</v>
      </c>
    </row>
    <row r="186" spans="1:2">
      <c r="A186" t="s">
        <v>605</v>
      </c>
      <c r="B186" t="s">
        <v>606</v>
      </c>
    </row>
    <row r="187" spans="1:2">
      <c r="A187" t="s">
        <v>607</v>
      </c>
      <c r="B187" t="s">
        <v>608</v>
      </c>
    </row>
    <row r="188" spans="1:2">
      <c r="A188" t="s">
        <v>609</v>
      </c>
      <c r="B188" t="s">
        <v>610</v>
      </c>
    </row>
    <row r="189" spans="1:2">
      <c r="A189" t="s">
        <v>611</v>
      </c>
      <c r="B189" t="s">
        <v>612</v>
      </c>
    </row>
    <row r="190" spans="1:2">
      <c r="A190" t="s">
        <v>613</v>
      </c>
      <c r="B190" t="s">
        <v>614</v>
      </c>
    </row>
    <row r="191" spans="1:2">
      <c r="A191" t="s">
        <v>615</v>
      </c>
      <c r="B191" t="s">
        <v>616</v>
      </c>
    </row>
    <row r="192" spans="1:2">
      <c r="A192" t="s">
        <v>617</v>
      </c>
      <c r="B192" t="s">
        <v>618</v>
      </c>
    </row>
    <row r="193" spans="1:2">
      <c r="A193" t="s">
        <v>619</v>
      </c>
      <c r="B193" t="s">
        <v>620</v>
      </c>
    </row>
    <row r="194" spans="1:2">
      <c r="A194" t="s">
        <v>621</v>
      </c>
      <c r="B194" t="s">
        <v>622</v>
      </c>
    </row>
    <row r="195" spans="1:2">
      <c r="A195" t="s">
        <v>623</v>
      </c>
      <c r="B195" t="s">
        <v>624</v>
      </c>
    </row>
    <row r="196" spans="1:2">
      <c r="A196" t="s">
        <v>625</v>
      </c>
      <c r="B196" t="s">
        <v>626</v>
      </c>
    </row>
    <row r="197" spans="1:2">
      <c r="A197" t="s">
        <v>627</v>
      </c>
      <c r="B197" t="s">
        <v>628</v>
      </c>
    </row>
    <row r="198" spans="1:2">
      <c r="A198" t="s">
        <v>629</v>
      </c>
      <c r="B198" t="s">
        <v>630</v>
      </c>
    </row>
    <row r="199" spans="1:2">
      <c r="A199" t="s">
        <v>631</v>
      </c>
      <c r="B199" t="s">
        <v>632</v>
      </c>
    </row>
    <row r="200" spans="1:2">
      <c r="A200" t="s">
        <v>633</v>
      </c>
      <c r="B200" t="s">
        <v>634</v>
      </c>
    </row>
    <row r="201" spans="1:2">
      <c r="A201" t="s">
        <v>635</v>
      </c>
      <c r="B201" t="s">
        <v>290</v>
      </c>
    </row>
    <row r="202" spans="1:2">
      <c r="A202" t="s">
        <v>636</v>
      </c>
      <c r="B202" t="s">
        <v>637</v>
      </c>
    </row>
    <row r="203" spans="1:2">
      <c r="A203" t="s">
        <v>638</v>
      </c>
      <c r="B203" t="s">
        <v>639</v>
      </c>
    </row>
    <row r="204" spans="1:2">
      <c r="A204" t="s">
        <v>640</v>
      </c>
      <c r="B204" t="s">
        <v>641</v>
      </c>
    </row>
    <row r="205" spans="1:2">
      <c r="A205" t="s">
        <v>642</v>
      </c>
      <c r="B205" t="s">
        <v>643</v>
      </c>
    </row>
    <row r="206" spans="1:2">
      <c r="A206" t="s">
        <v>644</v>
      </c>
      <c r="B206" t="s">
        <v>645</v>
      </c>
    </row>
    <row r="207" spans="1:2">
      <c r="A207" t="s">
        <v>646</v>
      </c>
      <c r="B207" t="s">
        <v>645</v>
      </c>
    </row>
    <row r="208" spans="1:2">
      <c r="A208" t="s">
        <v>647</v>
      </c>
      <c r="B208" t="s">
        <v>648</v>
      </c>
    </row>
    <row r="209" spans="1:2">
      <c r="A209" t="s">
        <v>649</v>
      </c>
      <c r="B209" t="s">
        <v>650</v>
      </c>
    </row>
    <row r="210" spans="1:2">
      <c r="A210" t="s">
        <v>651</v>
      </c>
      <c r="B210" t="s">
        <v>652</v>
      </c>
    </row>
    <row r="211" spans="1:2">
      <c r="A211" t="s">
        <v>653</v>
      </c>
      <c r="B211" t="s">
        <v>654</v>
      </c>
    </row>
    <row r="212" spans="1:2">
      <c r="A212" t="s">
        <v>655</v>
      </c>
      <c r="B212" t="s">
        <v>656</v>
      </c>
    </row>
    <row r="213" spans="1:2">
      <c r="A213" t="s">
        <v>657</v>
      </c>
      <c r="B213" t="s">
        <v>658</v>
      </c>
    </row>
    <row r="214" spans="1:2">
      <c r="A214" t="s">
        <v>659</v>
      </c>
      <c r="B214" t="s">
        <v>660</v>
      </c>
    </row>
    <row r="215" spans="1:2">
      <c r="A215" t="s">
        <v>661</v>
      </c>
      <c r="B215" t="s">
        <v>662</v>
      </c>
    </row>
    <row r="216" spans="1:2">
      <c r="A216" t="s">
        <v>663</v>
      </c>
      <c r="B216" t="s">
        <v>664</v>
      </c>
    </row>
    <row r="217" spans="1:2">
      <c r="A217" t="s">
        <v>665</v>
      </c>
      <c r="B217" t="s">
        <v>666</v>
      </c>
    </row>
    <row r="218" spans="1:2">
      <c r="A218" t="s">
        <v>667</v>
      </c>
      <c r="B218" t="s">
        <v>668</v>
      </c>
    </row>
    <row r="219" spans="1:2">
      <c r="A219" t="s">
        <v>669</v>
      </c>
      <c r="B219" t="s">
        <v>670</v>
      </c>
    </row>
    <row r="220" spans="1:2">
      <c r="A220" t="s">
        <v>671</v>
      </c>
      <c r="B220" t="s">
        <v>672</v>
      </c>
    </row>
    <row r="221" spans="1:2">
      <c r="A221" t="s">
        <v>673</v>
      </c>
      <c r="B221" t="s">
        <v>674</v>
      </c>
    </row>
    <row r="222" spans="1:2">
      <c r="A222" t="s">
        <v>675</v>
      </c>
      <c r="B222" t="s">
        <v>676</v>
      </c>
    </row>
    <row r="223" spans="1:2">
      <c r="A223" t="s">
        <v>677</v>
      </c>
      <c r="B223" t="s">
        <v>678</v>
      </c>
    </row>
    <row r="224" spans="1:2">
      <c r="A224" t="s">
        <v>679</v>
      </c>
      <c r="B224" t="s">
        <v>680</v>
      </c>
    </row>
    <row r="225" spans="1:2">
      <c r="A225" t="s">
        <v>681</v>
      </c>
      <c r="B225" t="s">
        <v>682</v>
      </c>
    </row>
    <row r="226" spans="1:2">
      <c r="A226" t="s">
        <v>683</v>
      </c>
      <c r="B226" t="s">
        <v>684</v>
      </c>
    </row>
    <row r="227" spans="1:2">
      <c r="A227" t="s">
        <v>685</v>
      </c>
      <c r="B227" t="s">
        <v>686</v>
      </c>
    </row>
    <row r="228" spans="1:2">
      <c r="A228" t="s">
        <v>687</v>
      </c>
      <c r="B228" t="s">
        <v>688</v>
      </c>
    </row>
    <row r="229" spans="1:2">
      <c r="A229" t="s">
        <v>689</v>
      </c>
      <c r="B229" t="s">
        <v>690</v>
      </c>
    </row>
    <row r="230" spans="1:2">
      <c r="A230" t="s">
        <v>691</v>
      </c>
      <c r="B230" t="s">
        <v>692</v>
      </c>
    </row>
    <row r="231" spans="1:2">
      <c r="A231" t="s">
        <v>693</v>
      </c>
      <c r="B231" t="s">
        <v>694</v>
      </c>
    </row>
    <row r="232" spans="1:2">
      <c r="A232" t="s">
        <v>695</v>
      </c>
      <c r="B232" t="s">
        <v>696</v>
      </c>
    </row>
    <row r="233" spans="1:2">
      <c r="A233" t="s">
        <v>697</v>
      </c>
      <c r="B233" t="s">
        <v>698</v>
      </c>
    </row>
    <row r="234" spans="1:2">
      <c r="A234" t="s">
        <v>699</v>
      </c>
      <c r="B234" t="s">
        <v>700</v>
      </c>
    </row>
    <row r="235" spans="1:2">
      <c r="A235" t="s">
        <v>701</v>
      </c>
      <c r="B235" t="s">
        <v>702</v>
      </c>
    </row>
    <row r="236" spans="1:2">
      <c r="A236" t="s">
        <v>703</v>
      </c>
      <c r="B236" t="s">
        <v>704</v>
      </c>
    </row>
    <row r="237" spans="1:2">
      <c r="A237" t="s">
        <v>705</v>
      </c>
      <c r="B237" t="s">
        <v>706</v>
      </c>
    </row>
    <row r="238" spans="1:2">
      <c r="A238" t="s">
        <v>707</v>
      </c>
      <c r="B238" t="s">
        <v>708</v>
      </c>
    </row>
    <row r="239" spans="1:2">
      <c r="A239" t="s">
        <v>709</v>
      </c>
      <c r="B239" t="s">
        <v>710</v>
      </c>
    </row>
    <row r="240" spans="1:2">
      <c r="A240" t="s">
        <v>711</v>
      </c>
      <c r="B240" t="s">
        <v>712</v>
      </c>
    </row>
    <row r="241" spans="1:2">
      <c r="A241" t="s">
        <v>713</v>
      </c>
      <c r="B241" t="s">
        <v>714</v>
      </c>
    </row>
    <row r="242" spans="1:2">
      <c r="A242" t="s">
        <v>715</v>
      </c>
      <c r="B242" t="s">
        <v>716</v>
      </c>
    </row>
    <row r="243" spans="1:2">
      <c r="A243" t="s">
        <v>717</v>
      </c>
      <c r="B243" t="s">
        <v>718</v>
      </c>
    </row>
    <row r="244" spans="1:2">
      <c r="A244" t="s">
        <v>719</v>
      </c>
      <c r="B244" t="s">
        <v>720</v>
      </c>
    </row>
    <row r="245" spans="1:2">
      <c r="A245" t="s">
        <v>721</v>
      </c>
      <c r="B245" t="s">
        <v>722</v>
      </c>
    </row>
    <row r="246" spans="1:2">
      <c r="A246" t="s">
        <v>723</v>
      </c>
      <c r="B246" t="s">
        <v>724</v>
      </c>
    </row>
    <row r="247" spans="1:2">
      <c r="A247" t="s">
        <v>725</v>
      </c>
      <c r="B247" t="s">
        <v>726</v>
      </c>
    </row>
    <row r="248" spans="1:2">
      <c r="A248" t="s">
        <v>727</v>
      </c>
      <c r="B248" t="s">
        <v>728</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Categories</vt:lpstr>
      <vt:lpstr>Metadata</vt:lpstr>
      <vt:lpstr>picklists</vt:lpstr>
      <vt:lpstr>countries</vt:lpstr>
      <vt:lpstr>language</vt:lpstr>
      <vt:lpstr>license_type</vt:lpstr>
      <vt:lpstr>resources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Ben Stewart</cp:lastModifiedBy>
  <cp:lastPrinted>2014-02-01T19:00:50Z</cp:lastPrinted>
  <dcterms:created xsi:type="dcterms:W3CDTF">2013-09-30T16:43:43Z</dcterms:created>
  <dcterms:modified xsi:type="dcterms:W3CDTF">2015-08-18T13:25:53Z</dcterms:modified>
</cp:coreProperties>
</file>