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0" yWindow="0" windowWidth="28800" windowHeight="1594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<sst xmlns="http://schemas.openxmlformats.org/spreadsheetml/2006/main" count="1020" uniqueCount="947">
  <si>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</si>
  <si>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</si>
  <si>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</si>
  <si>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</si>
  <si>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</si>
  <si>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</si>
  <si>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</si>
  <si>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</si>
  <si>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</si>
  <si>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</si>
  <si>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</si>
  <si>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</si>
  <si>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</si>
  <si>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</si>
  <si>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</si>
  <si>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</si>
  <si>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</si>
  <si>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</si>
  <si>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</si>
  <si>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</si>
  <si>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</si>
  <si>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</si>
  <si>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</si>
  <si>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</si>
  <si>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</si>
  <si>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</si>
  <si>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</si>
  <si>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</si>
  <si>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</si>
  <si>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</si>
  <si>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</si>
  <si>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</si>
  <si>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</si>
  <si>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</si>
  <si>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</si>
  <si>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</si>
  <si>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</si>
  <si>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</si>
  <si>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</si>
  <si>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</si>
  <si>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</si>
  <si>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</si>
  <si>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</si>
  <si>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</si>
  <si>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</si>
  <si>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</si>
  <si>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</si>
  <si>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</si>
  <si>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</si>
  <si>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</si>
  <si>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</si>
  <si>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</si>
  <si>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</si>
  <si>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</si>
  <si>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</si>
  <si>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</si>
  <si>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</si>
  <si>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</si>
  <si>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</si>
  <si>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</si>
  <si>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</si>
  <si>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</si>
  <si>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</si>
  <si>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</si>
  <si>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</si>
  <si>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</si>
  <si>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</si>
  <si>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</si>
  <si>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</si>
  <si>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</si>
  <si>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</si>
  <si>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</si>
  <si>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</si>
  <si>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</si>
  <si>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</si>
  <si>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</si>
  <si>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</si>
  <si>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</si>
  <si>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</si>
  <si>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</si>
  <si>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</si>
  <si>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</si>
  <si>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</si>
  <si>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</si>
  <si>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</si>
  <si>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</si>
  <si>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</si>
  <si>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</si>
  <si>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</si>
  <si>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</si>
  <si>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</si>
  <si>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</si>
  <si>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</si>
  <si>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</si>
  <si>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</si>
  <si>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</si>
  <si>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</si>
  <si>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</si>
  <si>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</si>
  <si>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</si>
  <si>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</si>
  <si>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</si>
  <si>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</si>
  <si>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</si>
  <si>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</si>
  <si>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</si>
  <si>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</si>
  <si>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</si>
  <si>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</si>
  <si>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</si>
  <si>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</si>
  <si>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</si>
  <si>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</si>
  <si>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</si>
  <si>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</si>
  <si>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</si>
  <si>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</si>
  <si>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</si>
  <si>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</si>
  <si>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</si>
  <si>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</si>
  <si>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</si>
  <si>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</si>
  <si>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</si>
  <si>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</si>
  <si>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</si>
  <si>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</si>
  <si>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</si>
  <si>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</si>
  <si>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</si>
  <si>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</si>
  <si>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</si>
  <si>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</si>
  <si>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</si>
  <si>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</si>
  <si>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</si>
  <si>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</si>
  <si>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</si>
  <si>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</si>
  <si>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</si>
  <si>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</si>
  <si>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</si>
  <si>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</si>
  <si>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</si>
  <si>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</si>
  <si>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</si>
  <si>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</si>
  <si>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</si>
  <si>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</si>
  <si>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</si>
  <si>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</si>
  <si>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</si>
  <si>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</si>
  <si>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</si>
  <si>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</si>
  <si>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</si>
  <si>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</si>
  <si>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</si>
  <si>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</si>
  <si>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</si>
  <si>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</si>
  <si>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</si>
  <si>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</si>
  <si>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</si>
  <si>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</si>
  <si>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</si>
  <si>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</si>
  <si>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</si>
  <si>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</si>
  <si>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</si>
  <si>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</si>
  <si>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</si>
  <si>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</si>
  <si>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</si>
  <si>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</si>
  <si>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</si>
  <si>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</si>
  <si>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</si>
  <si>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</si>
  <si>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</si>
  <si>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</si>
  <si>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</si>
  <si>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</si>
  <si>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</si>
  <si>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</si>
  <si>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</si>
  <si>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</si>
  <si>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</si>
  <si>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</si>
  <si>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</si>
  <si>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</si>
  <si>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</si>
  <si>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</si>
  <si>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</si>
  <si>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</si>
  <si>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</si>
  <si>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</si>
  <si>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</si>
  <si>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</si>
  <si>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</si>
  <si>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</si>
  <si>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</si>
  <si>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</si>
  <si>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</si>
  <si>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</si>
  <si>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</si>
  <si>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</si>
  <si>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</si>
  <si>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</si>
  <si>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</si>
  <si>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</si>
  <si>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</si>
  <si>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</si>
  <si>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</si>
  <si>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</si>
  <si>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</si>
  <si>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</si>
  <si>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</si>
  <si>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</si>
  <si>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</si>
  <si>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</si>
  <si>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</si>
  <si>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</si>
  <si>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</si>
  <si>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</si>
  <si>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</si>
  <si>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</si>
  <si>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</si>
  <si>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</si>
  <si>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</si>
  <si>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</si>
  <si>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</si>
  <si>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</si>
  <si>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</si>
  <si>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</si>
  <si>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</si>
  <si>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</si>
  <si>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</si>
  <si>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</si>
  <si>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</si>
  <si>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</si>
  <si>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</si>
  <si>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</si>
  <si>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</si>
  <si>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</si>
  <si>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</si>
  <si>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</si>
  <si>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</si>
  <si>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</si>
  <si>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</si>
  <si>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</si>
  <si>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</si>
  <si>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</si>
  <si>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</si>
  <si>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</si>
  <si>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</si>
  <si>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</si>
  <si>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</si>
  <si>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</si>
  <si>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</si>
  <si>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</si>
  <si>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</si>
  <si>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</si>
  <si>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</si>
  <si>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</si>
  <si>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</si>
  <si>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</si>
  <si>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</si>
  <si>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</si>
  <si>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</si>
  <si>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</si>
  <si>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</si>
  <si>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</si>
  <si>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</si>
  <si>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</si>
  <si>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</si>
  <si>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</si>
  <si>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</si>
  <si>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</si>
  <si>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</si>
  <si>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</si>
  <si>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</si>
  <si>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</si>
  <si>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</si>
  <si>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</si>
  <si>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</si>
  <si>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</si>
  <si>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</si>
  <si>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</si>
  <si>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</si>
  <si>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</si>
  <si>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</si>
  <si>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</si>
  <si>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</si>
  <si>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</si>
  <si>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</si>
  <si>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</si>
  <si>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</si>
  <si>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</si>
  <si>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</si>
  <si>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</si>
  <si>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</si>
  <si>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</si>
  <si>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</si>
  <si>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</si>
  <si>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</si>
  <si>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</si>
  <si>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</si>
  <si>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</si>
  <si>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</si>
  <si>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</si>
  <si>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</si>
  <si>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</si>
  <si>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</si>
  <si>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</si>
  <si>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</si>
  <si>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</si>
  <si>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</si>
  <si>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</si>
  <si>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</si>
  <si>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</si>
  <si>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</si>
  <si>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</si>
  <si>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</si>
  <si>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</si>
  <si>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</si>
  <si>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</si>
  <si>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</si>
  <si>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</si>
  <si>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</si>
  <si>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</si>
  <si>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</si>
  <si>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</si>
  <si>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</si>
  <si>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</si>
  <si>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</si>
  <si>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</si>
  <si>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</si>
  <si>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</si>
  <si>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</si>
  <si>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</si>
  <si>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</si>
  <si>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</si>
  <si>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</si>
  <si>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</si>
  <si>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</si>
  <si>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</si>
  <si>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</si>
  <si>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</si>
  <si>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</si>
  <si>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</si>
  <si>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</si>
  <si>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</si>
  <si>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</si>
  <si>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</si>
  <si>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</si>
  <si>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</si>
  <si>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</si>
  <si>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</si>
  <si>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</si>
  <si>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</si>
  <si>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</si>
  <si>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</si>
  <si>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</si>
  <si>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</si>
  <si>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</si>
  <si>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</si>
  <si>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</si>
  <si>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</si>
  <si>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</si>
  <si>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</si>
  <si>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</si>
  <si>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</si>
  <si>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</si>
  <si>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</si>
  <si>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</si>
  <si>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</si>
  <si>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</si>
  <si>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</si>
  <si>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</si>
  <si>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</si>
  <si>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</si>
  <si>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</si>
  <si>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</si>
  <si>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</si>
  <si>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</si>
  <si>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</si>
  <si>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</si>
  <si>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</si>
  <si>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</si>
  <si>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</si>
  <si>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</si>
  <si>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</si>
  <si>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</si>
  <si>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</si>
  <si>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</si>
  <si>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</si>
  <si>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</si>
  <si>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</si>
  <si>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</si>
  <si>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</si>
  <si>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</si>
  <si>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</si>
  <si>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</si>
  <si>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</si>
  <si>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</si>
  <si>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</si>
  <si>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</si>
  <si>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</si>
  <si>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</si>
  <si>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</si>
  <si>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</si>
  <si>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</si>
  <si>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</si>
  <si>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</si>
  <si>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</si>
  <si>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</si>
  <si>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</si>
  <si>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</si>
  <si>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</si>
  <si>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</si>
  <si>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</si>
  <si>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</si>
  <si>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</si>
  <si>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</si>
  <si>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</si>
  <si>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</si>
  <si>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</si>
  <si>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</si>
  <si>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</si>
  <si>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</si>
  <si>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</si>
  <si>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</si>
  <si>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</si>
  <si>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</si>
  <si>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</si>
  <si>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</si>
  <si>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</si>
  <si>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</si>
  <si>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</si>
  <si>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</si>
  <si>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</si>
  <si>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</si>
  <si>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</si>
  <si>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</si>
  <si>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</si>
  <si>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</si>
  <si>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</si>
  <si>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</si>
  <si>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</si>
  <si>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</si>
  <si>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</si>
  <si>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</si>
  <si>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</si>
  <si>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</si>
  <si>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</si>
  <si>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</si>
  <si>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</si>
  <si>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</si>
  <si>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</si>
  <si>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</si>
  <si>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</si>
  <si>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</si>
  <si>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</si>
  <si>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</si>
  <si>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</si>
  <si>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</si>
  <si>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</si>
  <si>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</si>
  <si>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</si>
  <si>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</si>
  <si>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</si>
  <si>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</si>
  <si>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</si>
  <si>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</si>
  <si>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</si>
  <si>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</si>
  <si>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</si>
  <si>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</si>
  <si>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</si>
  <si>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</si>
  <si>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</si>
  <si>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</si>
  <si>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</si>
  <si>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</si>
  <si>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</si>
  <si>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</si>
  <si>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</si>
  <si>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</si>
  <si>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</si>
  <si>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</si>
  <si>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</si>
  <si>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</si>
  <si>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</si>
  <si>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</si>
  <si>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</si>
  <si>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</si>
  <si>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</si>
  <si>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</si>
  <si>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</si>
  <si>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</si>
  <si>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</si>
  <si>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</si>
  <si>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</si>
  <si>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</si>
  <si>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</si>
  <si>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</si>
  <si>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</si>
  <si>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</si>
  <si>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</si>
  <si>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</si>
  <si>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</si>
  <si>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</si>
  <si>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</si>
  <si>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</si>
  <si>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</si>
  <si>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</si>
  <si>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</si>
  <si>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</si>
  <si>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</si>
  <si>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</si>
  <si>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</si>
  <si>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</si>
  <si>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</si>
  <si>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</si>
  <si>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</si>
  <si>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</si>
  <si>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</si>
  <si>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</si>
  <si>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</si>
  <si>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</si>
  <si>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</si>
  <si>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</si>
  <si>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</si>
  <si>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</si>
  <si>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</si>
  <si>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</si>
  <si>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</si>
  <si>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</si>
  <si>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</si>
  <si>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</si>
  <si>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</si>
  <si>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</si>
  <si>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</si>
  <si>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</si>
  <si>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</si>
  <si>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</si>
  <si>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</si>
  <si>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</si>
  <si>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</si>
  <si>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</si>
  <si>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</si>
  <si>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</si>
  <si>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</si>
  <si>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</si>
  <si>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</si>
  <si>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</si>
  <si>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</si>
  <si>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</si>
  <si>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</si>
  <si>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</si>
  <si>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</si>
  <si>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</si>
  <si>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</si>
  <si>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</si>
  <si>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</si>
  <si>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</si>
  <si>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</si>
  <si>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</si>
  <si>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</si>
  <si>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</si>
  <si>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</si>
  <si>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</si>
  <si>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</si>
  <si>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</si>
  <si>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</si>
  <si>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</si>
  <si>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</si>
  <si>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</si>
  <si>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</si>
  <si>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</si>
  <si>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</si>
  <si>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</si>
  <si>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</si>
  <si>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</si>
  <si>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</si>
  <si>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</si>
  <si>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</si>
  <si>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</si>
  <si>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</si>
  <si>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</si>
  <si>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</si>
  <si>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</si>
  <si>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</si>
  <si>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</si>
  <si>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</si>
  <si>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</si>
  <si>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</si>
  <si>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</si>
  <si>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</si>
  <si>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</si>
  <si>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</si>
  <si>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</si>
  <si>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</si>
  <si>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</si>
  <si>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</si>
  <si>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</si>
  <si>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</si>
  <si>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</si>
  <si>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</si>
  <si>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</si>
  <si>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</si>
  <si>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</si>
  <si>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</si>
  <si>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</si>
  <si>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</si>
  <si>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</si>
  <si>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</si>
  <si>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</si>
  <si>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</si>
  <si>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</si>
  <si>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</si>
  <si>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</si>
  <si>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</si>
  <si>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</si>
  <si>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</si>
  <si>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</si>
  <si>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</si>
  <si>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</si>
  <si>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</si>
  <si>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</si>
  <si>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</si>
  <si>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</si>
  <si>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</si>
  <si>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</si>
  <si>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</si>
  <si>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</si>
  <si>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</si>
  <si>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</si>
  <si>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</si>
  <si>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</si>
  <si>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</si>
  <si>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</si>
  <si>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</si>
  <si>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</si>
  <si>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</si>
  <si>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</si>
  <si>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</si>
  <si>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</si>
  <si>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</si>
  <si>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</si>
  <si>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</si>
  <si>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</si>
  <si>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</si>
  <si>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</si>
  <si>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</si>
  <si>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</si>
  <si>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</si>
  <si>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</si>
  <si>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</si>
  <si>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</si>
  <si>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</si>
  <si>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</si>
  <si>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</si>
  <si>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</si>
  <si>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</si>
  <si>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</si>
  <si>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</si>
  <si>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</si>
  <si>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</si>
  <si>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</si>
  <si>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</si>
  <si>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</si>
  <si>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</si>
  <si>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</si>
  <si>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</si>
  <si>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</si>
  <si>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</si>
  <si>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</si>
  <si>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</si>
  <si>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</si>
  <si>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</si>
  <si>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</si>
  <si>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</si>
  <si>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</si>
  <si>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</si>
  <si>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</si>
  <si>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</si>
  <si>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</si>
  <si>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</si>
  <si>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</si>
  <si>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</si>
  <si>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</si>
  <si>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</si>
  <si>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</si>
  <si>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</si>
  <si>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</si>
  <si>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</si>
  <si>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</si>
  <si>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</si>
  <si>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</si>
  <si>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</si>
  <si>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</si>
  <si>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</si>
  <si>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</si>
  <si>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</si>
  <si>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</si>
  <si>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</si>
  <si>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</si>
  <si>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</si>
  <si>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</si>
  <si>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</si>
  <si>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</si>
  <si>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</si>
  <si>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</si>
  <si>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</si>
  <si>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</si>
  <si>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</si>
  <si>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</si>
  <si>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</si>
  <si>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</si>
  <si>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</si>
  <si>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</si>
  <si>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</si>
  <si>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</si>
  <si>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</si>
  <si>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</si>
  <si>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</si>
  <si>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</si>
  <si>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</si>
  <si>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</si>
  <si>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</si>
  <si>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</si>
  <si>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</si>
  <si>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</si>
  <si>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</si>
  <si>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</si>
  <si>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</si>
  <si>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</si>
  <si>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</si>
  <si>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</si>
  <si>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</si>
  <si>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</si>
  <si>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</si>
  <si>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</si>
  <si>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</si>
  <si>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</si>
  <si>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</si>
  <si>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</si>
  <si>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</si>
  <si>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</si>
  <si>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</si>
  <si>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</si>
  <si>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</si>
  <si>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</si>
  <si>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</si>
  <si>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</si>
  <si>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</si>
  <si>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</si>
  <si>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</si>
  <si>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</si>
  <si>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</si>
  <si>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</si>
  <si>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</si>
  <si>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</si>
  <si>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</si>
  <si>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</si>
  <si>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</si>
  <si>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</si>
  <si>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</si>
  <si>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</si>
  <si>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</si>
  <si>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</si>
  <si>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</si>
  <si>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</si>
  <si>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</si>
  <si>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</si>
  <si>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</si>
  <si>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</si>
  <si>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</si>
  <si>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</si>
  <si>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</si>
  <si>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</si>
  <si>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</si>
  <si>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</si>
  <si>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</si>
  <si>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</si>
  <si>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</si>
  <si>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</si>
  <si>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</si>
  <si>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</si>
  <si>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</si>
  <si>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</si>
  <si>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</si>
  <si>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</si>
  <si>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</si>
  <si>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</si>
  <si>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</si>
  <si>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</si>
  <si>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</si>
  <si>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</si>
  <si>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</si>
  <si>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</si>
  <si>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</si>
  <si>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</si>
  <si>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</si>
  <si>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</si>
  <si>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</si>
  <si>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</si>
  <si>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</si>
  <si>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</si>
  <si>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</si>
  <si>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</si>
  <si>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</si>
  <si>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</si>
  <si>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</si>
  <si>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</si>
  <si>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</si>
  <si>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</si>
  <si>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</si>
  <si>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</si>
  <si>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</si>
  <si>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</si>
  <si>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</si>
  <si>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</si>
  <si>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</si>
  <si>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</si>
  <si>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</si>
  <si>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</si>
  <si>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</si>
  <si>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</si>
  <si>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</si>
  <si>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</si>
  <si>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</si>
  <si>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</si>
  <si>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</si>
  <si>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</si>
  <si>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</si>
  <si>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</si>
  <si>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</si>
  <si>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</si>
  <si>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Timber Sales Contract A-8</t>
  </si>
  <si>
    <t>Thunder Bird International Liberia Inc.</t>
  </si>
  <si>
    <t>Carey &amp; Gurley Streets Intersection, Monrovia, Liberia</t>
  </si>
  <si>
    <t>Cover page</t>
  </si>
  <si>
    <t>1 (bottom), 2 (top)</t>
  </si>
  <si>
    <t>1 (top)</t>
  </si>
  <si>
    <t>1 (bottom)</t>
  </si>
  <si>
    <t>1 (middle)</t>
  </si>
  <si>
    <t>Art. A1</t>
  </si>
  <si>
    <t>7 (top)</t>
  </si>
  <si>
    <r>
      <t>Latitudes 7</t>
    </r>
    <r>
      <rPr>
        <sz val="12"/>
        <color theme="1"/>
        <rFont val="Symbol"/>
        <family val="1"/>
        <charset val="2"/>
      </rPr>
      <t>°</t>
    </r>
    <r>
      <rPr>
        <sz val="12"/>
        <color theme="1"/>
        <rFont val="Calibri"/>
        <family val="2"/>
        <scheme val="minor"/>
      </rPr>
      <t>14'24'' - 7</t>
    </r>
    <r>
      <rPr>
        <sz val="12"/>
        <color theme="1"/>
        <rFont val="Symbol"/>
        <family val="1"/>
        <charset val="2"/>
      </rPr>
      <t>°</t>
    </r>
    <r>
      <rPr>
        <sz val="12"/>
        <color theme="1"/>
        <rFont val="Calibri"/>
        <family val="2"/>
        <scheme val="minor"/>
      </rPr>
      <t>18'0'' North of the Equator and Longitudes 11</t>
    </r>
    <r>
      <rPr>
        <sz val="12"/>
        <color theme="1"/>
        <rFont val="Symbol"/>
        <family val="1"/>
        <charset val="2"/>
      </rPr>
      <t>°</t>
    </r>
    <r>
      <rPr>
        <sz val="12"/>
        <color theme="1"/>
        <rFont val="Calibri"/>
        <family val="2"/>
        <scheme val="minor"/>
      </rPr>
      <t>0'0'' - 11</t>
    </r>
    <r>
      <rPr>
        <sz val="12"/>
        <color theme="1"/>
        <rFont val="Symbol"/>
        <family val="1"/>
        <charset val="2"/>
      </rPr>
      <t>°</t>
    </r>
    <r>
      <rPr>
        <sz val="12"/>
        <color theme="1"/>
        <rFont val="Calibri"/>
        <family val="2"/>
        <scheme val="minor"/>
      </rPr>
      <t>6'36'' West of the Greenwich meridian, Grand Cape Mount County-Liberia</t>
    </r>
  </si>
  <si>
    <t>Forestry Development Authority</t>
  </si>
  <si>
    <t>Managing Director and In-House Lawyer, Forestry Development Authority</t>
  </si>
  <si>
    <t>Signature page</t>
  </si>
  <si>
    <t>38 (top)</t>
  </si>
  <si>
    <t>Preamble, Signature page</t>
  </si>
  <si>
    <t>2 years</t>
  </si>
  <si>
    <t>Cover page 2</t>
  </si>
  <si>
    <t>2 (middle)</t>
  </si>
  <si>
    <t>5,000 ha</t>
  </si>
  <si>
    <t>29 (middle)</t>
  </si>
  <si>
    <t>Art. B3.23</t>
  </si>
  <si>
    <t>15 (bottom)</t>
  </si>
  <si>
    <t>Art. B6.31</t>
  </si>
  <si>
    <t>The contract is not renewable, with only limited extensions possible under Art. B8.5 (force majeure)</t>
  </si>
  <si>
    <t>Art. B2.2</t>
  </si>
  <si>
    <t>14 (top)</t>
  </si>
  <si>
    <t>Art. B8.0</t>
  </si>
  <si>
    <t>Art. B2.11</t>
  </si>
  <si>
    <t>14 (bottom)</t>
  </si>
  <si>
    <t>Preamble, Art. B2.1</t>
  </si>
  <si>
    <t>5 (top), 13 (top)</t>
  </si>
  <si>
    <t>Art. B4.3</t>
  </si>
  <si>
    <t>20 (top)</t>
  </si>
  <si>
    <t>Other - Termination for violation of human rights</t>
  </si>
  <si>
    <t>Art. B10.24</t>
  </si>
  <si>
    <t>39 (top)</t>
  </si>
  <si>
    <t>Art. B3.13</t>
  </si>
  <si>
    <t>Art. B2.3</t>
  </si>
  <si>
    <t>19 (middle)</t>
  </si>
  <si>
    <t>Art. B3.41</t>
  </si>
  <si>
    <t>The laws of the Republic of Liberia govern the contract</t>
  </si>
  <si>
    <t>40 (top)</t>
  </si>
  <si>
    <t>Art. B10.23</t>
  </si>
  <si>
    <t>Thunder Bird International is subject to income tax under the Revenue Code of Liberia</t>
  </si>
  <si>
    <t xml:space="preserve">13 (top), 16 (top), 28 (middle), 29 (top), 30 (top) </t>
  </si>
  <si>
    <t>Art. B10.27(r)(v)</t>
  </si>
  <si>
    <t>Thunder Bird International shall follow internationally recognized, modern safety precautions in all activities and shall comply with written safety instructions supplied by the Government. Thunder Bird International shall follow internationally recognized, modern measures for the protection of general health and safety of its employees and shall comply with written public health instructions given in writing by the Government.</t>
  </si>
  <si>
    <t>15 (middle)</t>
  </si>
  <si>
    <t>28 (bottom)</t>
  </si>
  <si>
    <t>Thunder Bird International shall use all reasonable means to prevent encroachment by unauthorized persons in to the contract area, however it shall not employ or in any way use armed security guards for any purpose</t>
  </si>
  <si>
    <t>13 (middle)</t>
  </si>
  <si>
    <t>Arts. A4, B8.11 - B8.14</t>
  </si>
  <si>
    <t>The contract may be interrupted to ensure consistency with the Environmental Impact Assessment and related documents</t>
  </si>
  <si>
    <t>All infrastructures revert to the Government upon termination of the contract and shall be left in safe running order</t>
  </si>
  <si>
    <t>Art. B4.24</t>
  </si>
  <si>
    <t>19 (bottom)</t>
  </si>
  <si>
    <t>If any statute or regulation referred to in the contract is repealed or amended, the contract shall be taken to refer to the newly amended statute or regulation, or the statute or regulation that replaces the repealed one, as determined by the Forestry Development Authority of Liberia</t>
  </si>
  <si>
    <t>Art. B1.0(iii)</t>
  </si>
  <si>
    <t>9 (bottom)</t>
  </si>
  <si>
    <t xml:space="preserve">Thunder Bird International shall give preference to competent and qualified individuals living in and near the contract area, particularly to individuals from communities benefiting from the Social Agreements. Thunder Bird International shall not import unskilled labor from outside Liberia. </t>
  </si>
  <si>
    <t>The contract may be interrupted by the Forestry Development Authority of Liberia to prevent environmental degradation or resource damage and to conduct environmental analysis</t>
  </si>
  <si>
    <t>Art. B10.27</t>
  </si>
  <si>
    <t>22 (bottom)</t>
  </si>
  <si>
    <t>Thunder Bird International has rights under section 18.8 of the National Forestry Reform Law of 2006 concerning construction of infrastructure and agrees to exercise those rights subject to the contract. It shall comply with all laws governing construction, maintenance and use of improvements. By law, certain improvements require pre-authorization from Government agencies other than the Forestry Development Authority of Liberia. Thunder Bird International shall ensure that all infrastructure and works installed in relation to the contract comply with the Liberia Code of Forest Harvesting Practices and other applicable laws. It shall design, construct, and maintain infrastructure in a manner that avoids unreasonable risk to safety, health, welfare, and the environment. Thunder Bird International shall carry out road construction and maintenance activities in compliance with the Liberia Code of Forest Harvesting Practices.</t>
  </si>
  <si>
    <t>Thunder Bird International shall allow third party use of any roads constructed or maintained by it as long as such use does not unduly prejudice or interfere with its operations. Thunder Bird International shall also allow use of communication lines, subject to fair compensation.</t>
  </si>
  <si>
    <t>Failure by Thunder Bird International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Thunder Bird International fails to appeal the decision to an appropriate Liberian court.</t>
  </si>
  <si>
    <t>37 (top)</t>
  </si>
  <si>
    <t>Timber Sales Contract</t>
  </si>
  <si>
    <t>Chief Andrew Oru, President and CEO of Thunder Bird International</t>
  </si>
  <si>
    <t>Thunder Bird International shall identify areas requiring special measures for the protection of cultural resources in the annual operation plan, and describe these special measures and protect these areas from damage or removal</t>
  </si>
  <si>
    <t xml:space="preserve">Art. B6.34(a) </t>
  </si>
  <si>
    <t>Arts. B3.21(a), B3.22</t>
  </si>
  <si>
    <t>16 (top)</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</si>
  <si>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t>
  </si>
  <si>
    <t xml:space="preserve">Cover page 2, art 8.11 (c) </t>
  </si>
  <si>
    <t>Art. B3.12</t>
  </si>
  <si>
    <t>Thunder Bird International shall execute the Social Agreements required under Regulation 105-07 before the first annual operating season</t>
  </si>
  <si>
    <t>Arts. B4.12(a) and (b)</t>
  </si>
  <si>
    <t>The land rental bid is US$ 2.00 per hectare per year. The land rental bid payment is calculated annually according to a formula, where the bid opening ceremony is multiplied by the number of hectares in the contract area. Thunder Bird International shall pay the fee annually. Thunder Bird International shall pay log stumpage fees, annual contract administration fees, area fees, coupe inspection fees, and forest product fees to the Government as required by Regulation 107-07, on Certain Forest Fees.</t>
  </si>
  <si>
    <t>Subject to the written approval of the Government and the Social Agreement (as called for under Regulation 105-07) and such conditions as the Government or Social Agreement may impose, Thunder Bird International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Thunder Bird International shall ensure that its use of water in no way results in environmental damage or creates other hazards.</t>
  </si>
  <si>
    <t>Thunder Bird International must include an up-to-date business plan demonstrating it has the technical and financial capacity to manage the contract area sustainably. The business plan must conform to the Guidelines for Forest Management Planning.</t>
  </si>
  <si>
    <t xml:space="preserve">Art. B4.23(a) and (c) </t>
  </si>
  <si>
    <t>Arts. B4.12, B4.13</t>
  </si>
  <si>
    <t>Arts. B1.0, 10.13</t>
  </si>
  <si>
    <t>24 (middle)</t>
  </si>
  <si>
    <t xml:space="preserve">Thunder Bird International shall not use public land outside the contract area unless it has express, written permission from the Forestry Development Authority. Before requesting permission, Thunder Bird International shall consult with all potentially affected communities that are party to social agreements with it. Thunder Bird International shall make a written record of the time, place, and general content of those consultations. </t>
  </si>
  <si>
    <t>The rights of private land owners and the public are governed by Chapters 11 and 12 of the National Forestry Reform Law of 2006, and Thunder Bird International agrees to respect those rights. In addition, the Government reserves the right to, among other things, access or allow others to access the contract area for the purpose of exploring for or exploiting minerals or other substances or any reasonable investigation, provided Thunder Bird International's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Thunder Bird International's operations and activities shall not be unduly interfered with or its rights prejudiced.</t>
  </si>
  <si>
    <t>Thunder Bird International shall not assign or transfer this contract or any interests, rights, privileges or obligations under the contract without prior written approval from the Forestry Development Authority of Liberia. The Forestry Development Authority shall not consent to any transfer, except in compliance with Regulation 104-07, Section 71.</t>
  </si>
  <si>
    <t>The parties understand that section 18.15 of the National Forestry Reform Law guarantees to the public free access to all documents and information related to this contract and its administration, subject only to limited exceptions</t>
  </si>
  <si>
    <t>Thunder Bird International's harvests must be consistent with sustainable management of forest resources. Thunder Bird International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Thunder Bird International shall conduct all operations and activities so as to avoid waste and loss of natural resources and to protect natural resources from damage. It shall conduct all operations and activities so as to prevent pollution and contamination of the environment. Thunder Bird International shall harvest trees in a manner that avoids unnecessary damage and waste, and unnecessary damage to young growth and other trees. It shall identify in the annual operation plan areas requiring special measures for the protection of plants and animals, and it shall protect these areas from damage or removal during operations. Thunder Bird International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t>
  </si>
  <si>
    <t>The contract may be terminated if Thunder Bird International commits a number of breaches, including: (b) felling trees not covered by an Annual Harvesting Certificate, (d) abandoning operations for a period of 1 year or more, (e) significantly failing to meet the requirements of an approved annual operation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Thunder Bird International, including payment of a bribe, and (v) human rights violations</t>
  </si>
  <si>
    <t>Thunder Bird International consents to the Government or a designated representative conducting reasonable inspections of the contract area and premises. Thunder Bird International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t>
  </si>
  <si>
    <t>Arts. B5.3, B5.51 - B5.53</t>
  </si>
  <si>
    <t>The Government shall terminate the contract if Thunder Bird International or its senior officers are convicted for human rights violations and Thunder Bird International is unable to, or fails to satisfactorily, remedy the violations</t>
  </si>
  <si>
    <t>Arts. B2.1, B3.3, B6.3, B6.32, B6.34-B6.38</t>
  </si>
  <si>
    <t xml:space="preserve">Thunder Bird International shall not use public land outside the contract area unless it has express, written permission from the Forestry Development Authority. The Forestry Development Authority shall not unreasonably deny permission to use such land. Thunder Bird International may use private land with the express, written permission of the land owner. If Thunder Bird International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Thunder Bird International shall not seek a use, lease, right-of-way, or easement that substantially interferes with the operations of another previously issued forest management contract or timber sale contract. Thunder Bird International also shall not interfere with any good faith exercise of third-party rights to timber or forest products, including customary rights, without permission of the third party. </t>
  </si>
  <si>
    <t>Art. B5.55</t>
  </si>
  <si>
    <t>17 (middle)</t>
  </si>
  <si>
    <t>18 (middle), 27 (top), 31 (middle)</t>
  </si>
  <si>
    <t>32 (top)</t>
  </si>
  <si>
    <t>8 (bottom), 32 (middle)</t>
  </si>
  <si>
    <t>36 (top)</t>
  </si>
  <si>
    <t>5 (top), 43 (top)</t>
  </si>
  <si>
    <t>43 (top)</t>
  </si>
  <si>
    <t>Arts. B4.21, B4.22(a), (b) and (c), B6.18, B6.5</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</si>
</sst>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18"/>
      <color theme="1"/>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4">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style="thin">
        <color auto="1"/>
      </left>
      <right style="thin">
        <color rgb="FF000000"/>
      </right>
      <top style="thin">
        <color auto="1"/>
      </top>
      <bottom style="thin">
        <color auto="1"/>
      </bottom>
      <diagonal/>
    </border>
  </borders>
  <cellStyleXfs count="29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5">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0" xfId="0" applyFont="1" applyFill="1" applyBorder="1" applyAlignment="1">
      <alignment horizontal="left"/>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7" xfId="0" applyFont="1" applyFill="1" applyBorder="1"/>
    <xf numFmtId="0" fontId="7" fillId="8" borderId="8" xfId="0" applyFont="1" applyFill="1" applyBorder="1" applyAlignment="1">
      <alignment wrapText="1"/>
    </xf>
    <xf numFmtId="0" fontId="15" fillId="2" borderId="0" xfId="0" applyFont="1" applyFill="1" applyBorder="1" applyAlignment="1">
      <alignment horizontal="left" wrapText="1"/>
    </xf>
    <xf numFmtId="0" fontId="15" fillId="2" borderId="0" xfId="0" applyFont="1" applyFill="1" applyBorder="1" applyAlignment="1">
      <alignment wrapText="1"/>
    </xf>
    <xf numFmtId="0" fontId="15" fillId="2" borderId="3" xfId="0" applyFont="1" applyFill="1" applyBorder="1" applyAlignment="1">
      <alignment horizontal="left"/>
    </xf>
    <xf numFmtId="0" fontId="15" fillId="2" borderId="4" xfId="0" applyNumberFormat="1" applyFont="1" applyFill="1" applyBorder="1" applyAlignment="1">
      <alignment horizontal="left" wrapText="1"/>
    </xf>
    <xf numFmtId="0" fontId="15" fillId="9" borderId="9" xfId="0" applyFont="1" applyFill="1" applyBorder="1" applyAlignment="1">
      <alignment horizontal="left" wrapText="1"/>
    </xf>
    <xf numFmtId="0" fontId="15" fillId="2" borderId="9" xfId="0" applyFont="1" applyFill="1" applyBorder="1" applyAlignment="1">
      <alignment wrapText="1"/>
    </xf>
    <xf numFmtId="0" fontId="15" fillId="2" borderId="3" xfId="0" applyFont="1" applyFill="1" applyBorder="1" applyAlignment="1">
      <alignment wrapText="1"/>
    </xf>
    <xf numFmtId="0" fontId="15" fillId="2" borderId="4" xfId="0" applyNumberFormat="1" applyFont="1" applyFill="1" applyBorder="1" applyAlignment="1">
      <alignment wrapText="1"/>
    </xf>
    <xf numFmtId="0" fontId="15" fillId="2" borderId="9" xfId="0" applyFont="1" applyFill="1" applyBorder="1" applyAlignment="1">
      <alignment horizontal="left" wrapText="1"/>
    </xf>
    <xf numFmtId="0" fontId="15" fillId="2" borderId="5" xfId="0" applyFont="1" applyFill="1" applyBorder="1" applyAlignment="1">
      <alignment horizontal="left"/>
    </xf>
    <xf numFmtId="0" fontId="15" fillId="2" borderId="7" xfId="0" applyFont="1" applyFill="1" applyBorder="1" applyAlignment="1">
      <alignment horizontal="left"/>
    </xf>
    <xf numFmtId="0" fontId="15"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5" fillId="2" borderId="7" xfId="0" applyFont="1" applyFill="1" applyBorder="1"/>
    <xf numFmtId="0" fontId="15"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4"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7" fillId="4" borderId="9" xfId="0" applyFont="1" applyFill="1" applyBorder="1" applyAlignment="1">
      <alignment wrapText="1"/>
    </xf>
    <xf numFmtId="0" fontId="14"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5"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4" fillId="2" borderId="9" xfId="0" applyFont="1" applyFill="1" applyBorder="1" applyAlignment="1">
      <alignment vertical="top" wrapText="1"/>
    </xf>
    <xf numFmtId="0" fontId="7" fillId="8" borderId="9"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4" fillId="13" borderId="0" xfId="0" applyFont="1" applyFill="1" applyAlignment="1">
      <alignment wrapText="1"/>
    </xf>
    <xf numFmtId="0" fontId="18"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7" fillId="5" borderId="12" xfId="0" applyFont="1" applyFill="1" applyBorder="1" applyAlignment="1">
      <alignment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14" fontId="0" fillId="4" borderId="9" xfId="0" applyNumberFormat="1" applyFont="1" applyFill="1" applyBorder="1" applyAlignment="1">
      <alignment vertical="top" wrapText="1"/>
    </xf>
    <xf numFmtId="0" fontId="19" fillId="0" borderId="0" xfId="0" applyFont="1" applyFill="1" applyBorder="1" applyAlignment="1"/>
    <xf numFmtId="0" fontId="19" fillId="0" borderId="0" xfId="0" applyFont="1" applyFill="1" applyBorder="1" applyAlignment="1">
      <alignment wrapText="1"/>
    </xf>
    <xf numFmtId="0" fontId="20" fillId="0" borderId="0" xfId="0" applyFont="1"/>
    <xf numFmtId="0" fontId="19" fillId="0" borderId="0" xfId="0" applyFont="1"/>
    <xf numFmtId="0" fontId="19" fillId="0" borderId="0" xfId="0" applyFont="1" applyAlignment="1">
      <alignment wrapText="1"/>
    </xf>
    <xf numFmtId="0" fontId="4" fillId="0" borderId="0" xfId="0" applyFont="1"/>
    <xf numFmtId="0" fontId="0" fillId="0" borderId="0" xfId="0" applyFill="1" applyAlignment="1">
      <alignment wrapText="1"/>
    </xf>
    <xf numFmtId="0" fontId="12" fillId="0" borderId="0" xfId="0" applyFont="1" applyAlignment="1"/>
    <xf numFmtId="0" fontId="21" fillId="0" borderId="0" xfId="0" applyFont="1"/>
    <xf numFmtId="0" fontId="7" fillId="6" borderId="9" xfId="0" applyFont="1" applyFill="1" applyBorder="1" applyAlignment="1">
      <alignment wrapText="1"/>
    </xf>
    <xf numFmtId="0" fontId="0" fillId="6" borderId="5" xfId="0" applyFont="1" applyFill="1" applyBorder="1" applyAlignment="1">
      <alignment horizontal="left"/>
    </xf>
    <xf numFmtId="0" fontId="0" fillId="6" borderId="9" xfId="0" applyFont="1" applyFill="1" applyBorder="1" applyAlignment="1">
      <alignment wrapText="1"/>
    </xf>
    <xf numFmtId="0" fontId="17" fillId="6" borderId="5" xfId="0" applyFont="1" applyFill="1" applyBorder="1" applyAlignment="1">
      <alignment wrapText="1"/>
    </xf>
    <xf numFmtId="0" fontId="7" fillId="6" borderId="9" xfId="0" applyFont="1" applyFill="1" applyBorder="1" applyAlignment="1">
      <alignment vertical="top" wrapText="1"/>
    </xf>
    <xf numFmtId="0" fontId="0" fillId="10" borderId="9" xfId="0" applyFont="1" applyFill="1" applyBorder="1" applyAlignment="1">
      <alignment vertical="top" wrapText="1"/>
    </xf>
    <xf numFmtId="0" fontId="1" fillId="10" borderId="9" xfId="0" applyFont="1" applyFill="1" applyBorder="1" applyAlignment="1">
      <alignment wrapText="1"/>
    </xf>
    <xf numFmtId="0" fontId="17" fillId="2" borderId="5" xfId="0" applyFont="1" applyFill="1" applyBorder="1" applyAlignment="1">
      <alignment wrapText="1"/>
    </xf>
    <xf numFmtId="0" fontId="4" fillId="5" borderId="13" xfId="0" applyFont="1" applyFill="1" applyBorder="1" applyAlignment="1">
      <alignment wrapText="1"/>
    </xf>
    <xf numFmtId="0" fontId="17" fillId="2" borderId="5" xfId="0" applyFont="1" applyFill="1" applyBorder="1" applyAlignment="1">
      <alignment horizontal="left" wrapText="1"/>
    </xf>
    <xf numFmtId="0" fontId="15" fillId="2" borderId="5" xfId="0" applyFont="1" applyFill="1" applyBorder="1"/>
    <xf numFmtId="0" fontId="17" fillId="2" borderId="0" xfId="0" applyFont="1" applyFill="1" applyBorder="1" applyAlignment="1">
      <alignment horizontal="left" wrapText="1"/>
    </xf>
    <xf numFmtId="0" fontId="17" fillId="2" borderId="6" xfId="0" applyFont="1" applyFill="1" applyBorder="1" applyAlignment="1">
      <alignment horizontal="left" wrapText="1"/>
    </xf>
    <xf numFmtId="0" fontId="4" fillId="5" borderId="13" xfId="0" applyFont="1" applyFill="1" applyBorder="1"/>
    <xf numFmtId="0" fontId="4" fillId="9" borderId="13" xfId="0" applyFont="1" applyFill="1" applyBorder="1"/>
    <xf numFmtId="0" fontId="11"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3" fillId="0" borderId="0" xfId="0" applyNumberFormat="1" applyFont="1" applyAlignment="1">
      <alignment horizontal="right" wrapText="1"/>
    </xf>
    <xf numFmtId="0" fontId="13" fillId="0" borderId="0" xfId="0" applyFont="1" applyAlignment="1">
      <alignment horizontal="right" wrapText="1"/>
    </xf>
    <xf numFmtId="0" fontId="0" fillId="0" borderId="0" xfId="0" applyAlignment="1">
      <alignment horizontal="center"/>
    </xf>
  </cellXfs>
  <cellStyles count="29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A34" zoomScale="70" zoomScaleNormal="70" zoomScalePageLayoutView="70" workbookViewId="0">
      <selection activeCell="C47" sqref="C47"/>
    </sheetView>
  </sheetViews>
  <sheetFormatPr baseColWidth="10" defaultColWidth="8.6640625" defaultRowHeight="15" x14ac:dyDescent="0"/>
  <cols>
    <col min="1" max="2" width="52.5" style="1" customWidth="1"/>
    <col min="3" max="3" width="64.832031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2" t="s">
        <v>839</v>
      </c>
      <c r="B10" s="212"/>
      <c r="C10" s="211"/>
    </row>
    <row r="12" spans="1:8" ht="25">
      <c r="C12" s="232">
        <v>42125</v>
      </c>
      <c r="D12" s="233"/>
    </row>
    <row r="16" spans="1:8" ht="30" customHeight="1">
      <c r="B16" s="229" t="s">
        <v>841</v>
      </c>
      <c r="C16" s="229"/>
      <c r="G16" s="230" t="s">
        <v>0</v>
      </c>
      <c r="H16" s="231"/>
    </row>
    <row r="17" spans="1:8" ht="30">
      <c r="A17" s="2" t="s">
        <v>1</v>
      </c>
      <c r="B17" s="2" t="s">
        <v>2</v>
      </c>
      <c r="C17" s="201" t="s">
        <v>243</v>
      </c>
      <c r="D17" s="3" t="s">
        <v>3</v>
      </c>
      <c r="E17" s="201" t="s">
        <v>244</v>
      </c>
      <c r="F17" s="2" t="s">
        <v>4</v>
      </c>
      <c r="G17" s="4" t="s">
        <v>5</v>
      </c>
      <c r="H17" s="5" t="s">
        <v>6</v>
      </c>
    </row>
    <row r="18" spans="1:8" ht="30">
      <c r="A18" s="6" t="s">
        <v>7</v>
      </c>
      <c r="B18" s="7" t="s">
        <v>8</v>
      </c>
      <c r="C18" s="157"/>
      <c r="D18" s="148"/>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7" t="s">
        <v>9</v>
      </c>
      <c r="B19" s="67" t="s">
        <v>10</v>
      </c>
      <c r="C19" s="158" t="s">
        <v>488</v>
      </c>
      <c r="D19" s="71" t="s">
        <v>844</v>
      </c>
      <c r="E19" s="71" t="s">
        <v>846</v>
      </c>
      <c r="F19" s="68"/>
      <c r="G19" s="69" t="str">
        <f>IF(OR(Table1[[#This Row],[English]]&lt;&gt;"",Table1[[#This Row],[Français]]&lt;&gt;""),Table1[[#This Row],[Français]]&amp;"//"&amp;Table1[[#This Row],[English]],"")</f>
        <v>Pays//Country</v>
      </c>
      <c r="H19" s="70" t="str">
        <f t="shared" si="0"/>
        <v>Liberia--Cover page</v>
      </c>
    </row>
    <row r="20" spans="1:8" ht="60">
      <c r="A20" s="67" t="s">
        <v>11</v>
      </c>
      <c r="B20" s="71" t="s">
        <v>12</v>
      </c>
      <c r="C20" s="158" t="s">
        <v>842</v>
      </c>
      <c r="D20" s="71" t="s">
        <v>844</v>
      </c>
      <c r="E20" s="71" t="s">
        <v>847</v>
      </c>
      <c r="F20" s="68"/>
      <c r="G20" s="69" t="str">
        <f>IF(OR(Table1[[#This Row],[English]]&lt;&gt;"",Table1[[#This Row],[Français]]&lt;&gt;""),Table1[[#This Row],[Français]]&amp;"//"&amp;Table1[[#This Row],[English]],"")</f>
        <v>Nom de la société locale//Local company name</v>
      </c>
      <c r="H20" s="70" t="str">
        <f t="shared" si="0"/>
        <v>Thunder Bird International Liberia Inc.--Cover page</v>
      </c>
    </row>
    <row r="21" spans="1:8">
      <c r="A21" s="71" t="s">
        <v>241</v>
      </c>
      <c r="B21" s="71" t="s">
        <v>242</v>
      </c>
      <c r="C21" s="158"/>
      <c r="D21" s="71"/>
      <c r="E21" s="71"/>
      <c r="F21" s="198"/>
      <c r="G21" s="16" t="str">
        <f>IF(OR(Table1[[#This Row],[English]]&lt;&gt;"",Table1[[#This Row],[Français]]&lt;&gt;""),Table1[[#This Row],[Français]]&amp;"//"&amp;Table1[[#This Row],[English]],"")</f>
        <v>Numéro d'entreprise légal//Legal Enterprise Identifier</v>
      </c>
      <c r="H21" s="199" t="str">
        <f>IF(C21&lt;&gt;"",IF(D21&lt;&gt;"",C21&amp;"--"&amp;D21,C21),"")</f>
        <v/>
      </c>
    </row>
    <row r="22" spans="1:8" ht="75">
      <c r="A22" s="10" t="s">
        <v>13</v>
      </c>
      <c r="B22" s="10" t="s">
        <v>14</v>
      </c>
      <c r="C22" s="159" t="s">
        <v>843</v>
      </c>
      <c r="D22" s="10" t="s">
        <v>844</v>
      </c>
      <c r="E22" s="10" t="s">
        <v>845</v>
      </c>
      <c r="F22" s="11"/>
      <c r="G22" s="12" t="str">
        <f>IF(OR(Table1[[#This Row],[English]]&lt;&gt;"",Table1[[#This Row],[Français]]&lt;&gt;""),Table1[[#This Row],[Français]]&amp;"//"&amp;Table1[[#This Row],[English]],"")</f>
        <v xml:space="preserve">Siège social //Corporate headquarters </v>
      </c>
      <c r="H22" s="13" t="str">
        <f t="shared" si="0"/>
        <v>Carey &amp; Gurley Streets Intersection, Monrovia, Liberia--Cover page</v>
      </c>
    </row>
    <row r="23" spans="1:8">
      <c r="A23" s="10" t="s">
        <v>15</v>
      </c>
      <c r="B23" s="10" t="s">
        <v>16</v>
      </c>
      <c r="C23" s="159"/>
      <c r="D23" s="10"/>
      <c r="E23" s="10"/>
      <c r="F23" s="11"/>
      <c r="G23" s="12" t="str">
        <f>IF(OR(Table1[[#This Row],[English]]&lt;&gt;"",Table1[[#This Row],[Français]]&lt;&gt;""),Table1[[#This Row],[Français]]&amp;"//"&amp;Table1[[#This Row],[English]],"")</f>
        <v>Structure du Capital//Company structure</v>
      </c>
      <c r="H23" s="13" t="str">
        <f t="shared" si="0"/>
        <v/>
      </c>
    </row>
    <row r="24" spans="1:8" ht="55.5" customHeight="1">
      <c r="A24" s="67" t="s">
        <v>17</v>
      </c>
      <c r="B24" s="71" t="s">
        <v>193</v>
      </c>
      <c r="C24" s="158"/>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241</v>
      </c>
      <c r="B25" s="71" t="s">
        <v>242</v>
      </c>
      <c r="C25" s="158"/>
      <c r="D25" s="71"/>
      <c r="E25" s="71"/>
      <c r="F25" s="198"/>
      <c r="G25" s="16" t="str">
        <f>IF(OR(Table1[[#This Row],[English]]&lt;&gt;"",Table1[[#This Row],[Français]]&lt;&gt;""),Table1[[#This Row],[Français]]&amp;"//"&amp;Table1[[#This Row],[English]],"")</f>
        <v>Numéro d'entreprise légal//Legal Enterprise Identifier</v>
      </c>
      <c r="H25" s="199" t="str">
        <f>IF(C25&lt;&gt;"",IF(D25&lt;&gt;"",C25&amp;"--"&amp;D25,C25),"")</f>
        <v/>
      </c>
    </row>
    <row r="26" spans="1:8">
      <c r="A26" s="67" t="s">
        <v>18</v>
      </c>
      <c r="B26" s="67" t="s">
        <v>19</v>
      </c>
      <c r="C26" s="160"/>
      <c r="D26" s="149"/>
      <c r="E26" s="149"/>
      <c r="F26" s="68"/>
      <c r="G26" s="69" t="str">
        <f>IF(OR(Table1[[#This Row],[English]]&lt;&gt;"",Table1[[#This Row],[Français]]&lt;&gt;""),Table1[[#This Row],[Français]]&amp;"//"&amp;Table1[[#This Row],[English]],"")</f>
        <v>Site web de l’entreprise//Company website</v>
      </c>
      <c r="H26" s="70" t="str">
        <f t="shared" si="0"/>
        <v/>
      </c>
    </row>
    <row r="27" spans="1:8" ht="45">
      <c r="A27" s="71" t="s">
        <v>204</v>
      </c>
      <c r="B27" s="72" t="s">
        <v>20</v>
      </c>
      <c r="C27" s="158" t="s">
        <v>909</v>
      </c>
      <c r="D27" s="71" t="s">
        <v>844</v>
      </c>
      <c r="E27" s="71" t="s">
        <v>848</v>
      </c>
      <c r="F27" s="198"/>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Sales Contract--Cover page</v>
      </c>
    </row>
    <row r="28" spans="1:8">
      <c r="A28" s="67" t="s">
        <v>21</v>
      </c>
      <c r="B28" s="67" t="s">
        <v>22</v>
      </c>
      <c r="C28" s="160"/>
      <c r="D28" s="149"/>
      <c r="E28" s="149"/>
      <c r="F28" s="68"/>
      <c r="G28" s="69" t="str">
        <f>IF(OR(Table1[[#This Row],[English]]&lt;&gt;"",Table1[[#This Row],[Français]]&lt;&gt;""),Table1[[#This Row],[Français]]&amp;"//"&amp;Table1[[#This Row],[English]],"")</f>
        <v>Nom du projet//Project title</v>
      </c>
      <c r="H28" s="70" t="str">
        <f t="shared" si="0"/>
        <v/>
      </c>
    </row>
    <row r="29" spans="1:8">
      <c r="A29" s="71" t="s">
        <v>201</v>
      </c>
      <c r="B29" s="72" t="s">
        <v>23</v>
      </c>
      <c r="C29" s="158"/>
      <c r="D29" s="71"/>
      <c r="E29" s="71"/>
      <c r="F29" s="68"/>
      <c r="G29" s="69" t="str">
        <f>IF(OR(Table1[[#This Row],[English]]&lt;&gt;"",Table1[[#This Row],[Français]]&lt;&gt;""),Table1[[#This Row],[Français]]&amp;"//"&amp;Table1[[#This Row],[English]],"")</f>
        <v>Nom du gisement/ champ de pétrole/ gas//Name and/or number of field, block or deposit</v>
      </c>
      <c r="H29" s="70" t="str">
        <f t="shared" si="0"/>
        <v/>
      </c>
    </row>
    <row r="30" spans="1:8" ht="55" customHeight="1">
      <c r="A30" s="76" t="s">
        <v>206</v>
      </c>
      <c r="B30" s="111" t="s">
        <v>205</v>
      </c>
      <c r="C30" s="158" t="s">
        <v>851</v>
      </c>
      <c r="D30" s="76" t="s">
        <v>849</v>
      </c>
      <c r="E30" s="71" t="s">
        <v>850</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Latitudes 7°14'24'' - 7°18'0'' North of the Equator and Longitudes 11°0'0'' - 11°6'36'' West of the Greenwich meridian, Grand Cape Mount County-Liberia--Art. A1</v>
      </c>
    </row>
    <row r="31" spans="1:8">
      <c r="A31" s="67" t="s">
        <v>24</v>
      </c>
      <c r="B31" s="67" t="s">
        <v>25</v>
      </c>
      <c r="C31" s="160"/>
      <c r="D31" s="149"/>
      <c r="E31" s="149"/>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58"/>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0"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59"/>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59"/>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59"/>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1"/>
      <c r="D37" s="150"/>
      <c r="E37" s="150"/>
      <c r="F37" s="15"/>
      <c r="G37" s="16" t="str">
        <f>IF(OR(Table1[[#This Row],[English]]&lt;&gt;"",Table1[[#This Row],[Français]]&lt;&gt;""),Table1[[#This Row],[Français]]&amp;"//"&amp;Table1[[#This Row],[English]],"")</f>
        <v/>
      </c>
      <c r="H37" s="17" t="str">
        <f t="shared" si="0"/>
        <v/>
      </c>
    </row>
    <row r="38" spans="1:8" ht="30">
      <c r="A38" s="200" t="s">
        <v>36</v>
      </c>
      <c r="B38" s="200" t="s">
        <v>37</v>
      </c>
      <c r="C38" s="162"/>
      <c r="D38" s="151"/>
      <c r="E38" s="151"/>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2"/>
      <c r="D39" s="151"/>
      <c r="E39" s="151"/>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58" t="s">
        <v>842</v>
      </c>
      <c r="D40" s="76" t="s">
        <v>856</v>
      </c>
      <c r="E40" s="76" t="s">
        <v>944</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Thunder Bird International Liberia Inc.--Preamble, Signature page</v>
      </c>
    </row>
    <row r="41" spans="1:8">
      <c r="A41" s="71" t="s">
        <v>241</v>
      </c>
      <c r="B41" s="71" t="s">
        <v>242</v>
      </c>
      <c r="C41" s="158"/>
      <c r="D41" s="71"/>
      <c r="E41" s="71"/>
      <c r="F41" s="198"/>
      <c r="G41" s="16" t="str">
        <f>IF(OR(Table1[[#This Row],[English]]&lt;&gt;"",Table1[[#This Row],[Français]]&lt;&gt;""),Table1[[#This Row],[Français]]&amp;"//"&amp;Table1[[#This Row],[English]],"")</f>
        <v>Numéro d'entreprise légal//Legal Enterprise Identifier</v>
      </c>
      <c r="H41" s="199" t="str">
        <f>IF(C41&lt;&gt;"",IF(D41&lt;&gt;"",C41&amp;"--"&amp;D41,C41),"")</f>
        <v/>
      </c>
    </row>
    <row r="42" spans="1:8" ht="75">
      <c r="A42" s="10" t="s">
        <v>42</v>
      </c>
      <c r="B42" s="10" t="s">
        <v>43</v>
      </c>
      <c r="C42" s="159" t="s">
        <v>910</v>
      </c>
      <c r="D42" s="105" t="s">
        <v>854</v>
      </c>
      <c r="E42" s="105" t="s">
        <v>945</v>
      </c>
      <c r="F42" s="22"/>
      <c r="G42" s="23" t="str">
        <f>IF(OR(Table1[[#This Row],[English]]&lt;&gt;"",Table1[[#This Row],[Français]]&lt;&gt;""),Table1[[#This Row],[Français]]&amp;"//"&amp;Table1[[#This Row],[English]],"")</f>
        <v>Signataire(s), société //Signatories, company</v>
      </c>
      <c r="H42" s="13" t="str">
        <f t="shared" si="0"/>
        <v>Chief Andrew Oru, President and CEO of Thunder Bird International--Signature page</v>
      </c>
    </row>
    <row r="43" spans="1:8" ht="42" customHeight="1">
      <c r="A43" s="67" t="s">
        <v>44</v>
      </c>
      <c r="B43" s="67" t="s">
        <v>45</v>
      </c>
      <c r="C43" s="158" t="s">
        <v>852</v>
      </c>
      <c r="D43" s="76" t="s">
        <v>854</v>
      </c>
      <c r="E43" s="76" t="s">
        <v>945</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Authority--Signature page</v>
      </c>
    </row>
    <row r="44" spans="1:8" ht="90">
      <c r="A44" s="10" t="s">
        <v>46</v>
      </c>
      <c r="B44" s="10" t="s">
        <v>47</v>
      </c>
      <c r="C44" s="159" t="s">
        <v>853</v>
      </c>
      <c r="D44" s="10" t="s">
        <v>854</v>
      </c>
      <c r="E44" s="105" t="s">
        <v>945</v>
      </c>
      <c r="F44" s="22"/>
      <c r="G44" s="23" t="str">
        <f>IF(OR(Table1[[#This Row],[English]]&lt;&gt;"",Table1[[#This Row],[Français]]&lt;&gt;""),Table1[[#This Row],[Français]]&amp;"//"&amp;Table1[[#This Row],[English]],"")</f>
        <v>Signataire(s), Etat//Signatories, State</v>
      </c>
      <c r="H44" s="13" t="str">
        <f t="shared" si="0"/>
        <v>Managing Director and In-House Lawyer, Forestry Development Authority--Signature page</v>
      </c>
    </row>
    <row r="45" spans="1:8" ht="47" customHeight="1">
      <c r="A45" s="67" t="s">
        <v>48</v>
      </c>
      <c r="B45" s="67" t="s">
        <v>49</v>
      </c>
      <c r="C45" s="160"/>
      <c r="D45" s="152"/>
      <c r="E45" s="152"/>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178</v>
      </c>
      <c r="B46" s="61" t="s">
        <v>169</v>
      </c>
      <c r="C46" s="163"/>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04">
        <v>40188</v>
      </c>
      <c r="D47" s="214" t="s">
        <v>858</v>
      </c>
      <c r="E47" s="214" t="s">
        <v>859</v>
      </c>
      <c r="F47" s="73"/>
      <c r="G47" s="74" t="str">
        <f>IF(OR(Table1[[#This Row],[English]]&lt;&gt;"",Table1[[#This Row],[Français]]&lt;&gt;""),Table1[[#This Row],[Français]]&amp;"//"&amp;Table1[[#This Row],[English]],"")</f>
        <v>Date de signature du contrat//Date of contract signature</v>
      </c>
      <c r="H47" s="70" t="str">
        <f t="shared" si="0"/>
        <v>40188--Cover page 2</v>
      </c>
    </row>
    <row r="48" spans="1:8" ht="30">
      <c r="A48" s="71" t="s">
        <v>52</v>
      </c>
      <c r="B48" s="67" t="s">
        <v>53</v>
      </c>
      <c r="C48" s="160">
        <f>IF(C47&lt;&gt;"",YEAR(C47),"")</f>
        <v>2010</v>
      </c>
      <c r="D48" s="71" t="s">
        <v>858</v>
      </c>
      <c r="E48" s="71" t="s">
        <v>859</v>
      </c>
      <c r="F48" s="73"/>
      <c r="G48" s="74" t="str">
        <f>IF(OR(Table1[[#This Row],[English]]&lt;&gt;"",Table1[[#This Row],[Français]]&lt;&gt;""),Table1[[#This Row],[Français]]&amp;"//"&amp;Table1[[#This Row],[English]],"")</f>
        <v>Année de signature du contrat//Year of contract signature</v>
      </c>
      <c r="H48" s="70" t="str">
        <f t="shared" si="0"/>
        <v>2010--Cover page 2</v>
      </c>
    </row>
    <row r="49" spans="1:8" ht="56.25" customHeight="1">
      <c r="A49" s="67" t="s">
        <v>54</v>
      </c>
      <c r="B49" s="67" t="s">
        <v>55</v>
      </c>
      <c r="C49" s="67" t="s">
        <v>857</v>
      </c>
      <c r="D49" s="67" t="s">
        <v>916</v>
      </c>
      <c r="E49" s="67" t="s">
        <v>859</v>
      </c>
      <c r="F49" s="217"/>
      <c r="G49" s="74" t="str">
        <f>IF(OR(Table1[[#This Row],[English]]&lt;&gt;"",Table1[[#This Row],[Français]]&lt;&gt;""),Table1[[#This Row],[Français]]&amp;"//"&amp;Table1[[#This Row],[English]],"")</f>
        <v>Durée//Term</v>
      </c>
      <c r="H49" s="70" t="str">
        <f t="shared" si="0"/>
        <v xml:space="preserve">2 years--Cover page 2, art 8.11 (c) </v>
      </c>
    </row>
    <row r="50" spans="1:8" ht="58.5" customHeight="1">
      <c r="A50" s="10" t="s">
        <v>56</v>
      </c>
      <c r="B50" s="10" t="s">
        <v>57</v>
      </c>
      <c r="C50" s="159" t="s">
        <v>865</v>
      </c>
      <c r="D50" s="10" t="s">
        <v>866</v>
      </c>
      <c r="E50" s="10" t="s">
        <v>867</v>
      </c>
      <c r="F50" s="22"/>
      <c r="G50" s="23" t="str">
        <f>IF(OR(Table1[[#This Row],[English]]&lt;&gt;"",Table1[[#This Row],[Français]]&lt;&gt;""),Table1[[#This Row],[Français]]&amp;"//"&amp;Table1[[#This Row],[English]],"")</f>
        <v xml:space="preserve">Conditions de renouvellement//Conditions for renewal </v>
      </c>
      <c r="H50" s="13" t="str">
        <f t="shared" si="0"/>
        <v>The contract is not renewable, with only limited extensions possible under Art. B8.5 (force majeure)--Art. B2.2</v>
      </c>
    </row>
    <row r="51" spans="1:8" ht="42" customHeight="1">
      <c r="A51" s="71" t="s">
        <v>229</v>
      </c>
      <c r="B51" s="72" t="s">
        <v>177</v>
      </c>
      <c r="C51" s="158" t="s">
        <v>809</v>
      </c>
      <c r="D51" s="71" t="s">
        <v>871</v>
      </c>
      <c r="E51" s="71" t="s">
        <v>872</v>
      </c>
      <c r="F51" s="73"/>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Timber--Preamble, Art. B2.1</v>
      </c>
    </row>
    <row r="52" spans="1:8" ht="42" customHeight="1">
      <c r="A52" s="118" t="s">
        <v>218</v>
      </c>
      <c r="B52" s="118" t="s">
        <v>217</v>
      </c>
      <c r="C52" s="175" t="s">
        <v>860</v>
      </c>
      <c r="D52" s="56" t="s">
        <v>849</v>
      </c>
      <c r="E52" s="56" t="s">
        <v>850</v>
      </c>
      <c r="F52" s="118"/>
      <c r="G52" s="123" t="str">
        <f>IF(OR(Table1[[#This Row],[English]]&lt;&gt;"",Table1[[#This Row],[Français]]&lt;&gt;""),Table1[[#This Row],[Français]]&amp;"//"&amp;Table1[[#This Row],[English]],"")</f>
        <v>Superficie de la concession//Size of the concession area</v>
      </c>
      <c r="H52" s="124" t="str">
        <f>IF(C52&lt;&gt;"",IF(D52&lt;&gt;"",C52&amp;"--"&amp;D52,C52),"")</f>
        <v>5,000 ha--Art. A1</v>
      </c>
    </row>
    <row r="53" spans="1:8">
      <c r="A53" s="14"/>
      <c r="B53" s="14"/>
      <c r="C53" s="161"/>
      <c r="D53" s="150"/>
      <c r="E53" s="150"/>
      <c r="F53" s="15"/>
      <c r="G53" s="16" t="str">
        <f>IF(OR(Table1[[#This Row],[English]]&lt;&gt;"",Table1[[#This Row],[Français]]&lt;&gt;""),Table1[[#This Row],[Français]]&amp;"//"&amp;Table1[[#This Row],[English]],"")</f>
        <v/>
      </c>
      <c r="H53" s="17" t="str">
        <f t="shared" si="0"/>
        <v/>
      </c>
    </row>
    <row r="54" spans="1:8" ht="49.5" customHeight="1">
      <c r="A54" s="62" t="s">
        <v>58</v>
      </c>
      <c r="B54" s="63" t="s">
        <v>192</v>
      </c>
      <c r="C54" s="162"/>
      <c r="D54" s="151"/>
      <c r="E54" s="151"/>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51" customHeight="1">
      <c r="A55" s="75" t="s">
        <v>59</v>
      </c>
      <c r="B55" s="67" t="s">
        <v>60</v>
      </c>
      <c r="C55" s="158" t="s">
        <v>918</v>
      </c>
      <c r="D55" s="149" t="s">
        <v>917</v>
      </c>
      <c r="E55" s="149" t="s">
        <v>870</v>
      </c>
      <c r="F55" s="73"/>
      <c r="G55" s="69" t="str">
        <f>IF(OR(Table1[[#This Row],[English]]&lt;&gt;"",Table1[[#This Row],[Français]]&lt;&gt;""),Table1[[#This Row],[Français]]&amp;"//"&amp;Table1[[#This Row],[English]],"")</f>
        <v>Convention de développement local//Local development agreement</v>
      </c>
      <c r="H55" s="70" t="str">
        <f t="shared" si="0"/>
        <v>Thunder Bird International shall execute the Social Agreements required under Regulation 105-07 before the first annual operating season--Art. B3.12</v>
      </c>
    </row>
    <row r="56" spans="1:8" ht="102.75" customHeight="1">
      <c r="A56" s="10" t="s">
        <v>230</v>
      </c>
      <c r="B56" s="10" t="s">
        <v>61</v>
      </c>
      <c r="C56" s="159" t="s">
        <v>911</v>
      </c>
      <c r="D56" s="10" t="s">
        <v>912</v>
      </c>
      <c r="E56" s="10" t="s">
        <v>861</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 xml:space="preserve">Thunder Bird International shall identify areas requiring special measures for the protection of cultural resources in the annual operation plan, and describe these special measures and protect these areas from damage or removal--Art. B6.34(a) </v>
      </c>
    </row>
    <row r="57" spans="1:8" ht="127.5" customHeight="1">
      <c r="A57" s="71" t="s">
        <v>235</v>
      </c>
      <c r="B57" s="67" t="s">
        <v>62</v>
      </c>
      <c r="C57" s="158" t="s">
        <v>927</v>
      </c>
      <c r="D57" s="149" t="s">
        <v>919</v>
      </c>
      <c r="E57" s="149" t="s">
        <v>939</v>
      </c>
      <c r="F57" s="73"/>
      <c r="G57" s="74" t="str">
        <f>IF(OR(Table1[[#This Row],[English]]&lt;&gt;"",Table1[[#This Row],[Français]]&lt;&gt;""),Table1[[#This Row],[Français]]&amp;"//"&amp;Table1[[#This Row],[English]],"")</f>
        <v xml:space="preserve">Consultations communautaires requises//Requirements for community consultation </v>
      </c>
      <c r="H57" s="70" t="str">
        <f t="shared" si="0"/>
        <v>Thunder Bird International shall not use public land outside the contract area unless it has express, written permission from the Forestry Development Authority. Before requesting permission, Thunder Bird International shall consult with all potentially affected communities that are party to social agreements with it. Thunder Bird International shall make a written record of the time, place, and general content of those consultations. --Arts. B4.12(a) and (b)</v>
      </c>
    </row>
    <row r="58" spans="1:8" ht="64.5" customHeight="1">
      <c r="A58" s="10" t="s">
        <v>236</v>
      </c>
      <c r="B58" s="10" t="s">
        <v>63</v>
      </c>
      <c r="C58" s="159"/>
      <c r="D58" s="10"/>
      <c r="E58" s="10"/>
      <c r="F58" s="221"/>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24.5" customHeight="1">
      <c r="A59" s="71" t="s">
        <v>231</v>
      </c>
      <c r="B59" s="67" t="s">
        <v>64</v>
      </c>
      <c r="C59" s="218" t="s">
        <v>901</v>
      </c>
      <c r="D59" s="216" t="s">
        <v>862</v>
      </c>
      <c r="E59" s="216" t="s">
        <v>863</v>
      </c>
      <c r="F59" s="217"/>
      <c r="G59" s="74" t="str">
        <f>IF(OR(Table1[[#This Row],[English]]&lt;&gt;"",Table1[[#This Row],[Français]]&lt;&gt;""),Table1[[#This Row],[Français]]&amp;"//"&amp;Table1[[#This Row],[English]],"")</f>
        <v>Obligations liées à l'emploi du personnel local//Local employment requirements</v>
      </c>
      <c r="H59" s="70" t="str">
        <f t="shared" si="0"/>
        <v>Thunder Bird International shall give preference to competent and qualified individuals living in and near the contract area, particularly to individuals from communities benefiting from the Social Agreements. Thunder Bird International shall not import unskilled labor from outside Liberia. --Art. B3.23</v>
      </c>
    </row>
    <row r="60" spans="1:8" ht="71.25" customHeight="1">
      <c r="A60" s="71" t="s">
        <v>233</v>
      </c>
      <c r="B60" s="67" t="s">
        <v>65</v>
      </c>
      <c r="C60" s="160"/>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59"/>
      <c r="D61" s="10"/>
      <c r="E61" s="10"/>
      <c r="F61" s="22"/>
      <c r="G61" s="23" t="str">
        <f>IF(OR(Table1[[#This Row],[English]]&lt;&gt;"",Table1[[#This Row],[Français]]&lt;&gt;""),Table1[[#This Row],[Français]]&amp;"//"&amp;Table1[[#This Row],[English]],"")</f>
        <v>Assurance//Insurance</v>
      </c>
      <c r="H61" s="13" t="str">
        <f t="shared" si="0"/>
        <v/>
      </c>
    </row>
    <row r="62" spans="1:8" ht="20.25" customHeight="1">
      <c r="A62" s="76" t="s">
        <v>207</v>
      </c>
      <c r="B62" s="76" t="s">
        <v>208</v>
      </c>
      <c r="C62" s="165"/>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29" t="s">
        <v>232</v>
      </c>
      <c r="B63" s="129" t="s">
        <v>223</v>
      </c>
      <c r="C63" s="166"/>
      <c r="D63" s="129"/>
      <c r="E63" s="129"/>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155.25" customHeight="1">
      <c r="A64" s="122" t="s">
        <v>185</v>
      </c>
      <c r="B64" s="10" t="s">
        <v>184</v>
      </c>
      <c r="C64" s="159" t="s">
        <v>888</v>
      </c>
      <c r="D64" s="10" t="s">
        <v>913</v>
      </c>
      <c r="E64" s="10" t="s">
        <v>889</v>
      </c>
      <c r="F64" s="22"/>
      <c r="G64" s="110"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Thunder Bird International shall follow internationally recognized, modern safety precautions in all activities and shall comply with written safety instructions supplied by the Government. Thunder Bird International shall follow internationally recognized, modern measures for the protection of general health and safety of its employees and shall comply with written public health instructions given in writing by the Government.--Arts. B3.21(a), B3.22</v>
      </c>
    </row>
    <row r="65" spans="1:8" ht="83.25" customHeight="1">
      <c r="A65" s="83" t="s">
        <v>187</v>
      </c>
      <c r="B65" s="82" t="s">
        <v>186</v>
      </c>
      <c r="C65" s="168" t="s">
        <v>891</v>
      </c>
      <c r="D65" s="76" t="s">
        <v>864</v>
      </c>
      <c r="E65" s="76" t="s">
        <v>890</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Thunder Bird International shall use all reasonable means to prevent encroachment by unauthorized persons in to the contract area, however it shall not employ or in any way use armed security guards for any purpose--Art. B6.31</v>
      </c>
    </row>
    <row r="66" spans="1:8" ht="34" customHeight="1">
      <c r="A66" s="139" t="s">
        <v>189</v>
      </c>
      <c r="B66" s="140" t="s">
        <v>190</v>
      </c>
      <c r="C66" s="169"/>
      <c r="D66" s="153"/>
      <c r="E66" s="141"/>
      <c r="F66" s="142"/>
      <c r="G66" s="143" t="str">
        <f>IF(OR(Table1[[#This Row],[English]]&lt;&gt;"",Table1[[#This Row],[Français]]&lt;&gt;""),Table1[[#This Row],[Français]]&amp;"//"&amp;Table1[[#This Row],[English]],"")</f>
        <v>Mécanismes de réclamation pour les parties non contractantes//Grievance mechanisms for non-contractual harms to non-contracting parties</v>
      </c>
      <c r="H66" s="144" t="str">
        <f t="shared" si="1"/>
        <v/>
      </c>
    </row>
    <row r="67" spans="1:8" ht="278.25" customHeight="1">
      <c r="A67" s="121" t="s">
        <v>216</v>
      </c>
      <c r="B67" s="118" t="s">
        <v>215</v>
      </c>
      <c r="C67" s="175" t="s">
        <v>928</v>
      </c>
      <c r="D67" s="10" t="s">
        <v>869</v>
      </c>
      <c r="E67" s="10" t="s">
        <v>892</v>
      </c>
      <c r="F67" s="221"/>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The rights of private land owners and the public are governed by Chapters 11 and 12 of the National Forestry Reform Law of 2006, and Thunder Bird International agrees to respect those rights. In addition, the Government reserves the right to, among other things, access or allow others to access the contract area for the purpose of exploring for or exploiting minerals or other substances or any reasonable investigation, provided Thunder Bird International's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Thunder Bird International's operations and activities shall not be unduly interfered with or its rights prejudiced.--Art. B2.11</v>
      </c>
    </row>
    <row r="68" spans="1:8" ht="80.25" customHeight="1">
      <c r="A68" s="83" t="s">
        <v>176</v>
      </c>
      <c r="B68" s="82" t="s">
        <v>875</v>
      </c>
      <c r="C68" s="165" t="s">
        <v>935</v>
      </c>
      <c r="D68" s="149" t="s">
        <v>887</v>
      </c>
      <c r="E68" s="149" t="s">
        <v>883</v>
      </c>
      <c r="F68" s="222"/>
      <c r="G68" s="74" t="str">
        <f>IF(OR(Table1[[#This Row],[English]]&lt;&gt;"",Table1[[#This Row],[Français]]&lt;&gt;""),Table1[[#This Row],[Français]]&amp;"//"&amp;Table1[[#This Row],[English]],"")</f>
        <v>Autre - [le nom de catégorie]//Other - Termination for violation of human rights</v>
      </c>
      <c r="H68" s="70" t="str">
        <f t="shared" si="0"/>
        <v>The Government shall terminate the contract if Thunder Bird International or its senior officers are convicted for human rights violations and Thunder Bird International is unable to, or fails to satisfactorily, remedy the violations--Art. B10.27(r)(v)</v>
      </c>
    </row>
    <row r="69" spans="1:8">
      <c r="A69" s="24"/>
      <c r="B69" s="24"/>
      <c r="C69" s="176"/>
      <c r="D69" s="187"/>
      <c r="E69" s="187"/>
      <c r="F69" s="15"/>
      <c r="G69" s="16" t="str">
        <f>IF(OR(Table1[[#This Row],[English]]&lt;&gt;"",Table1[[#This Row],[Français]]&lt;&gt;""),Table1[[#This Row],[Français]]&amp;"//"&amp;Table1[[#This Row],[English]],"")</f>
        <v/>
      </c>
      <c r="H69" s="25" t="str">
        <f t="shared" si="0"/>
        <v/>
      </c>
    </row>
    <row r="70" spans="1:8" ht="29" customHeight="1">
      <c r="A70" s="62" t="s">
        <v>68</v>
      </c>
      <c r="B70" s="26" t="s">
        <v>69</v>
      </c>
      <c r="C70" s="162"/>
      <c r="D70" s="151"/>
      <c r="E70" s="151"/>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4" t="s">
        <v>70</v>
      </c>
      <c r="B71" s="85" t="s">
        <v>71</v>
      </c>
      <c r="C71" s="85"/>
      <c r="D71" s="145"/>
      <c r="E71" s="145"/>
      <c r="F71" s="86"/>
      <c r="G71" s="87" t="str">
        <f>IF(OR(Table1[[#This Row],[English]]&lt;&gt;"",Table1[[#This Row],[Français]]&lt;&gt;""),Table1[[#This Row],[Français]]&amp;"//"&amp;Table1[[#This Row],[English]],"")</f>
        <v>Taxe minière / redevance//Mining tax / royalty tax</v>
      </c>
      <c r="H71" s="88" t="str">
        <f t="shared" si="0"/>
        <v/>
      </c>
    </row>
    <row r="72" spans="1:8" ht="36" customHeight="1">
      <c r="A72" s="84" t="s">
        <v>72</v>
      </c>
      <c r="B72" s="85" t="s">
        <v>73</v>
      </c>
      <c r="C72" s="170" t="s">
        <v>885</v>
      </c>
      <c r="D72" s="145" t="s">
        <v>868</v>
      </c>
      <c r="E72" s="145" t="s">
        <v>941</v>
      </c>
      <c r="F72" s="215"/>
      <c r="G72" s="87" t="str">
        <f>IF(OR(Table1[[#This Row],[English]]&lt;&gt;"",Table1[[#This Row],[Français]]&lt;&gt;""),Table1[[#This Row],[Français]]&amp;"//"&amp;Table1[[#This Row],[English]],"")</f>
        <v>Impôt sur les bénéfices: taux//Income tax: rate</v>
      </c>
      <c r="H72" s="88" t="str">
        <f t="shared" si="0"/>
        <v>Thunder Bird International is subject to income tax under the Revenue Code of Liberia--Art. B8.0</v>
      </c>
    </row>
    <row r="73" spans="1:8">
      <c r="A73" s="85" t="s">
        <v>224</v>
      </c>
      <c r="B73" s="85" t="s">
        <v>74</v>
      </c>
      <c r="C73" s="171"/>
      <c r="D73" s="154"/>
      <c r="E73" s="154"/>
      <c r="F73" s="86"/>
      <c r="G73" s="87" t="str">
        <f>IF(OR(Table1[[#This Row],[English]]&lt;&gt;"",Table1[[#This Row],[Français]]&lt;&gt;""),Table1[[#This Row],[Français]]&amp;"//"&amp;Table1[[#This Row],[English]],"")</f>
        <v>Impôt sur les bénéfices: exonération//Income tax: exemptions</v>
      </c>
      <c r="H73" s="88" t="str">
        <f t="shared" si="0"/>
        <v/>
      </c>
    </row>
    <row r="74" spans="1:8" ht="45">
      <c r="A74" s="85" t="s">
        <v>225</v>
      </c>
      <c r="B74" s="85" t="s">
        <v>75</v>
      </c>
      <c r="C74" s="171"/>
      <c r="D74" s="154"/>
      <c r="E74" s="154"/>
      <c r="F74" s="86"/>
      <c r="G74"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8" t="str">
        <f t="shared" si="0"/>
        <v/>
      </c>
    </row>
    <row r="75" spans="1:8" ht="45.75" customHeight="1">
      <c r="A75" s="106" t="s">
        <v>199</v>
      </c>
      <c r="B75" s="106" t="s">
        <v>76</v>
      </c>
      <c r="C75" s="172"/>
      <c r="D75" s="106"/>
      <c r="E75" s="106"/>
      <c r="F75" s="107"/>
      <c r="G75" s="108"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9" t="str">
        <f>IF(C75&lt;&gt;"",IF(D75&lt;&gt;"",C75&amp;"--"&amp;D75,C75),"")</f>
        <v/>
      </c>
    </row>
    <row r="76" spans="1:8" ht="34.5" customHeight="1">
      <c r="A76" s="106" t="s">
        <v>200</v>
      </c>
      <c r="B76" s="106" t="s">
        <v>77</v>
      </c>
      <c r="C76" s="172"/>
      <c r="D76" s="106"/>
      <c r="E76" s="106"/>
      <c r="F76" s="107"/>
      <c r="G76" s="108"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9" t="str">
        <f>IF(C76&lt;&gt;"",IF(D76&lt;&gt;"",C76&amp;"--"&amp;D76,C76),"")</f>
        <v/>
      </c>
    </row>
    <row r="77" spans="1:8" ht="30">
      <c r="A77" s="106" t="s">
        <v>234</v>
      </c>
      <c r="B77" s="106" t="s">
        <v>78</v>
      </c>
      <c r="C77" s="172"/>
      <c r="D77" s="106"/>
      <c r="E77" s="106"/>
      <c r="F77" s="107"/>
      <c r="G77" s="108" t="str">
        <f>IF(OR(Table1[[#This Row],[English]]&lt;&gt;"",Table1[[#This Row],[Français]]&lt;&gt;""),Table1[[#This Row],[Français]]&amp;"//"&amp;Table1[[#This Row],[English]],"")</f>
        <v>Contrat de Service - Frais du détenteur du titre défrayés  (base de calcul)//Service Agreement - Fee to developer / contractor (basis for calculation)</v>
      </c>
      <c r="H77" s="109" t="str">
        <f>IF(C77&lt;&gt;"",IF(D77&lt;&gt;"",C77&amp;"--"&amp;D77,C77),"")</f>
        <v/>
      </c>
    </row>
    <row r="78" spans="1:8" ht="26" customHeight="1">
      <c r="A78" s="89" t="s">
        <v>237</v>
      </c>
      <c r="B78" s="89" t="s">
        <v>79</v>
      </c>
      <c r="C78" s="168"/>
      <c r="D78" s="89"/>
      <c r="E78" s="89"/>
      <c r="F78" s="90"/>
      <c r="G78" s="91" t="str">
        <f>IF(OR(Table1[[#This Row],[English]]&lt;&gt;"",Table1[[#This Row],[Français]]&lt;&gt;""),Table1[[#This Row],[Français]]&amp;"//"&amp;Table1[[#This Row],[English]],"")</f>
        <v>Impôt sur les Revenus des Valeurs Mobilières (IRVM)//Capital gains tax</v>
      </c>
      <c r="H78" s="92" t="str">
        <f t="shared" si="0"/>
        <v/>
      </c>
    </row>
    <row r="79" spans="1:8" ht="26" customHeight="1">
      <c r="A79" s="125" t="s">
        <v>202</v>
      </c>
      <c r="B79" s="125" t="s">
        <v>209</v>
      </c>
      <c r="C79" s="164"/>
      <c r="D79" s="27"/>
      <c r="E79" s="27"/>
      <c r="F79" s="126"/>
      <c r="G79" s="127" t="str">
        <f>IF(OR(Table1[[#This Row],[English]]&lt;&gt;"",Table1[[#This Row],[Français]]&lt;&gt;""),Table1[[#This Row],[Français]]&amp;"//"&amp;Table1[[#This Row],[English]],"")</f>
        <v>Retenue à la source sur les intérêts et/ou dividendes//Withholding tax on payment of interest and/or dividends</v>
      </c>
      <c r="H79" s="128" t="str">
        <f>IF(C79&lt;&gt;"",IF(D79&lt;&gt;"",C79&amp;"--"&amp;D79,C79),"")</f>
        <v/>
      </c>
    </row>
    <row r="80" spans="1:8">
      <c r="A80" s="27" t="s">
        <v>80</v>
      </c>
      <c r="B80" s="27" t="s">
        <v>81</v>
      </c>
      <c r="C80" s="167"/>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84"/>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84"/>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5" t="s">
        <v>86</v>
      </c>
      <c r="B83" s="27" t="s">
        <v>87</v>
      </c>
      <c r="C83" s="184"/>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73"/>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73"/>
      <c r="D85" s="27"/>
      <c r="E85" s="27"/>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73"/>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73"/>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74"/>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73"/>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73"/>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101</v>
      </c>
      <c r="B91" s="27" t="s">
        <v>102</v>
      </c>
      <c r="C91" s="173"/>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73"/>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73"/>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73"/>
      <c r="D94" s="27"/>
      <c r="E94" s="27"/>
      <c r="F94" s="29"/>
      <c r="G94" s="30" t="str">
        <f>IF(OR(Table1[[#This Row],[English]]&lt;&gt;"",Table1[[#This Row],[Français]]&lt;&gt;""),Table1[[#This Row],[Français]]&amp;"//"&amp;Table1[[#This Row],[English]],"")</f>
        <v>TVA//VAT</v>
      </c>
      <c r="H94" s="31" t="str">
        <f t="shared" si="0"/>
        <v/>
      </c>
    </row>
    <row r="95" spans="1:8" ht="50" customHeight="1">
      <c r="A95" s="27" t="s">
        <v>109</v>
      </c>
      <c r="B95" s="27" t="s">
        <v>110</v>
      </c>
      <c r="C95" s="173"/>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73"/>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59.75" customHeight="1">
      <c r="A97" s="125" t="s">
        <v>113</v>
      </c>
      <c r="B97" s="125" t="s">
        <v>114</v>
      </c>
      <c r="C97" s="175" t="s">
        <v>920</v>
      </c>
      <c r="D97" s="27" t="s">
        <v>893</v>
      </c>
      <c r="E97" s="27" t="s">
        <v>942</v>
      </c>
      <c r="F97" s="223"/>
      <c r="G97" s="127" t="str">
        <f>IF(OR(Table1[[#This Row],[English]]&lt;&gt;"",Table1[[#This Row],[Français]]&lt;&gt;""),Table1[[#This Row],[Français]]&amp;"//"&amp;Table1[[#This Row],[English]],"")</f>
        <v>Redevances superficiaires//Surface fees</v>
      </c>
      <c r="H97" s="128" t="str">
        <f t="shared" si="2"/>
        <v>The land rental bid is US$ 2.00 per hectare per year. The land rental bid payment is calculated annually according to a formula, where the bid opening ceremony is multiplied by the number of hectares in the contract area. Thunder Bird International shall pay the fee annually. Thunder Bird International shall pay log stumpage fees, annual contract administration fees, area fees, coupe inspection fees, and forest product fees to the Government as required by Regulation 107-07, on Certain Forest Fees.--Arts. A4, B8.11 - B8.14</v>
      </c>
    </row>
    <row r="98" spans="1:8">
      <c r="A98" s="27" t="s">
        <v>115</v>
      </c>
      <c r="B98" s="27" t="s">
        <v>116</v>
      </c>
      <c r="C98" s="173"/>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75"/>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5" t="s">
        <v>117</v>
      </c>
      <c r="B100" s="89" t="s">
        <v>118</v>
      </c>
      <c r="C100" s="171"/>
      <c r="D100" s="154"/>
      <c r="E100" s="154"/>
      <c r="F100" s="86"/>
      <c r="G100" s="87" t="str">
        <f>IF(OR(Table1[[#This Row],[English]]&lt;&gt;"",Table1[[#This Row],[Français]]&lt;&gt;""),Table1[[#This Row],[Français]]&amp;"//"&amp;Table1[[#This Row],[English]],"")</f>
        <v>Primes//Bonuses</v>
      </c>
      <c r="H100" s="88" t="str">
        <f t="shared" si="2"/>
        <v/>
      </c>
    </row>
    <row r="101" spans="1:8" ht="31.5" customHeight="1">
      <c r="A101" s="85" t="s">
        <v>119</v>
      </c>
      <c r="B101" s="89" t="s">
        <v>120</v>
      </c>
      <c r="C101" s="170"/>
      <c r="D101" s="145"/>
      <c r="E101" s="145"/>
      <c r="F101" s="86"/>
      <c r="G101" s="87" t="str">
        <f>IF(OR(Table1[[#This Row],[English]]&lt;&gt;"",Table1[[#This Row],[Français]]&lt;&gt;""),Table1[[#This Row],[Français]]&amp;"//"&amp;Table1[[#This Row],[English]],"")</f>
        <v>Participation de l'Etat//State participation</v>
      </c>
      <c r="H101" s="88" t="str">
        <f t="shared" si="2"/>
        <v/>
      </c>
    </row>
    <row r="102" spans="1:8">
      <c r="A102" s="85" t="s">
        <v>121</v>
      </c>
      <c r="B102" s="85" t="s">
        <v>122</v>
      </c>
      <c r="C102" s="171"/>
      <c r="D102" s="154"/>
      <c r="E102" s="154"/>
      <c r="F102" s="86"/>
      <c r="G102" s="87" t="str">
        <f>IF(OR(Table1[[#This Row],[English]]&lt;&gt;"",Table1[[#This Row],[Français]]&lt;&gt;""),Table1[[#This Row],[Français]]&amp;"//"&amp;Table1[[#This Row],[English]],"")</f>
        <v>Exonérations non-précisées ailleurs//Other exemptions</v>
      </c>
      <c r="H102" s="88" t="str">
        <f t="shared" si="2"/>
        <v/>
      </c>
    </row>
    <row r="103" spans="1:8" ht="39.75" customHeight="1">
      <c r="A103" s="104" t="s">
        <v>196</v>
      </c>
      <c r="B103" s="104" t="s">
        <v>195</v>
      </c>
      <c r="C103" s="170"/>
      <c r="D103" s="89"/>
      <c r="E103" s="89"/>
      <c r="F103" s="86"/>
      <c r="G103" s="87" t="str">
        <f>IF(OR(Table1[[#This Row],[English]]&lt;&gt;"",Table1[[#This Row],[Français]]&lt;&gt;""),Table1[[#This Row],[Français]]&amp;"//"&amp;Table1[[#This Row],[English]],"")</f>
        <v>Modes d'audit à l'égard des obligations financières du détenteur du titre//Audit mechanisms - financial obligations</v>
      </c>
      <c r="H103" s="88" t="str">
        <f t="shared" si="2"/>
        <v/>
      </c>
    </row>
    <row r="104" spans="1:8" ht="21.75" customHeight="1">
      <c r="A104" s="85" t="s">
        <v>123</v>
      </c>
      <c r="B104" s="85" t="s">
        <v>124</v>
      </c>
      <c r="C104" s="196"/>
      <c r="D104" s="145"/>
      <c r="E104" s="145"/>
      <c r="F104" s="86"/>
      <c r="G104" s="87" t="str">
        <f>IF(OR(Table1[[#This Row],[English]]&lt;&gt;"",Table1[[#This Row],[Français]]&lt;&gt;""),Table1[[#This Row],[Français]]&amp;"//"&amp;Table1[[#This Row],[English]],"")</f>
        <v>Restrictions sur les transactions avec les parties liées//Restrictions on transactions with affiliated parties</v>
      </c>
      <c r="H104" s="88" t="str">
        <f>IF(C104&lt;&gt;"",IF(D104&lt;&gt;"",C104&amp;"--"&amp;D104,C104),"")</f>
        <v/>
      </c>
    </row>
    <row r="105" spans="1:8" ht="27.75" customHeight="1">
      <c r="A105" s="83" t="s">
        <v>176</v>
      </c>
      <c r="B105" s="82" t="s">
        <v>174</v>
      </c>
      <c r="C105" s="170"/>
      <c r="D105" s="89"/>
      <c r="E105" s="145"/>
      <c r="F105" s="86"/>
      <c r="G105" s="87" t="str">
        <f>IF(OR(Table1[[#This Row],[English]]&lt;&gt;"",Table1[[#This Row],[Français]]&lt;&gt;""),Table1[[#This Row],[Français]]&amp;"//"&amp;Table1[[#This Row],[English]],"")</f>
        <v>Autre - [le nom de catégorie]//Other - [Name of Category]</v>
      </c>
      <c r="H105" s="88" t="str">
        <f t="shared" si="2"/>
        <v/>
      </c>
    </row>
    <row r="106" spans="1:8">
      <c r="A106" s="147"/>
      <c r="B106" s="34"/>
      <c r="C106" s="189"/>
      <c r="D106" s="146"/>
      <c r="E106" s="146"/>
      <c r="F106" s="15"/>
      <c r="G106" s="16" t="str">
        <f>IF(OR(Table1[[#This Row],[English]]&lt;&gt;"",Table1[[#This Row],[Français]]&lt;&gt;""),Table1[[#This Row],[Français]]&amp;"//"&amp;Table1[[#This Row],[English]],"")</f>
        <v/>
      </c>
      <c r="H106" s="35" t="str">
        <f t="shared" si="2"/>
        <v/>
      </c>
    </row>
    <row r="107" spans="1:8" ht="30">
      <c r="A107" s="62" t="s">
        <v>191</v>
      </c>
      <c r="B107" s="63" t="s">
        <v>125</v>
      </c>
      <c r="C107" s="162"/>
      <c r="D107" s="151"/>
      <c r="E107" s="151"/>
      <c r="F107" s="18"/>
      <c r="G107" s="19" t="str">
        <f>IF(OR(Table1[[#This Row],[English]]&lt;&gt;"",Table1[[#This Row],[Français]]&lt;&gt;""),Table1[[#This Row],[Français]]&amp;"//"&amp;Table1[[#This Row],[English]],"")</f>
        <v>4. Dispositions environnementales //4. Environmental provisions</v>
      </c>
      <c r="H107" s="20" t="str">
        <f t="shared" si="2"/>
        <v/>
      </c>
    </row>
    <row r="108" spans="1:8" ht="105" customHeight="1">
      <c r="A108" s="93" t="s">
        <v>212</v>
      </c>
      <c r="B108" s="93" t="s">
        <v>220</v>
      </c>
      <c r="C108" s="158" t="s">
        <v>894</v>
      </c>
      <c r="D108" s="71" t="s">
        <v>876</v>
      </c>
      <c r="E108" s="71" t="s">
        <v>855</v>
      </c>
      <c r="F108" s="222"/>
      <c r="G108"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70" t="str">
        <f t="shared" si="2"/>
        <v>The contract may be interrupted to ensure consistency with the Environmental Impact Assessment and related documents--Art. B10.24</v>
      </c>
    </row>
    <row r="109" spans="1:8" ht="80.25" customHeight="1">
      <c r="A109" s="122" t="s">
        <v>214</v>
      </c>
      <c r="B109" s="122" t="s">
        <v>213</v>
      </c>
      <c r="C109" s="159" t="s">
        <v>902</v>
      </c>
      <c r="D109" s="10" t="s">
        <v>876</v>
      </c>
      <c r="E109" s="10" t="s">
        <v>855</v>
      </c>
      <c r="F109" s="224"/>
      <c r="G109" s="137"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38" t="str">
        <f t="shared" si="2"/>
        <v>The contract may be interrupted by the Forestry Development Authority of Liberia to prevent environmental degradation or resource damage and to conduct environmental analysis--Art. B10.24</v>
      </c>
    </row>
    <row r="110" spans="1:8" ht="179.25" customHeight="1">
      <c r="A110" s="94" t="s">
        <v>226</v>
      </c>
      <c r="B110" s="95" t="s">
        <v>180</v>
      </c>
      <c r="C110" s="168" t="s">
        <v>921</v>
      </c>
      <c r="D110" s="82" t="s">
        <v>873</v>
      </c>
      <c r="E110" s="94" t="s">
        <v>874</v>
      </c>
      <c r="F110" s="222"/>
      <c r="G110" s="97"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8" t="str">
        <f>IF(C110&lt;&gt;"",IF(D110&lt;&gt;"",C110&amp;"--"&amp;D110,C110),"")</f>
        <v>Subject to the written approval of the Government and the Social Agreement (as called for under Regulation 105-07) and such conditions as the Government or Social Agreement may impose, Thunder Bird International may use free of charge any water found within the contract area and in the public domain within 5 kilometers of the contract area provided that it does not deprive any lands, tribes, villages, towns, houses, or watering places for animals of a reasonable supply of water, and does not interfere with the rights of water enjoyed by persons under the Land and Native Right Ordinance. Thunder Bird International shall ensure that its use of water in no way results in environmental damage or creates other hazards.--Art. B4.3</v>
      </c>
    </row>
    <row r="111" spans="1:8" ht="408.75" customHeight="1">
      <c r="A111" s="117" t="s">
        <v>211</v>
      </c>
      <c r="B111" s="117" t="s">
        <v>210</v>
      </c>
      <c r="C111" s="175" t="s">
        <v>931</v>
      </c>
      <c r="D111" s="56" t="s">
        <v>936</v>
      </c>
      <c r="E111" s="188" t="s">
        <v>886</v>
      </c>
      <c r="F111" s="225"/>
      <c r="G111" s="119"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20" t="str">
        <f>IF(C111&lt;&gt;"",IF(D111&lt;&gt;"",C111&amp;"--"&amp;D111,C111),"")</f>
        <v>Thunder Bird International's harvests must be consistent with sustainable management of forest resources. Thunder Bird International shall conduct its operations in a manner that promotes sustainable development of forest resources and environmental protection for the common good of the people of Liberia.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Thunder Bird International shall conduct all operations and activities so as to avoid waste and loss of natural resources and to protect natural resources from damage. It shall conduct all operations and activities so as to prevent pollution and contamination of the environment. Thunder Bird International shall harvest trees in a manner that avoids unnecessary damage and waste, and unnecessary damage to young growth and other trees. It shall identify in the annual operation plan areas requiring special measures for the protection of plants and animals, and it shall protect these areas from damage or removal during operations. Thunder Bird International shall comply with the Liberia Code of Forest Harvesting Practices for the protection of wildlife in the contract area, as well as for watercourse protection and erosion prevention and control. It shall provide for the proper disposal of sawdust, mill, and other wastes to prevent pollution or contamination.--Arts. B2.1, B3.3, B6.3, B6.32, B6.34-B6.38</v>
      </c>
    </row>
    <row r="112" spans="1:8" ht="45" customHeight="1">
      <c r="A112" s="83" t="s">
        <v>240</v>
      </c>
      <c r="B112" s="82" t="s">
        <v>239</v>
      </c>
      <c r="C112" s="158"/>
      <c r="D112" s="76"/>
      <c r="E112" s="76"/>
      <c r="F112" s="68"/>
      <c r="G112" s="69" t="str">
        <f>IF(OR(Table1[[#This Row],[English]]&lt;&gt;"",Table1[[#This Row],[Français]]&lt;&gt;""),Table1[[#This Row],[Français]]&amp;"//"&amp;Table1[[#This Row],[English]],"")</f>
        <v>Autre - [Responsabilité environnementale]//Other - [Environmental liability]</v>
      </c>
      <c r="H112" s="70" t="str">
        <f t="shared" si="2"/>
        <v/>
      </c>
    </row>
    <row r="113" spans="1:8">
      <c r="A113" s="37"/>
      <c r="B113" s="38"/>
      <c r="C113" s="177"/>
      <c r="D113" s="192"/>
      <c r="E113" s="192"/>
      <c r="F113" s="15"/>
      <c r="G113" s="16" t="str">
        <f>IF(OR(Table1[[#This Row],[English]]&lt;&gt;"",Table1[[#This Row],[Français]]&lt;&gt;""),Table1[[#This Row],[Français]]&amp;"//"&amp;Table1[[#This Row],[English]],"")</f>
        <v/>
      </c>
      <c r="H113" s="17" t="str">
        <f t="shared" si="2"/>
        <v/>
      </c>
    </row>
    <row r="114" spans="1:8" ht="45">
      <c r="A114" s="62" t="s">
        <v>183</v>
      </c>
      <c r="B114" s="18" t="s">
        <v>126</v>
      </c>
      <c r="C114" s="162"/>
      <c r="D114" s="151"/>
      <c r="E114" s="151"/>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106.5" customHeight="1">
      <c r="A115" s="55" t="s">
        <v>181</v>
      </c>
      <c r="B115" s="64" t="s">
        <v>182</v>
      </c>
      <c r="C115" s="178" t="s">
        <v>922</v>
      </c>
      <c r="D115" s="65" t="s">
        <v>878</v>
      </c>
      <c r="E115" s="64" t="s">
        <v>870</v>
      </c>
      <c r="F115" s="226"/>
      <c r="G115" s="66" t="str">
        <f>IF(OR(Table1[[#This Row],[English]]&lt;&gt;"",Table1[[#This Row],[Français]]&lt;&gt;""),Table1[[#This Row],[Français]]&amp;"//"&amp;Table1[[#This Row],[English]],"")</f>
        <v>L'étude de faisabilité et le plan d'affaires//Feasibility studies and requirement of business plan</v>
      </c>
      <c r="H115" s="53" t="str">
        <f>IF(C115&lt;&gt;"",IF(D115&lt;&gt;"",C115&amp;"--"&amp;D115,C115),"")</f>
        <v>Thunder Bird International must include an up-to-date business plan demonstrating it has the technical and financial capacity to manage the contract area sustainably. The business plan must conform to the Guidelines for Forest Management Planning.--Art. B3.13</v>
      </c>
    </row>
    <row r="116" spans="1:8" ht="27.75" customHeight="1">
      <c r="A116" s="93" t="s">
        <v>127</v>
      </c>
      <c r="B116" s="99" t="s">
        <v>128</v>
      </c>
      <c r="C116" s="158"/>
      <c r="D116" s="76"/>
      <c r="E116" s="76"/>
      <c r="F116" s="68"/>
      <c r="G116" s="69" t="str">
        <f>IF(OR(Table1[[#This Row],[English]]&lt;&gt;"",Table1[[#This Row],[Français]]&lt;&gt;""),Table1[[#This Row],[Français]]&amp;"//"&amp;Table1[[#This Row],[English]],"")</f>
        <v>Obligations de travaux, d'investissements//Work and investment commitments</v>
      </c>
      <c r="H116" s="70" t="str">
        <f t="shared" si="2"/>
        <v/>
      </c>
    </row>
    <row r="117" spans="1:8">
      <c r="A117" s="36" t="s">
        <v>129</v>
      </c>
      <c r="B117" s="36" t="s">
        <v>130</v>
      </c>
      <c r="C117" s="179"/>
      <c r="D117" s="10"/>
      <c r="E117" s="10"/>
      <c r="F117" s="11"/>
      <c r="G117" s="12" t="str">
        <f>IF(OR(Table1[[#This Row],[English]]&lt;&gt;"",Table1[[#This Row],[Français]]&lt;&gt;""),Table1[[#This Row],[Français]]&amp;"//"&amp;Table1[[#This Row],[English]],"")</f>
        <v>Rétrocession//Transfer of risk</v>
      </c>
      <c r="H117" s="13" t="str">
        <f t="shared" si="2"/>
        <v/>
      </c>
    </row>
    <row r="118" spans="1:8" ht="306.75" customHeight="1">
      <c r="A118" s="67" t="s">
        <v>131</v>
      </c>
      <c r="B118" s="67" t="s">
        <v>132</v>
      </c>
      <c r="C118" s="158" t="s">
        <v>905</v>
      </c>
      <c r="D118" s="149" t="s">
        <v>946</v>
      </c>
      <c r="E118" s="149" t="s">
        <v>940</v>
      </c>
      <c r="F118" s="222"/>
      <c r="G118" s="69" t="str">
        <f>IF(OR(Table1[[#This Row],[English]]&lt;&gt;"",Table1[[#This Row],[Français]]&lt;&gt;""),Table1[[#This Row],[Français]]&amp;"//"&amp;Table1[[#This Row],[English]],"")</f>
        <v>Construction et entretien d'infrastructure//Construction and maintenance of infrastructure</v>
      </c>
      <c r="H118" s="70" t="str">
        <f t="shared" si="2"/>
        <v>Thunder Bird International has rights under section 18.8 of the National Forestry Reform Law of 2006 concerning construction of infrastructure and agrees to exercise those rights subject to the contract. It shall comply with all laws governing construction, maintenance and use of improvements. By law, certain improvements require pre-authorization from Government agencies other than the Forestry Development Authority of Liberia. Thunder Bird International shall ensure that all infrastructure and works installed in relation to the contract comply with the Liberia Code of Forest Harvesting Practices and other applicable laws. It shall design, construct, and maintain infrastructure in a manner that avoids unreasonable risk to safety, health, welfare, and the environment. Thunder Bird International shall carry out road construction and maintenance activities in compliance with the Liberia Code of Forest Harvesting Practices.--Arts. B4.21, B4.22(a), (b) and (c), B6.18, B6.5</v>
      </c>
    </row>
    <row r="119" spans="1:8" ht="15" customHeight="1">
      <c r="A119" s="10" t="s">
        <v>203</v>
      </c>
      <c r="B119" s="10" t="s">
        <v>133</v>
      </c>
      <c r="C119" s="167"/>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99.75" customHeight="1">
      <c r="A120" s="113" t="s">
        <v>134</v>
      </c>
      <c r="B120" s="114" t="s">
        <v>135</v>
      </c>
      <c r="C120" s="180" t="s">
        <v>906</v>
      </c>
      <c r="D120" s="112" t="s">
        <v>923</v>
      </c>
      <c r="E120" s="112" t="s">
        <v>880</v>
      </c>
      <c r="F120" s="222"/>
      <c r="G120" s="115" t="str">
        <f>IF(OR(Table1[[#This Row],[English]]&lt;&gt;"",Table1[[#This Row],[Français]]&lt;&gt;""),Table1[[#This Row],[Français]]&amp;"//"&amp;Table1[[#This Row],[English]],"")</f>
        <v>Utilisation d’infrastructure par les tiers//Third party use of infrastructure</v>
      </c>
      <c r="H120" s="116" t="str">
        <f>IF(C120&lt;&gt;"",IF(D120&lt;&gt;"",C120&amp;"--"&amp;D120,C120),"")</f>
        <v xml:space="preserve">Thunder Bird International shall allow third party use of any roads constructed or maintained by it as long as such use does not unduly prejudice or interfere with its operations. Thunder Bird International shall also allow use of communication lines, subject to fair compensation.--Art. B4.23(a) and (c) </v>
      </c>
    </row>
    <row r="121" spans="1:8">
      <c r="A121" s="39" t="s">
        <v>136</v>
      </c>
      <c r="B121" s="33" t="s">
        <v>137</v>
      </c>
      <c r="C121" s="159"/>
      <c r="D121" s="10"/>
      <c r="E121" s="10"/>
      <c r="F121" s="11"/>
      <c r="G121" s="12" t="str">
        <f>IF(OR(Table1[[#This Row],[English]]&lt;&gt;"",Table1[[#This Row],[Français]]&lt;&gt;""),Table1[[#This Row],[Français]]&amp;"//"&amp;Table1[[#This Row],[English]],"")</f>
        <v>Financement d’infrastructure//Financing of infrastructure</v>
      </c>
      <c r="H121" s="13" t="str">
        <f t="shared" si="2"/>
        <v/>
      </c>
    </row>
    <row r="122" spans="1:8" ht="71.25" customHeight="1">
      <c r="A122" s="39" t="s">
        <v>138</v>
      </c>
      <c r="B122" s="33" t="s">
        <v>139</v>
      </c>
      <c r="C122" s="159" t="s">
        <v>895</v>
      </c>
      <c r="D122" s="10" t="s">
        <v>896</v>
      </c>
      <c r="E122" s="10" t="s">
        <v>897</v>
      </c>
      <c r="F122" s="11"/>
      <c r="G122" s="12" t="str">
        <f>IF(OR(Table1[[#This Row],[English]]&lt;&gt;"",Table1[[#This Row],[Français]]&lt;&gt;""),Table1[[#This Row],[Français]]&amp;"//"&amp;Table1[[#This Row],[English]],"")</f>
        <v>Propriété d’infrastructure//Ownership of infrastructure</v>
      </c>
      <c r="H122" s="13" t="str">
        <f t="shared" si="2"/>
        <v>All infrastructures revert to the Government upon termination of the contract and shall be left in safe running order--Art. B4.24</v>
      </c>
    </row>
    <row r="123" spans="1:8">
      <c r="A123" s="28" t="s">
        <v>197</v>
      </c>
      <c r="B123" s="27" t="s">
        <v>194</v>
      </c>
      <c r="C123" s="173"/>
      <c r="D123" s="27"/>
      <c r="E123" s="27"/>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75"/>
      <c r="D124" s="56"/>
      <c r="E124" s="188"/>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255" customHeight="1">
      <c r="A125" s="133" t="s">
        <v>227</v>
      </c>
      <c r="B125" s="134" t="s">
        <v>172</v>
      </c>
      <c r="C125" s="219" t="s">
        <v>937</v>
      </c>
      <c r="D125" s="220" t="s">
        <v>924</v>
      </c>
      <c r="E125" s="133" t="s">
        <v>939</v>
      </c>
      <c r="F125" s="133"/>
      <c r="G125" s="135"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6" t="str">
        <f>IF(C125&lt;&gt;"",IF(D125&lt;&gt;"",C125&amp;"--"&amp;D125,C125),"")</f>
        <v>Thunder Bird International shall not use public land outside the contract area unless it has express, written permission from the Forestry Development Authority. The Forestry Development Authority shall not unreasonably deny permission to use such land. Thunder Bird International may use private land with the express, written permission of the land owner. If Thunder Bird International is unable to obtain the permission of the land owner for such use, then use is limited to rights of way, and any compensation is governed by Chapter 11 of the Forestry Reform Law of 2006 and the Forestry Development Authority Regulation 110-07. With or without permission of the land owner, Thunder Bird International shall not seek a use, lease, right-of-way, or easement that substantially interferes with the operations of another previously issued forest management contract or timber sale contract. Thunder Bird International also shall not interfere with any good faith exercise of third-party rights to timber or forest products, including customary rights, without permission of the third party. --Arts. B4.12, B4.13</v>
      </c>
    </row>
    <row r="126" spans="1:8" ht="24.75" customHeight="1">
      <c r="A126" s="83" t="s">
        <v>176</v>
      </c>
      <c r="B126" s="197" t="s">
        <v>174</v>
      </c>
      <c r="C126" s="168"/>
      <c r="D126" s="82"/>
      <c r="E126" s="94"/>
      <c r="F126" s="96"/>
      <c r="G126" s="97" t="str">
        <f>IF(OR(Table1[[#This Row],[English]]&lt;&gt;"",Table1[[#This Row],[Français]]&lt;&gt;""),Table1[[#This Row],[Français]]&amp;"//"&amp;Table1[[#This Row],[English]],"")</f>
        <v>Autre - [le nom de catégorie]//Other - [Name of Category]</v>
      </c>
      <c r="H126" s="98" t="str">
        <f>IF(C126&lt;&gt;"",IF(D126&lt;&gt;"",C126&amp;"--"&amp;D126,C126),"")</f>
        <v/>
      </c>
    </row>
    <row r="127" spans="1:8" ht="27" customHeight="1">
      <c r="A127" s="193"/>
      <c r="B127" s="40"/>
      <c r="C127" s="194"/>
      <c r="D127" s="195"/>
      <c r="E127" s="195"/>
      <c r="F127" s="15"/>
      <c r="G127" s="16" t="str">
        <f>IF(OR(Table1[[#This Row],[English]]&lt;&gt;"",Table1[[#This Row],[Français]]&lt;&gt;""),Table1[[#This Row],[Français]]&amp;"//"&amp;Table1[[#This Row],[English]],"")</f>
        <v/>
      </c>
      <c r="H127" s="17" t="str">
        <f t="shared" si="2"/>
        <v/>
      </c>
    </row>
    <row r="128" spans="1:8" ht="30">
      <c r="A128" s="21" t="s">
        <v>140</v>
      </c>
      <c r="B128" s="21" t="s">
        <v>141</v>
      </c>
      <c r="C128" s="162"/>
      <c r="D128" s="151"/>
      <c r="E128" s="151"/>
      <c r="F128" s="18"/>
      <c r="G128" s="19" t="str">
        <f>IF(OR(Table1[[#This Row],[English]]&lt;&gt;"",Table1[[#This Row],[Français]]&lt;&gt;""),Table1[[#This Row],[Français]]&amp;"//"&amp;Table1[[#This Row],[English]],"")</f>
        <v>6. Dispositions diverses//6. Miscellaneous provisions</v>
      </c>
      <c r="H128" s="20" t="str">
        <f t="shared" si="2"/>
        <v/>
      </c>
    </row>
    <row r="129" spans="1:8" ht="37" customHeight="1">
      <c r="A129" s="99" t="s">
        <v>142</v>
      </c>
      <c r="B129" s="93" t="s">
        <v>143</v>
      </c>
      <c r="C129" s="158" t="s">
        <v>882</v>
      </c>
      <c r="D129" s="71" t="s">
        <v>881</v>
      </c>
      <c r="E129" s="71" t="s">
        <v>914</v>
      </c>
      <c r="F129" s="68"/>
      <c r="G129" s="69" t="str">
        <f>IF(OR(Table1[[#This Row],[English]]&lt;&gt;"",Table1[[#This Row],[Français]]&lt;&gt;""),Table1[[#This Row],[Français]]&amp;"//"&amp;Table1[[#This Row],[English]],"")</f>
        <v>Loi applicable en cas des différends//Governing law in case of dispute</v>
      </c>
      <c r="H129" s="70" t="str">
        <f>IF(C129&lt;&gt;"",IF(D129&lt;&gt;"",C129&amp;"--"&amp;D129,C129),"")</f>
        <v>The laws of the Republic of Liberia govern the contract--Art. B3.41</v>
      </c>
    </row>
    <row r="130" spans="1:8" ht="182" customHeight="1">
      <c r="A130" s="99" t="s">
        <v>144</v>
      </c>
      <c r="B130" s="85" t="s">
        <v>145</v>
      </c>
      <c r="C130" s="158" t="s">
        <v>907</v>
      </c>
      <c r="D130" s="76" t="s">
        <v>925</v>
      </c>
      <c r="E130" s="76" t="s">
        <v>943</v>
      </c>
      <c r="F130" s="68"/>
      <c r="G130" s="69" t="str">
        <f>IF(OR(Table1[[#This Row],[English]]&lt;&gt;"",Table1[[#This Row],[Français]]&lt;&gt;""),Table1[[#This Row],[Français]]&amp;"//"&amp;Table1[[#This Row],[English]],"")</f>
        <v>Arbitrage et règlement des différends//Arbitration and dispute resolution</v>
      </c>
      <c r="H130" s="70" t="str">
        <f t="shared" si="2"/>
        <v>Failure by Thunder Bird International to submit a claim (a written demand seeking the payment of money, adjustment or interpretation of contract terms, or other relief, under or relating to this contract) for resolution within 60 days of the disputed action by the Forestry Development Authority of Liberia shall relinquish the Forestry Development Authority of any and all obligations related to the dispute. Claims arising under the contract shall be decided by the contracting officer of the Forestry Development Authority. The decision of the contracting officer shall be final and conclusive if within 45 days from receipt, Thunder Bird International fails to appeal the decision to an appropriate Liberian court.--Arts. B1.0, 10.13</v>
      </c>
    </row>
    <row r="131" spans="1:8" ht="81" customHeight="1">
      <c r="A131" s="99" t="s">
        <v>146</v>
      </c>
      <c r="B131" s="93" t="s">
        <v>147</v>
      </c>
      <c r="C131" s="170" t="s">
        <v>898</v>
      </c>
      <c r="D131" s="71" t="s">
        <v>899</v>
      </c>
      <c r="E131" s="71" t="s">
        <v>900</v>
      </c>
      <c r="F131" s="68"/>
      <c r="G131" s="69" t="str">
        <f>IF(OR(Table1[[#This Row],[English]]&lt;&gt;"",Table1[[#This Row],[Français]]&lt;&gt;""),Table1[[#This Row],[Français]]&amp;"//"&amp;Table1[[#This Row],[English]],"")</f>
        <v>Clause de stabilisation//Stabilization clause</v>
      </c>
      <c r="H131" s="70" t="str">
        <f t="shared" si="2"/>
        <v>If any statute or regulation referred to in the contract is repealed or amended, the contract shall be taken to refer to the newly amended statute or regulation, or the statute or regulation that replaces the repealed one, as determined by the Forestry Development Authority of Liberia--Art. B1.0(iii)</v>
      </c>
    </row>
    <row r="132" spans="1:8" ht="92" customHeight="1">
      <c r="A132" s="36" t="s">
        <v>148</v>
      </c>
      <c r="B132" s="10" t="s">
        <v>149</v>
      </c>
      <c r="C132" s="159" t="s">
        <v>929</v>
      </c>
      <c r="D132" s="10" t="s">
        <v>879</v>
      </c>
      <c r="E132" s="10" t="s">
        <v>867</v>
      </c>
      <c r="F132" s="11"/>
      <c r="G132" s="12" t="str">
        <f>IF(OR(Table1[[#This Row],[English]]&lt;&gt;"",Table1[[#This Row],[Français]]&lt;&gt;""),Table1[[#This Row],[Français]]&amp;"//"&amp;Table1[[#This Row],[English]],"")</f>
        <v>Cession / transfert//Assignment / transfer</v>
      </c>
      <c r="H132" s="13" t="str">
        <f t="shared" si="2"/>
        <v>Thunder Bird International shall not assign or transfer this contract or any interests, rights, privileges or obligations under the contract without prior written approval from the Forestry Development Authority of Liberia. The Forestry Development Authority shall not consent to any transfer, except in compliance with Regulation 104-07, Section 71.--Art. B2.3</v>
      </c>
    </row>
    <row r="133" spans="1:8" ht="335" customHeight="1">
      <c r="A133" s="36" t="s">
        <v>228</v>
      </c>
      <c r="B133" s="10" t="s">
        <v>150</v>
      </c>
      <c r="C133" s="159" t="s">
        <v>932</v>
      </c>
      <c r="D133" s="10" t="s">
        <v>903</v>
      </c>
      <c r="E133" s="10" t="s">
        <v>877</v>
      </c>
      <c r="F133" s="11"/>
      <c r="G133" s="12" t="str">
        <f>IF(OR(Table1[[#This Row],[English]]&lt;&gt;"",Table1[[#This Row],[Français]]&lt;&gt;""),Table1[[#This Row],[Français]]&amp;"//"&amp;Table1[[#This Row],[English]],"")</f>
        <v>Annulation / Résiliation //Cancellation / termination</v>
      </c>
      <c r="H133" s="13" t="str">
        <f t="shared" si="2"/>
        <v>The contract may be terminated if Thunder Bird International commits a number of breaches, including: (b) felling trees not covered by an Annual Harvesting Certificate, (d) abandoning operations for a period of 1 year or more, (e) significantly failing to meet the requirements of an approved annual operation plan, (f) assigning to a third-party rights held under the contract without the consent of the Forestry Development Authority of Liberia,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Forestry Development Authority, (q) being convicted for violation of criminal statutes or civil standards, or other regulations for environmental protection, (r) failing to comply with a Social Agreement, and (s) if it or its senior official are convicted for violation of criminal statutes and civil standards, or any other offense indicating a lack of business integrity or honesty that seriously and directly affects the responsibility of Thunder Bird International, including payment of a bribe, and (v) human rights violations--Art. B10.27</v>
      </c>
    </row>
    <row r="134" spans="1:8">
      <c r="A134" s="33" t="s">
        <v>151</v>
      </c>
      <c r="B134" s="33" t="s">
        <v>152</v>
      </c>
      <c r="C134" s="159"/>
      <c r="D134" s="10"/>
      <c r="E134" s="10"/>
      <c r="F134" s="11"/>
      <c r="G134" s="12" t="str">
        <f>IF(OR(Table1[[#This Row],[English]]&lt;&gt;"",Table1[[#This Row],[Français]]&lt;&gt;""),Table1[[#This Row],[Français]]&amp;"//"&amp;Table1[[#This Row],[English]],"")</f>
        <v>Indemnisation//Indemnification</v>
      </c>
      <c r="H134" s="13" t="str">
        <f t="shared" si="2"/>
        <v/>
      </c>
    </row>
    <row r="135" spans="1:8" ht="87" customHeight="1">
      <c r="A135" s="100" t="s">
        <v>153</v>
      </c>
      <c r="B135" s="76" t="s">
        <v>154</v>
      </c>
      <c r="C135" s="190" t="s">
        <v>930</v>
      </c>
      <c r="D135" s="71" t="s">
        <v>938</v>
      </c>
      <c r="E135" s="71" t="s">
        <v>926</v>
      </c>
      <c r="F135" s="227"/>
      <c r="G135" s="69" t="str">
        <f>IF(OR(Table1[[#This Row],[English]]&lt;&gt;"",Table1[[#This Row],[Français]]&lt;&gt;""),Table1[[#This Row],[Français]]&amp;"//"&amp;Table1[[#This Row],[English]],"")</f>
        <v>Confidentialité//Confidentiality</v>
      </c>
      <c r="H135" s="70" t="str">
        <f t="shared" si="2"/>
        <v>The parties understand that section 18.15 of the National Forestry Reform Law guarantees to the public free access to all documents and information related to this contract and its administration, subject only to limited exceptions--Art. B5.55</v>
      </c>
    </row>
    <row r="136" spans="1:8">
      <c r="A136" s="100" t="s">
        <v>155</v>
      </c>
      <c r="B136" s="76" t="s">
        <v>156</v>
      </c>
      <c r="C136" s="170" t="s">
        <v>758</v>
      </c>
      <c r="D136" s="71"/>
      <c r="E136" s="71"/>
      <c r="F136" s="68"/>
      <c r="G136" s="69" t="str">
        <f>IF(OR(Table1[[#This Row],[English]]&lt;&gt;"",Table1[[#This Row],[Français]]&lt;&gt;""),Table1[[#This Row],[Français]]&amp;"//"&amp;Table1[[#This Row],[English]],"")</f>
        <v>Langue//Language</v>
      </c>
      <c r="H136" s="70" t="str">
        <f>IF(C136&lt;&gt;"",IF(D136&lt;&gt;"",C136&amp;"--"&amp;D136,C136),"")</f>
        <v>ENG</v>
      </c>
    </row>
    <row r="137" spans="1:8" ht="162.75" customHeight="1">
      <c r="A137" s="10" t="s">
        <v>238</v>
      </c>
      <c r="B137" s="10" t="s">
        <v>188</v>
      </c>
      <c r="C137" s="159" t="s">
        <v>933</v>
      </c>
      <c r="D137" s="10" t="s">
        <v>934</v>
      </c>
      <c r="E137" s="10" t="s">
        <v>904</v>
      </c>
      <c r="F137" s="228"/>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Thunder Bird International consents to the Government or a designated representative conducting reasonable inspections of the contract area and premises. Thunder Bird International shall keep records to demonstrate compliance with the contract during the duration of the contract and for 5 years after the contract terminates. It shall provide a written report within 90 days after completing operations under each annual operation plan, and keep the contracting officer informed as to its operations and other contractual activities.--Arts. B5.3, B5.51 - B5.53</v>
      </c>
    </row>
    <row r="138" spans="1:8" ht="225.75" customHeight="1">
      <c r="A138" s="122" t="s">
        <v>222</v>
      </c>
      <c r="B138" s="122" t="s">
        <v>221</v>
      </c>
      <c r="C138" s="159" t="s">
        <v>915</v>
      </c>
      <c r="D138" s="10" t="s">
        <v>884</v>
      </c>
      <c r="E138" s="10" t="s">
        <v>908</v>
      </c>
      <c r="F138" s="228"/>
      <c r="G138" s="12" t="str">
        <f>IF(OR(Table1[[#This Row],[English]]&lt;&gt;"",Table1[[#This Row],[Français]]&lt;&gt;""),Table1[[#This Row],[Français]]&amp;"//"&amp;Table1[[#This Row],[English]],"")</f>
        <v>Clause de hardship ou force majeure//Hardship clause or force majeure</v>
      </c>
      <c r="H138"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 terms and conditions of the contract as a result of force majeure is not a breach of the contract. Any party who fails to perform obligations as a result of force majeure shall take all reasonable steps to make good, and resume compliance with, those obligations.--Art. B10.23</v>
      </c>
    </row>
    <row r="139" spans="1:8">
      <c r="A139" s="10" t="s">
        <v>175</v>
      </c>
      <c r="B139" s="122" t="s">
        <v>173</v>
      </c>
      <c r="C139" s="185"/>
      <c r="D139" s="33"/>
      <c r="E139" s="33"/>
      <c r="F139" s="41"/>
      <c r="G139" s="42" t="str">
        <f>IF(OR(Table1[[#This Row],[English]]&lt;&gt;"",Table1[[#This Row],[Français]]&lt;&gt;""),Table1[[#This Row],[Français]]&amp;"//"&amp;Table1[[#This Row],[English]],"")</f>
        <v>Expropriation//Expropriation / nationalization</v>
      </c>
      <c r="H139" s="43" t="str">
        <f t="shared" si="2"/>
        <v/>
      </c>
    </row>
    <row r="140" spans="1:8">
      <c r="A140" s="83" t="s">
        <v>176</v>
      </c>
      <c r="B140" s="82" t="s">
        <v>174</v>
      </c>
      <c r="C140" s="181"/>
      <c r="D140" s="191"/>
      <c r="E140" s="155"/>
      <c r="F140" s="101"/>
      <c r="G140" s="102" t="str">
        <f>IF(OR(Table1[[#This Row],[English]]&lt;&gt;"",Table1[[#This Row],[Français]]&lt;&gt;""),Table1[[#This Row],[Français]]&amp;"//"&amp;Table1[[#This Row],[English]],"")</f>
        <v>Autre - [le nom de catégorie]//Other - [Name of Category]</v>
      </c>
      <c r="H140" s="103" t="str">
        <f>IF(C140&lt;&gt;"",IF(D140&lt;&gt;"",C140&amp;"--"&amp;D140,C140),"")</f>
        <v/>
      </c>
    </row>
    <row r="141" spans="1:8">
      <c r="A141" s="44"/>
      <c r="B141" s="14"/>
      <c r="C141" s="186"/>
      <c r="D141" s="150"/>
      <c r="E141" s="150"/>
      <c r="F141" s="15"/>
      <c r="G141" s="16" t="str">
        <f>IF(OR(Table1[[#This Row],[English]]&lt;&gt;"",Table1[[#This Row],[Français]]&lt;&gt;""),Table1[[#This Row],[Français]]&amp;"//"&amp;Table1[[#This Row],[English]],"")</f>
        <v/>
      </c>
      <c r="H141" s="17" t="str">
        <f t="shared" si="2"/>
        <v/>
      </c>
    </row>
    <row r="142" spans="1:8" ht="30">
      <c r="A142" s="21" t="s">
        <v>157</v>
      </c>
      <c r="B142" s="21" t="s">
        <v>158</v>
      </c>
      <c r="C142" s="182"/>
      <c r="D142" s="156"/>
      <c r="E142" s="156"/>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83"/>
      <c r="D143" s="33"/>
      <c r="E143" s="33"/>
      <c r="F143" s="41"/>
      <c r="G143" s="42" t="str">
        <f>IF(OR(Table1[[#This Row],[English]]&lt;&gt;"",Table1[[#This Row],[Français]]&lt;&gt;""),Table1[[#This Row],[Français]]&amp;"//"&amp;Table1[[#This Row],[English]],"")</f>
        <v>Pages Manquantes de la copie//Pages missing from  copy</v>
      </c>
      <c r="H143" s="43" t="str">
        <f t="shared" si="2"/>
        <v/>
      </c>
    </row>
    <row r="144" spans="1:8" ht="30">
      <c r="A144" s="10" t="s">
        <v>161</v>
      </c>
      <c r="B144" s="10" t="s">
        <v>162</v>
      </c>
      <c r="C144" s="159"/>
      <c r="D144" s="10"/>
      <c r="E144" s="10"/>
      <c r="F144" s="22"/>
      <c r="G144" s="23" t="str">
        <f>IF(OR(Table1[[#This Row],[English]]&lt;&gt;"",Table1[[#This Row],[Français]]&lt;&gt;""),Table1[[#This Row],[Français]]&amp;"//"&amp;Table1[[#This Row],[English]],"")</f>
        <v>Annexes Manquantes de la copie//Annexes missing from copy</v>
      </c>
      <c r="H144" s="13" t="str">
        <f t="shared" si="2"/>
        <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6" type="noConversion"/>
  <dataValidations count="3">
    <dataValidation type="list" allowBlank="1" showInputMessage="1" showErrorMessage="1" sqref="C19">
      <formula1>countries</formula1>
    </dataValidation>
    <dataValidation type="list" allowBlank="1" showInputMessage="1" showErrorMessage="1" sqref="C51">
      <formula1>resources</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7" sqref="B7"/>
    </sheetView>
  </sheetViews>
  <sheetFormatPr baseColWidth="10" defaultColWidth="8.6640625" defaultRowHeight="16" x14ac:dyDescent="0"/>
  <cols>
    <col min="1" max="1" width="30.5" customWidth="1"/>
    <col min="2" max="2" width="31.83203125" style="208" customWidth="1"/>
    <col min="3" max="3" width="23" bestFit="1" customWidth="1"/>
  </cols>
  <sheetData>
    <row r="1" spans="1:2" ht="15">
      <c r="A1" s="49" t="s">
        <v>163</v>
      </c>
      <c r="B1" s="207" t="s">
        <v>164</v>
      </c>
    </row>
    <row r="2" spans="1:2">
      <c r="A2" s="205" t="s">
        <v>751</v>
      </c>
      <c r="B2" s="208" t="str">
        <f>IF(Categories!C136&lt;&gt;"",Categories!C136,"ENG")</f>
        <v>ENG</v>
      </c>
    </row>
    <row r="3" spans="1:2">
      <c r="A3" s="50" t="s">
        <v>245</v>
      </c>
      <c r="B3" s="209" t="str">
        <f>IF(Categories!C19&lt;&gt;"",Categories!C19,"")</f>
        <v>Liberia</v>
      </c>
    </row>
    <row r="4" spans="1:2">
      <c r="A4" s="50" t="s">
        <v>737</v>
      </c>
      <c r="B4" s="209" t="str">
        <f>IF(Categories!C19&lt;&gt;"",VLOOKUP(Categories!C19,picklists!A2:B248,2,FALSE), "")</f>
        <v>LBR</v>
      </c>
    </row>
    <row r="5" spans="1:2">
      <c r="A5" t="s">
        <v>739</v>
      </c>
      <c r="B5" s="208" t="str">
        <f>IF(Categories!C51&lt;&gt;"",Categories!C51,"")</f>
        <v>Timber</v>
      </c>
    </row>
    <row r="6" spans="1:2" ht="15">
      <c r="A6" s="50" t="s">
        <v>165</v>
      </c>
      <c r="B6" s="158" t="s">
        <v>909</v>
      </c>
    </row>
    <row r="7" spans="1:2" ht="15">
      <c r="A7" s="50" t="s">
        <v>166</v>
      </c>
      <c r="B7" s="204">
        <v>40188</v>
      </c>
    </row>
    <row r="8" spans="1:2">
      <c r="A8" t="s">
        <v>167</v>
      </c>
      <c r="B8" s="208">
        <f>IF(Categories!C48&lt;&gt;"",Categories!C48,"")</f>
        <v>2010</v>
      </c>
    </row>
    <row r="9" spans="1:2">
      <c r="A9" t="s">
        <v>168</v>
      </c>
      <c r="B9" s="208" t="str">
        <f>IF(Categories!C49&lt;&gt;"",Categories!C49,"")</f>
        <v>2 years</v>
      </c>
    </row>
    <row r="10" spans="1:2" ht="15">
      <c r="A10" s="234" t="s">
        <v>747</v>
      </c>
      <c r="B10" s="234"/>
    </row>
    <row r="11" spans="1:2">
      <c r="A11" s="203" t="s">
        <v>12</v>
      </c>
      <c r="B11" s="208" t="str">
        <f>IF(Categories!C20&lt;&gt;"",Categories!C20,"")</f>
        <v>Thunder Bird International Liberia Inc.</v>
      </c>
    </row>
    <row r="12" spans="1:2">
      <c r="A12" s="203" t="s">
        <v>242</v>
      </c>
      <c r="B12" s="208" t="str">
        <f>IF(Categories!C21&lt;&gt;"",Categories!C21,"")</f>
        <v/>
      </c>
    </row>
    <row r="13" spans="1:2">
      <c r="A13" s="203" t="s">
        <v>14</v>
      </c>
      <c r="B13" s="208" t="str">
        <f>IF(Categories!C22&lt;&gt;"",Categories!C22,"")</f>
        <v>Carey &amp; Gurley Streets Intersection, Monrovia, Liberia</v>
      </c>
    </row>
    <row r="14" spans="1:2">
      <c r="A14" s="203" t="s">
        <v>16</v>
      </c>
      <c r="B14" s="208" t="str">
        <f>IF(Categories!C23&lt;&gt;"",Categories!C23,"")</f>
        <v/>
      </c>
    </row>
    <row r="15" spans="1:2">
      <c r="A15" s="203" t="s">
        <v>748</v>
      </c>
      <c r="B15" s="208" t="str">
        <f>IF(Categories!C24&lt;&gt;"",Categories!C24,"")</f>
        <v/>
      </c>
    </row>
    <row r="16" spans="1:2">
      <c r="A16" s="203" t="s">
        <v>242</v>
      </c>
      <c r="B16" s="208" t="str">
        <f>IF(Categories!C25&lt;&gt;"",Categories!C25,"")</f>
        <v/>
      </c>
    </row>
    <row r="17" spans="1:2">
      <c r="A17" s="203" t="s">
        <v>19</v>
      </c>
      <c r="B17" s="208" t="str">
        <f>IF(Categories!C26&lt;&gt;"",Categories!C26,"")</f>
        <v/>
      </c>
    </row>
    <row r="18" spans="1:2">
      <c r="A18" s="203" t="s">
        <v>22</v>
      </c>
      <c r="B18" s="208" t="str">
        <f>IF(Categories!C28&lt;&gt;"",Categories!C28,"")</f>
        <v/>
      </c>
    </row>
    <row r="19" spans="1:2" ht="30">
      <c r="A19" s="203" t="s">
        <v>23</v>
      </c>
      <c r="B19" s="208" t="str">
        <f>IF(Categories!C29&lt;&gt;"",Categories!C29,"")</f>
        <v/>
      </c>
    </row>
    <row r="20" spans="1:2">
      <c r="A20" s="203" t="s">
        <v>749</v>
      </c>
      <c r="B20" s="208" t="str">
        <f>IF(Categories!C30&lt;&gt;"",Categories!C30,"")</f>
        <v>Latitudes 7°14'24'' - 7°18'0'' North of the Equator and Longitudes 11°0'0'' - 11°6'36'' West of the Greenwich meridian, Grand Cape Mount County-Liberia</v>
      </c>
    </row>
    <row r="21" spans="1:2">
      <c r="A21" s="203" t="s">
        <v>25</v>
      </c>
      <c r="B21" s="208" t="str">
        <f>IF(Categories!C31&lt;&gt;"",Categories!C31,"")</f>
        <v/>
      </c>
    </row>
    <row r="22" spans="1:2">
      <c r="A22" s="203" t="s">
        <v>27</v>
      </c>
      <c r="B22" s="208" t="str">
        <f>IF(Categories!C32&lt;&gt;"",Categories!C32,"")</f>
        <v/>
      </c>
    </row>
    <row r="23" spans="1:2">
      <c r="A23" s="203" t="s">
        <v>29</v>
      </c>
      <c r="B23" s="208" t="str">
        <f>IF(Categories!C33&lt;&gt;"",Categories!C33,"")</f>
        <v/>
      </c>
    </row>
    <row r="24" spans="1:2">
      <c r="A24" s="203" t="s">
        <v>31</v>
      </c>
      <c r="B24" s="208" t="str">
        <f>IF(Categories!C34&lt;&gt;"",Categories!C34,"")</f>
        <v/>
      </c>
    </row>
    <row r="25" spans="1:2">
      <c r="A25" s="203" t="s">
        <v>750</v>
      </c>
      <c r="B25" s="208" t="str">
        <f>IF(B24&lt;&gt;"",YEAR(B24),"")</f>
        <v/>
      </c>
    </row>
    <row r="26" spans="1:2">
      <c r="A26" s="203" t="s">
        <v>33</v>
      </c>
      <c r="B26" s="208" t="str">
        <f>IF(Categories!C35&lt;&gt;"",Categories!C35,"")</f>
        <v/>
      </c>
    </row>
    <row r="27" spans="1:2">
      <c r="A27" s="203" t="s">
        <v>35</v>
      </c>
      <c r="B27" s="208" t="str">
        <f>IF(Categories!C36&lt;&gt;"",Categories!C36,"")</f>
        <v/>
      </c>
    </row>
    <row r="28" spans="1:2" ht="45">
      <c r="A28" s="203" t="s">
        <v>41</v>
      </c>
      <c r="B28" s="208" t="str">
        <f>IF(Categories!C40&lt;&gt;"",Categories!C40,"")</f>
        <v>Thunder Bird International Liberia Inc.</v>
      </c>
    </row>
    <row r="29" spans="1:2">
      <c r="A29" s="203" t="s">
        <v>242</v>
      </c>
      <c r="B29" s="208" t="str">
        <f>IF(Categories!C41&lt;&gt;"",Categories!C41,"")</f>
        <v/>
      </c>
    </row>
    <row r="30" spans="1:2">
      <c r="A30" s="203" t="s">
        <v>43</v>
      </c>
      <c r="B30" s="208" t="str">
        <f>IF(Categories!C42&lt;&gt;"",Categories!C42,"")</f>
        <v>Chief Andrew Oru, President and CEO of Thunder Bird International</v>
      </c>
    </row>
    <row r="31" spans="1:2" ht="30">
      <c r="A31" s="203" t="s">
        <v>45</v>
      </c>
      <c r="B31" s="208" t="str">
        <f>IF(Categories!C43&lt;&gt;"",Categories!C43,"")</f>
        <v>Forestry Development Authority</v>
      </c>
    </row>
    <row r="32" spans="1:2">
      <c r="A32" s="203" t="s">
        <v>47</v>
      </c>
      <c r="B32" s="208" t="str">
        <f>IF(Categories!C44&lt;&gt;"",Categories!C44,"")</f>
        <v>Managing Director and In-House Lawyer, Forestry Development Authority</v>
      </c>
    </row>
    <row r="33" spans="1:2" ht="30">
      <c r="A33" s="203" t="s">
        <v>49</v>
      </c>
      <c r="B33" s="208" t="str">
        <f>IF(Categories!C45&lt;&gt;"",Categories!C45,"")</f>
        <v/>
      </c>
    </row>
    <row r="34" spans="1:2" ht="30">
      <c r="A34" s="203" t="s">
        <v>169</v>
      </c>
      <c r="B34" s="208" t="str">
        <f>IF(Categories!C46&lt;&gt;"",Categories!C46,"")</f>
        <v/>
      </c>
    </row>
    <row r="35" spans="1:2">
      <c r="A35" s="203" t="s">
        <v>57</v>
      </c>
      <c r="B35" s="208" t="str">
        <f>IF(Categories!C50&lt;&gt;"",Categories!C50,"")</f>
        <v>The contract is not renewable, with only limited extensions possible under Art. B8.5 (force majeure)</v>
      </c>
    </row>
    <row r="36" spans="1:2">
      <c r="A36" s="203" t="s">
        <v>217</v>
      </c>
      <c r="B36" s="208" t="str">
        <f>IF(Categories!C52&lt;&gt;"",Categories!C52,"")</f>
        <v>5,000 ha</v>
      </c>
    </row>
    <row r="37" spans="1:2">
      <c r="A37" s="206" t="s">
        <v>160</v>
      </c>
      <c r="B37" s="208" t="str">
        <f>IF(Categories!C143&lt;&gt;"",Categories!C143,"")</f>
        <v/>
      </c>
    </row>
    <row r="38" spans="1:2">
      <c r="A38" s="206" t="s">
        <v>162</v>
      </c>
      <c r="B38" s="208" t="str">
        <f>IF(Categories!C144&lt;&gt;"",Categories!C144,"")</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245</v>
      </c>
      <c r="B1" t="s">
        <v>246</v>
      </c>
      <c r="D1" t="s">
        <v>738</v>
      </c>
      <c r="H1" t="s">
        <v>740</v>
      </c>
      <c r="I1" t="s">
        <v>740</v>
      </c>
      <c r="L1" t="s">
        <v>751</v>
      </c>
    </row>
    <row r="2" spans="1:13">
      <c r="A2" t="s">
        <v>247</v>
      </c>
      <c r="B2" t="s">
        <v>248</v>
      </c>
      <c r="D2" t="str">
        <f>IF(Metadata!B2="ENG",E2,F2)</f>
        <v>Aluminium</v>
      </c>
      <c r="E2" t="s">
        <v>821</v>
      </c>
      <c r="F2" t="s">
        <v>822</v>
      </c>
      <c r="H2" t="str">
        <f>IF(Metadata!B2="ENG",I2,J2)</f>
        <v>Amodiation contract</v>
      </c>
      <c r="I2" t="s">
        <v>816</v>
      </c>
      <c r="J2" t="s">
        <v>817</v>
      </c>
      <c r="L2" t="s">
        <v>758</v>
      </c>
      <c r="M2" t="s">
        <v>760</v>
      </c>
    </row>
    <row r="3" spans="1:13">
      <c r="A3" t="s">
        <v>249</v>
      </c>
      <c r="B3" t="s">
        <v>250</v>
      </c>
      <c r="D3" t="str">
        <f>IF(Metadata!B2="ENG",E3,F3)</f>
        <v>Base metals</v>
      </c>
      <c r="E3" t="s">
        <v>771</v>
      </c>
      <c r="F3" t="s">
        <v>840</v>
      </c>
      <c r="H3" t="str">
        <f>IF(Metadata!B2="ENG",I3,J3)</f>
        <v>Concession</v>
      </c>
      <c r="I3" s="202" t="s">
        <v>742</v>
      </c>
      <c r="J3" s="202" t="s">
        <v>742</v>
      </c>
      <c r="L3" t="s">
        <v>759</v>
      </c>
      <c r="M3" t="s">
        <v>757</v>
      </c>
    </row>
    <row r="4" spans="1:13">
      <c r="A4" t="s">
        <v>251</v>
      </c>
      <c r="B4" t="s">
        <v>252</v>
      </c>
      <c r="D4" t="str">
        <f>IF(Metadata!B2="ENG",E4,F4)</f>
        <v>Bauxite</v>
      </c>
      <c r="E4" s="210" t="s">
        <v>772</v>
      </c>
      <c r="F4" s="210" t="s">
        <v>772</v>
      </c>
      <c r="H4" t="str">
        <f>IF(Metadata!B2="ENG",I4,J4)</f>
        <v>Convention</v>
      </c>
      <c r="I4" t="s">
        <v>761</v>
      </c>
      <c r="J4" t="s">
        <v>761</v>
      </c>
    </row>
    <row r="5" spans="1:13">
      <c r="A5" t="s">
        <v>253</v>
      </c>
      <c r="B5" t="s">
        <v>254</v>
      </c>
      <c r="D5" t="str">
        <f>IF(Metadata!B2="ENG",E5,F5)</f>
        <v>Coal</v>
      </c>
      <c r="E5" t="s">
        <v>773</v>
      </c>
      <c r="F5" t="s">
        <v>774</v>
      </c>
      <c r="H5" t="str">
        <f>IF(Metadata!B2="ENG",I5,J5)</f>
        <v>Exploration Permit/License</v>
      </c>
      <c r="I5" s="202" t="s">
        <v>741</v>
      </c>
      <c r="J5" t="s">
        <v>752</v>
      </c>
    </row>
    <row r="6" spans="1:13" ht="30">
      <c r="A6" t="s">
        <v>255</v>
      </c>
      <c r="B6" t="s">
        <v>256</v>
      </c>
      <c r="D6" t="str">
        <f>IF(Metadata!B2="ENG",E6,F6)</f>
        <v>Cobalt</v>
      </c>
      <c r="E6" t="s">
        <v>775</v>
      </c>
      <c r="F6" t="s">
        <v>775</v>
      </c>
      <c r="H6" t="str">
        <f>IF(Metadata!B2="ENG",I6,J6)</f>
        <v>Exploitation Permit/License</v>
      </c>
      <c r="I6" s="202" t="s">
        <v>762</v>
      </c>
      <c r="J6" t="s">
        <v>763</v>
      </c>
    </row>
    <row r="7" spans="1:13" ht="30">
      <c r="A7" t="s">
        <v>257</v>
      </c>
      <c r="B7" t="s">
        <v>258</v>
      </c>
      <c r="D7" t="str">
        <f>IF(Metadata!B2="ENG",E7,F7)</f>
        <v>Copper</v>
      </c>
      <c r="E7" t="s">
        <v>776</v>
      </c>
      <c r="F7" t="s">
        <v>828</v>
      </c>
      <c r="H7" t="str">
        <f>IF(Metadata!B2="ENG",I7,J7)</f>
        <v>Forestry Concession Contract</v>
      </c>
      <c r="I7" s="202" t="s">
        <v>769</v>
      </c>
      <c r="J7" t="s">
        <v>770</v>
      </c>
    </row>
    <row r="8" spans="1:13">
      <c r="A8" t="s">
        <v>259</v>
      </c>
      <c r="B8" t="s">
        <v>260</v>
      </c>
      <c r="D8" t="str">
        <f>IF(Metadata!B2="ENG",E8,F8)</f>
        <v>Crude oil</v>
      </c>
      <c r="E8" t="s">
        <v>777</v>
      </c>
      <c r="F8" t="s">
        <v>778</v>
      </c>
      <c r="H8" t="str">
        <f>IF(Metadata!B2="ENG",I8,J8)</f>
        <v>Investment Agreement</v>
      </c>
      <c r="I8" s="202" t="s">
        <v>764</v>
      </c>
      <c r="J8" t="s">
        <v>811</v>
      </c>
    </row>
    <row r="9" spans="1:13" ht="30">
      <c r="A9" t="s">
        <v>261</v>
      </c>
      <c r="B9" t="s">
        <v>262</v>
      </c>
      <c r="D9" t="str">
        <f>IF(Metadata!B2="ENG",E9,F9)</f>
        <v>Diamonds</v>
      </c>
      <c r="E9" t="s">
        <v>779</v>
      </c>
      <c r="F9" t="s">
        <v>829</v>
      </c>
      <c r="H9" t="str">
        <f>IF(Metadata!B2="ENG",I9,J9)</f>
        <v>Investment Incentive Contract</v>
      </c>
      <c r="I9" s="202" t="s">
        <v>765</v>
      </c>
      <c r="J9" t="s">
        <v>812</v>
      </c>
    </row>
    <row r="10" spans="1:13">
      <c r="A10" t="s">
        <v>263</v>
      </c>
      <c r="B10" t="s">
        <v>264</v>
      </c>
      <c r="D10" t="str">
        <f>IF(Metadata!B2="ENG",E10,F10)</f>
        <v>Gas</v>
      </c>
      <c r="E10" t="s">
        <v>780</v>
      </c>
      <c r="F10" t="s">
        <v>781</v>
      </c>
      <c r="H10" t="str">
        <f>IF(Metadata!B2="ENG",I10,J10)</f>
        <v>Joint Venture Contract</v>
      </c>
      <c r="I10" t="s">
        <v>766</v>
      </c>
      <c r="J10" t="s">
        <v>813</v>
      </c>
      <c r="K10" s="213"/>
    </row>
    <row r="11" spans="1:13">
      <c r="A11" t="s">
        <v>265</v>
      </c>
      <c r="B11" t="s">
        <v>266</v>
      </c>
      <c r="D11" t="str">
        <f>IF(Metadata!B2="ENG",E11,F11)</f>
        <v>Gold</v>
      </c>
      <c r="E11" t="s">
        <v>782</v>
      </c>
      <c r="F11" t="s">
        <v>783</v>
      </c>
      <c r="H11" t="str">
        <f>IF(Metadata!B2="ENG",I11,J11)</f>
        <v>Lease</v>
      </c>
      <c r="I11" t="s">
        <v>745</v>
      </c>
      <c r="J11" t="s">
        <v>755</v>
      </c>
    </row>
    <row r="12" spans="1:13" ht="30">
      <c r="A12" t="s">
        <v>267</v>
      </c>
      <c r="B12" t="s">
        <v>268</v>
      </c>
      <c r="D12" t="str">
        <f>IF(Metadata!B2="ENG",E12,F12)</f>
        <v>Iron ore</v>
      </c>
      <c r="E12" t="s">
        <v>784</v>
      </c>
      <c r="F12" t="s">
        <v>820</v>
      </c>
      <c r="H12" t="str">
        <f>IF(Metadata!B2="ENG",I12,J12)</f>
        <v>Production Sharing Agreement</v>
      </c>
      <c r="I12" s="202" t="s">
        <v>746</v>
      </c>
      <c r="J12" t="s">
        <v>753</v>
      </c>
    </row>
    <row r="13" spans="1:13" ht="45">
      <c r="A13" t="s">
        <v>269</v>
      </c>
      <c r="B13" t="s">
        <v>270</v>
      </c>
      <c r="D13" t="str">
        <f>IF(Metadata!B2="ENG",E13,F13)</f>
        <v>Lapis lazuli</v>
      </c>
      <c r="E13" t="s">
        <v>785</v>
      </c>
      <c r="F13" t="s">
        <v>825</v>
      </c>
      <c r="H13" t="str">
        <f>IF(Metadata!B2="ENG",I13,J13)</f>
        <v>Operating Agreement between Private Companies</v>
      </c>
      <c r="I13" s="202" t="s">
        <v>767</v>
      </c>
      <c r="J13" t="s">
        <v>814</v>
      </c>
    </row>
    <row r="14" spans="1:13">
      <c r="A14" t="s">
        <v>271</v>
      </c>
      <c r="B14" t="s">
        <v>272</v>
      </c>
      <c r="D14" t="str">
        <f>IF(Metadata!B2="ENG",E14,F14)</f>
        <v>Lead</v>
      </c>
      <c r="E14" t="s">
        <v>786</v>
      </c>
      <c r="F14" t="s">
        <v>826</v>
      </c>
      <c r="H14" t="str">
        <f>IF(Metadata!B2="ENG",I14,J14)</f>
        <v>Options contract</v>
      </c>
      <c r="I14" s="202" t="s">
        <v>818</v>
      </c>
      <c r="J14" t="s">
        <v>819</v>
      </c>
    </row>
    <row r="15" spans="1:13">
      <c r="A15" t="s">
        <v>273</v>
      </c>
      <c r="B15" t="s">
        <v>274</v>
      </c>
      <c r="D15" t="str">
        <f>IF(Metadata!B2="ENG",E15,F15)</f>
        <v>Lithium</v>
      </c>
      <c r="E15" t="s">
        <v>787</v>
      </c>
      <c r="F15" t="s">
        <v>787</v>
      </c>
      <c r="H15" t="str">
        <f>IF(Metadata!B2="ENG",I15,J15)</f>
        <v>Profit Sharing Contract</v>
      </c>
      <c r="I15" s="202" t="s">
        <v>768</v>
      </c>
      <c r="J15" t="s">
        <v>815</v>
      </c>
    </row>
    <row r="16" spans="1:13">
      <c r="A16" t="s">
        <v>275</v>
      </c>
      <c r="B16" t="s">
        <v>276</v>
      </c>
      <c r="D16" t="str">
        <f>IF(Metadata!B2="ENG",E16,F16)</f>
        <v>Manganese</v>
      </c>
      <c r="E16" t="s">
        <v>788</v>
      </c>
      <c r="F16" t="s">
        <v>827</v>
      </c>
      <c r="H16" t="str">
        <f>IF(Metadata!B2="ENG",I16,J16)</f>
        <v>Service Contract</v>
      </c>
      <c r="I16" s="202" t="s">
        <v>743</v>
      </c>
      <c r="J16" t="s">
        <v>754</v>
      </c>
    </row>
    <row r="17" spans="1:10">
      <c r="A17" t="s">
        <v>277</v>
      </c>
      <c r="B17" t="s">
        <v>278</v>
      </c>
      <c r="D17" t="str">
        <f>IF(Metadata!B2="ENG",E17,F17)</f>
        <v>Molybdenum</v>
      </c>
      <c r="E17" t="s">
        <v>823</v>
      </c>
      <c r="F17" t="s">
        <v>824</v>
      </c>
      <c r="H17" t="str">
        <f>IF(Metadata!B2="ENG",I17,J17)</f>
        <v>Other</v>
      </c>
      <c r="I17" s="202"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Phosphate rock</v>
      </c>
      <c r="E19" t="s">
        <v>790</v>
      </c>
      <c r="F19" t="s">
        <v>830</v>
      </c>
      <c r="H19">
        <f>IF(Metadata!B2="ENG",I19,J19)</f>
        <v>0</v>
      </c>
    </row>
    <row r="20" spans="1:10">
      <c r="A20" t="s">
        <v>283</v>
      </c>
      <c r="B20" t="s">
        <v>284</v>
      </c>
      <c r="D20" t="str">
        <f>IF(Metadata!B2="ENG",E20,F20)</f>
        <v>Platinum Group Metals</v>
      </c>
      <c r="E20" t="s">
        <v>791</v>
      </c>
      <c r="F20" t="s">
        <v>831</v>
      </c>
      <c r="H20">
        <f>IF(Metadata!B2="ENG",I20,J20)</f>
        <v>0</v>
      </c>
    </row>
    <row r="21" spans="1:10">
      <c r="A21" t="s">
        <v>285</v>
      </c>
      <c r="B21" t="s">
        <v>286</v>
      </c>
      <c r="D21" t="str">
        <f>IF(Metadata!B2="ENG",E21,F21)</f>
        <v>Precious stones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Semi-precious stones</v>
      </c>
      <c r="E23" t="s">
        <v>794</v>
      </c>
      <c r="F23" t="s">
        <v>833</v>
      </c>
      <c r="H23">
        <f>IF(Metadata!B2="ENG",I23,J23)</f>
        <v>0</v>
      </c>
    </row>
    <row r="24" spans="1:10">
      <c r="A24" t="s">
        <v>291</v>
      </c>
      <c r="B24" t="s">
        <v>292</v>
      </c>
      <c r="D24" t="str">
        <f>IF(Metadata!B2="ENG",E24,F24)</f>
        <v>Silver</v>
      </c>
      <c r="E24" t="s">
        <v>795</v>
      </c>
      <c r="F24" t="s">
        <v>834</v>
      </c>
      <c r="H24">
        <f>IF(Metadata!B2="ENG",I24,J24)</f>
        <v>0</v>
      </c>
    </row>
    <row r="25" spans="1:10">
      <c r="A25" t="s">
        <v>293</v>
      </c>
      <c r="B25" t="s">
        <v>294</v>
      </c>
      <c r="D25" t="str">
        <f>IF(Metadata!B2="ENG",E25,F25)</f>
        <v>Titanium</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Food crops</v>
      </c>
      <c r="E29" t="s">
        <v>800</v>
      </c>
      <c r="F29" t="s">
        <v>801</v>
      </c>
      <c r="H29">
        <f>IF(Metadata!B2="ENG",I29,J29)</f>
        <v>0</v>
      </c>
    </row>
    <row r="30" spans="1:10">
      <c r="A30" t="s">
        <v>303</v>
      </c>
      <c r="B30" t="s">
        <v>304</v>
      </c>
      <c r="D30" t="str">
        <f>IF(Metadata!B2="ENG",E30,F30)</f>
        <v>Hydrocarbons</v>
      </c>
      <c r="E30" t="s">
        <v>802</v>
      </c>
      <c r="F30" t="s">
        <v>836</v>
      </c>
      <c r="H30">
        <f>IF(Metadata!B2="ENG",I30,J30)</f>
        <v>0</v>
      </c>
    </row>
    <row r="31" spans="1:10">
      <c r="A31" t="s">
        <v>305</v>
      </c>
      <c r="B31" t="s">
        <v>306</v>
      </c>
      <c r="D31" t="str">
        <f>IF(Metadata!B2="ENG",E31,F31)</f>
        <v>Palm oil</v>
      </c>
      <c r="E31" t="s">
        <v>803</v>
      </c>
      <c r="F31" t="s">
        <v>804</v>
      </c>
      <c r="H31">
        <f>IF(Metadata!B2="ENG",I31,J31)</f>
        <v>0</v>
      </c>
    </row>
    <row r="32" spans="1:10">
      <c r="A32" t="s">
        <v>307</v>
      </c>
      <c r="B32" t="s">
        <v>308</v>
      </c>
      <c r="D32" t="str">
        <f>IF(Metadata!B2="ENG",E32,F32)</f>
        <v>Rubber</v>
      </c>
      <c r="E32" t="s">
        <v>805</v>
      </c>
      <c r="F32" t="s">
        <v>837</v>
      </c>
      <c r="H32">
        <f>IF(Metadata!B2="ENG",I32,J32)</f>
        <v>0</v>
      </c>
    </row>
    <row r="33" spans="1:8">
      <c r="A33" t="s">
        <v>309</v>
      </c>
      <c r="B33" t="s">
        <v>310</v>
      </c>
      <c r="D33" t="str">
        <f>IF(Metadata!B2="ENG",E33,F33)</f>
        <v>Soy</v>
      </c>
      <c r="E33" t="s">
        <v>806</v>
      </c>
      <c r="F33" t="s">
        <v>838</v>
      </c>
      <c r="H33">
        <f>IF(Metadata!B2="ENG",I33,J33)</f>
        <v>0</v>
      </c>
    </row>
    <row r="34" spans="1:8">
      <c r="A34" t="s">
        <v>311</v>
      </c>
      <c r="B34" t="s">
        <v>312</v>
      </c>
      <c r="D34" t="str">
        <f>IF(Metadata!B2="ENG",E34,F34)</f>
        <v>Sugar</v>
      </c>
      <c r="E34" t="s">
        <v>807</v>
      </c>
      <c r="F34" t="s">
        <v>808</v>
      </c>
      <c r="H34">
        <f>IF(Metadata!B2="ENG",I34,J34)</f>
        <v>0</v>
      </c>
    </row>
    <row r="35" spans="1:8">
      <c r="A35" t="s">
        <v>313</v>
      </c>
      <c r="B35" t="s">
        <v>314</v>
      </c>
      <c r="D35" t="str">
        <f>IF(Metadata!B2="ENG",E35,F35)</f>
        <v>Timber</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2015-08-18T18:14:19Z</dcterms:modified>
</cp:coreProperties>
</file>