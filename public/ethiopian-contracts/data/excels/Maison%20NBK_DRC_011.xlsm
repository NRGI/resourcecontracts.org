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8C4F1C90-05EB-6A55-5F09-09C24B55AC0B}"/>
  <workbookPr showInkAnnotation="0" codeName="ThisWorkbook" autoCompressPictures="0"/>
  <bookViews>
    <workbookView xWindow="3160" yWindow="0" windowWidth="21400" windowHeight="14760" tabRatio="500"/>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B7" i="2"/>
  <c r="C48" i="1"/>
  <c r="B8" i="2"/>
  <c r="B9" i="2"/>
  <c r="B11" i="2"/>
  <c r="B12" i="2"/>
  <c r="B13" i="2"/>
  <c r="B14" i="2"/>
  <c r="B15" i="2"/>
  <c r="B16" i="2"/>
  <c r="B17" i="2"/>
  <c r="B18" i="2"/>
  <c r="B19" i="2"/>
  <c r="B20" i="2"/>
  <c r="B21" i="2"/>
  <c r="B22" i="2"/>
  <c r="C33" i="1"/>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1" i="1"/>
  <c r="H111" i="1"/>
  <c r="G79" i="1"/>
  <c r="H79" i="1"/>
  <c r="G66" i="1"/>
  <c r="H66" i="1"/>
  <c r="G115" i="1"/>
  <c r="H115" i="1"/>
  <c r="G65" i="1"/>
  <c r="H65" i="1"/>
  <c r="G140" i="1"/>
  <c r="H140" i="1"/>
  <c r="G137" i="1"/>
  <c r="H137" i="1"/>
  <c r="G126" i="1"/>
  <c r="H126" i="1"/>
  <c r="G110" i="1"/>
  <c r="H110" i="1"/>
  <c r="G125" i="1"/>
  <c r="H125" i="1"/>
  <c r="G124" i="1"/>
  <c r="H124" i="1"/>
  <c r="G99" i="1"/>
  <c r="H99" i="1"/>
  <c r="G64" i="1"/>
  <c r="H64" i="1"/>
  <c r="G63" i="1"/>
  <c r="H63" i="1"/>
  <c r="G46" i="1"/>
  <c r="H46" i="1"/>
  <c r="H144" i="1"/>
  <c r="G144" i="1"/>
  <c r="H143" i="1"/>
  <c r="G143" i="1"/>
  <c r="H142" i="1"/>
  <c r="G142" i="1"/>
  <c r="H141" i="1"/>
  <c r="G141" i="1"/>
  <c r="H139" i="1"/>
  <c r="G139" i="1"/>
  <c r="H138" i="1"/>
  <c r="G138" i="1"/>
  <c r="H136" i="1"/>
  <c r="G136" i="1"/>
  <c r="H135" i="1"/>
  <c r="G135" i="1"/>
  <c r="H134" i="1"/>
  <c r="G134" i="1"/>
  <c r="H133" i="1"/>
  <c r="G133" i="1"/>
  <c r="H132" i="1"/>
  <c r="G132" i="1"/>
  <c r="H131" i="1"/>
  <c r="G131" i="1"/>
  <c r="H130" i="1"/>
  <c r="G130" i="1"/>
  <c r="H129" i="1"/>
  <c r="G129" i="1"/>
  <c r="H128" i="1"/>
  <c r="G128" i="1"/>
  <c r="H127" i="1"/>
  <c r="G127" i="1"/>
  <c r="H123" i="1"/>
  <c r="G123" i="1"/>
  <c r="H122" i="1"/>
  <c r="G122" i="1"/>
  <c r="H121" i="1"/>
  <c r="G121" i="1"/>
  <c r="H120" i="1"/>
  <c r="G120" i="1"/>
  <c r="H119" i="1"/>
  <c r="G119" i="1"/>
  <c r="H118" i="1"/>
  <c r="G118" i="1"/>
  <c r="H117" i="1"/>
  <c r="G117" i="1"/>
  <c r="H116" i="1"/>
  <c r="G116" i="1"/>
  <c r="H114" i="1"/>
  <c r="G114" i="1"/>
  <c r="H113" i="1"/>
  <c r="G113" i="1"/>
  <c r="H112" i="1"/>
  <c r="G112" i="1"/>
  <c r="H109" i="1"/>
  <c r="G109" i="1"/>
  <c r="H108" i="1"/>
  <c r="G108" i="1"/>
  <c r="H107" i="1"/>
  <c r="G107" i="1"/>
  <c r="H106" i="1"/>
  <c r="G106" i="1"/>
  <c r="H105" i="1"/>
  <c r="G105" i="1"/>
  <c r="H104" i="1"/>
  <c r="G104" i="1"/>
  <c r="H103" i="1"/>
  <c r="G103" i="1"/>
  <c r="H102" i="1"/>
  <c r="G102" i="1"/>
  <c r="H101" i="1"/>
  <c r="G101" i="1"/>
  <c r="H100" i="1"/>
  <c r="G100" i="1"/>
  <c r="H98" i="1"/>
  <c r="G98"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8" i="1"/>
  <c r="G78"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<sst xmlns="http://schemas.openxmlformats.org/spreadsheetml/2006/main" count="984" uniqueCount="907">
  <si>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</si>
  <si>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</si>
  <si>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</si>
  <si>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</si>
  <si>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</si>
  <si>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</si>
  <si>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</si>
  <si>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</si>
  <si>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</si>
  <si>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</si>
  <si>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</si>
  <si>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</si>
  <si>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</si>
  <si>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</si>
  <si>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</si>
  <si>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</si>
  <si>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</si>
  <si>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</si>
  <si>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</si>
  <si>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</si>
  <si>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</si>
  <si>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</si>
  <si>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</si>
  <si>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</si>
  <si>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</si>
  <si>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</si>
  <si>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</si>
  <si>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</si>
  <si>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</si>
  <si>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</si>
  <si>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</si>
  <si>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</si>
  <si>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</si>
  <si>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</si>
  <si>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</si>
  <si>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</si>
  <si>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</si>
  <si>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</si>
  <si>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</si>
  <si>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</si>
  <si>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</si>
  <si>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</si>
  <si>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</si>
  <si>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</si>
  <si>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</si>
  <si>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</si>
  <si>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</si>
  <si>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</si>
  <si>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</si>
  <si>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</si>
  <si>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</si>
  <si>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</si>
  <si>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</si>
  <si>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</si>
  <si>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</si>
  <si>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</si>
  <si>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</si>
  <si>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</si>
  <si>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</si>
  <si>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</si>
  <si>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</si>
  <si>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</si>
  <si>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</si>
  <si>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</si>
  <si>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</si>
  <si>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</si>
  <si>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</si>
  <si>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</si>
  <si>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</si>
  <si>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</si>
  <si>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</si>
  <si>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</si>
  <si>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</si>
  <si>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</si>
  <si>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</si>
  <si>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</si>
  <si>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Production Share - "Cost Oil" features  (basis of calculation, limits on cost recovery - e.g. as % of revenue or production, capex uplift, etc.)</t>
  </si>
  <si>
    <t>Production Share - "Profit Oil" features  (triggers for variations in split - IRR, "r" factor, production, etc.)</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</si>
  <si>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</si>
  <si>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</si>
  <si>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</si>
  <si>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</si>
  <si>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</si>
  <si>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</si>
  <si>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</si>
  <si>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</si>
  <si>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</si>
  <si>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</si>
  <si>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</si>
  <si>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</si>
  <si>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</si>
  <si>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</si>
  <si>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</si>
  <si>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</si>
  <si>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</si>
  <si>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</si>
  <si>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</si>
  <si>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</si>
  <si>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</si>
  <si>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</si>
  <si>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</si>
  <si>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</si>
  <si>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</si>
  <si>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</si>
  <si>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</si>
  <si>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</si>
  <si>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</si>
  <si>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</si>
  <si>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</si>
  <si>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</si>
  <si>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 xml:space="preserve">Fixed fee for grant and renewal of license  </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</si>
  <si>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</si>
  <si>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</si>
  <si>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</si>
  <si>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</si>
  <si>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</si>
  <si>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</si>
  <si>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</si>
  <si>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</si>
  <si>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</si>
  <si>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</si>
  <si>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</si>
  <si>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</si>
  <si>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</si>
  <si>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</si>
  <si>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</si>
  <si>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</si>
  <si>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</si>
  <si>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</si>
  <si>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</si>
  <si>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</si>
  <si>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</si>
  <si>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</si>
  <si>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</si>
  <si>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</si>
  <si>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</si>
  <si>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</si>
  <si>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</si>
  <si>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</si>
  <si>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</si>
  <si>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</si>
  <si>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</si>
  <si>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</si>
  <si>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</si>
  <si>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</si>
  <si>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</si>
  <si>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</si>
  <si>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</si>
  <si>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</si>
  <si>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</si>
  <si>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</si>
  <si>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</si>
  <si>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</si>
  <si>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</si>
  <si>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</si>
  <si>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</si>
  <si>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</si>
  <si>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</si>
  <si>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</si>
  <si>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</si>
  <si>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</si>
  <si>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</si>
  <si>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</si>
  <si>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</si>
  <si>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</si>
  <si>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</si>
  <si>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</si>
  <si>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</si>
  <si>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</si>
  <si>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</si>
  <si>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</si>
  <si>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</si>
  <si>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</si>
  <si>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</si>
  <si>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</si>
  <si>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</si>
  <si>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</si>
  <si>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Type of resources (mineral type, crude oil, gas, timber, etc.) OR specific crops planned (ex:  food crops, oil palm, etc.)</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</si>
  <si>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</si>
  <si>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</si>
  <si>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</si>
  <si>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</si>
  <si>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</si>
  <si>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</si>
  <si>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</si>
  <si>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</si>
  <si>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</si>
  <si>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</si>
  <si>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</si>
  <si>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</si>
  <si>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</si>
  <si>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</si>
  <si>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</si>
  <si>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</si>
  <si>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</si>
  <si>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</si>
  <si>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</si>
  <si>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</si>
  <si>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</si>
  <si>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</si>
  <si>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</si>
  <si>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</si>
  <si>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</si>
  <si>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</si>
  <si>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</si>
  <si>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Location, longitude and latitude /  Onshore vs Offshore (shallow vs. deep) </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</si>
  <si>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</si>
  <si>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</si>
  <si>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</si>
  <si>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</si>
  <si>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</si>
  <si>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</si>
  <si>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</si>
  <si>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</si>
  <si>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</si>
  <si>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</si>
  <si>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</si>
  <si>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</si>
  <si>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</si>
  <si>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</si>
  <si>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</si>
  <si>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</si>
  <si>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</si>
  <si>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</si>
  <si>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</si>
  <si>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</si>
  <si>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</si>
  <si>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</si>
  <si>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</si>
  <si>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</si>
  <si>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</si>
  <si>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</si>
  <si>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Programme de sous-traitance  avec les petits planteurs (détails, des terres supplémentaires fournis, etc)</t>
  </si>
  <si>
    <t>Obligations liées a l'approvisionnement en biens et services locaux</t>
  </si>
  <si>
    <t>Contrat de Service - Frais du détenteur du titre défrayés  (base de calcul)</t>
  </si>
  <si>
    <t>Consultations communautaires requises</t>
  </si>
  <si>
    <t>Obligations liées a la formation des cadres locaux</t>
  </si>
  <si>
    <t>Impôt sur les Revenus des Valeurs Mobilières (IRVM)</t>
  </si>
  <si>
    <t>Obligations de reporting et autres méthodes de contrôle de la conformité</t>
  </si>
  <si>
    <t>Other - [Environmental liability]</t>
  </si>
  <si>
    <t>Autre - [Responsabilité environnementale]</t>
  </si>
  <si>
    <t>Numéro d'entreprise légal</t>
  </si>
  <si>
    <t>Legal Enterprise Identifier</t>
  </si>
  <si>
    <t>Details  - value</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</si>
  <si>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</si>
  <si>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</si>
  <si>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</si>
  <si>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</si>
  <si>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</si>
  <si>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</si>
  <si>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</si>
  <si>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</si>
  <si>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</si>
  <si>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</si>
  <si>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</si>
  <si>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</si>
  <si>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</si>
  <si>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</si>
  <si>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</si>
  <si>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</si>
  <si>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</si>
  <si>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</si>
  <si>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</si>
  <si>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</si>
  <si>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</si>
  <si>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</si>
  <si>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</si>
  <si>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</si>
  <si>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</si>
  <si>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</si>
  <si>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</si>
  <si>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</si>
  <si>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</si>
  <si>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</si>
  <si>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</si>
  <si>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</si>
  <si>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</si>
  <si>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</si>
  <si>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</si>
  <si>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</si>
  <si>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</si>
  <si>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</si>
  <si>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</si>
  <si>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</si>
  <si>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</si>
  <si>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</si>
  <si>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</si>
  <si>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</si>
  <si>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</si>
  <si>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</si>
  <si>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</si>
  <si>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</si>
  <si>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</si>
  <si>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</si>
  <si>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</si>
  <si>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</si>
  <si>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</si>
  <si>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</si>
  <si>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</si>
  <si>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</si>
  <si>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</si>
  <si>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</si>
  <si>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</si>
  <si>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</si>
  <si>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</si>
  <si>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</si>
  <si>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</si>
  <si>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</si>
  <si>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</si>
  <si>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</si>
  <si>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</si>
  <si>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</si>
  <si>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</si>
  <si>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</si>
  <si>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</si>
  <si>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</si>
  <si>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</si>
  <si>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</si>
  <si>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</si>
  <si>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</si>
  <si>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</si>
  <si>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</si>
  <si>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</si>
  <si>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</si>
  <si>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</si>
  <si>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</si>
  <si>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</si>
  <si>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</si>
  <si>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</si>
  <si>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</si>
  <si>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</si>
  <si>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</si>
  <si>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</si>
  <si>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</si>
  <si>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</si>
  <si>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</si>
  <si>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</si>
  <si>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</si>
  <si>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</si>
  <si>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</si>
  <si>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</si>
  <si>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</si>
  <si>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</si>
  <si>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</si>
  <si>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</si>
  <si>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</si>
  <si>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</si>
  <si>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</si>
  <si>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</si>
  <si>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</si>
  <si>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</si>
  <si>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</si>
  <si>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</si>
  <si>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</si>
  <si>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</si>
  <si>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</si>
  <si>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</si>
  <si>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</si>
  <si>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</si>
  <si>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</si>
  <si>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</si>
  <si>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</si>
  <si>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</si>
  <si>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</si>
  <si>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</si>
  <si>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</si>
  <si>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</si>
  <si>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</si>
  <si>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</si>
  <si>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</si>
  <si>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</si>
  <si>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</si>
  <si>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</si>
  <si>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</si>
  <si>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</si>
  <si>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</si>
  <si>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</si>
  <si>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</si>
  <si>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</si>
  <si>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</si>
  <si>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</si>
  <si>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</si>
  <si>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</si>
  <si>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</si>
  <si>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</si>
  <si>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</si>
  <si>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</si>
  <si>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</si>
  <si>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</si>
  <si>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</si>
  <si>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</si>
  <si>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</si>
  <si>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</si>
  <si>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</si>
  <si>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</si>
  <si>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</si>
  <si>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</si>
  <si>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</si>
  <si>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</si>
  <si>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</si>
  <si>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</si>
  <si>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</si>
  <si>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</si>
  <si>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</si>
  <si>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</si>
  <si>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</si>
  <si>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</si>
  <si>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</si>
  <si>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</si>
  <si>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</si>
  <si>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</si>
  <si>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</si>
  <si>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</si>
  <si>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</si>
  <si>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</si>
  <si>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</si>
  <si>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</si>
  <si>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</si>
  <si>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</si>
  <si>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</si>
  <si>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</si>
  <si>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</si>
  <si>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</si>
  <si>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</si>
  <si>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</si>
  <si>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</si>
  <si>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</si>
  <si>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</si>
  <si>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</si>
  <si>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</si>
  <si>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</si>
  <si>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</si>
  <si>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</si>
  <si>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</si>
  <si>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</si>
  <si>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</si>
  <si>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</si>
  <si>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</si>
  <si>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</si>
  <si>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</si>
  <si>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</si>
  <si>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</si>
  <si>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</si>
  <si>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</si>
  <si>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</si>
  <si>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</si>
  <si>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</si>
  <si>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</si>
  <si>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</si>
  <si>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</si>
  <si>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</si>
  <si>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</si>
  <si>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</si>
  <si>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</si>
  <si>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</si>
  <si>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</si>
  <si>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</si>
  <si>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</si>
  <si>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</si>
  <si>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</si>
  <si>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</si>
  <si>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</si>
  <si>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</si>
  <si>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</si>
  <si>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</si>
  <si>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</si>
  <si>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</si>
  <si>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</si>
  <si>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</si>
  <si>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</si>
  <si>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</si>
  <si>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</si>
  <si>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</si>
  <si>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</si>
  <si>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</si>
  <si>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</si>
  <si>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</si>
  <si>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</si>
  <si>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</si>
  <si>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</si>
  <si>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</si>
  <si>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</si>
  <si>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</si>
  <si>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</si>
  <si>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</si>
  <si>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</si>
  <si>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</si>
  <si>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</si>
  <si>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</si>
  <si>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</si>
  <si>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</si>
  <si>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</si>
  <si>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</si>
  <si>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</si>
  <si>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</si>
  <si>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</si>
  <si>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</si>
  <si>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</si>
  <si>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</si>
  <si>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</si>
  <si>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</si>
  <si>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</si>
  <si>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</si>
  <si>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</si>
  <si>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</si>
  <si>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</si>
  <si>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</si>
  <si>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</si>
  <si>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</si>
  <si>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</si>
  <si>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</si>
  <si>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</si>
  <si>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</si>
  <si>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</si>
  <si>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</si>
  <si>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</si>
  <si>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</si>
  <si>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</si>
  <si>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</si>
  <si>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</si>
  <si>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</si>
  <si>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</si>
  <si>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</si>
  <si>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</si>
  <si>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</si>
  <si>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</si>
  <si>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</si>
  <si>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</si>
  <si>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</si>
  <si>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</si>
  <si>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</si>
  <si>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</si>
  <si>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</si>
  <si>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</si>
  <si>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</si>
  <si>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</si>
  <si>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</si>
  <si>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</si>
  <si>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</si>
  <si>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</si>
  <si>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</si>
  <si>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</si>
  <si>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</si>
  <si>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</si>
  <si>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</si>
  <si>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</si>
  <si>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</si>
  <si>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</si>
  <si>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</si>
  <si>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</si>
  <si>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</si>
  <si>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</si>
  <si>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</si>
  <si>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</si>
  <si>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</si>
  <si>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</si>
  <si>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</si>
  <si>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</si>
  <si>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</si>
  <si>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</si>
  <si>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</si>
  <si>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</si>
  <si>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</si>
  <si>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</si>
  <si>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</si>
  <si>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</si>
  <si>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</si>
  <si>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</si>
  <si>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</si>
  <si>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</si>
  <si>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</si>
  <si>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</si>
  <si>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</si>
  <si>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</si>
  <si>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</si>
  <si>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</si>
  <si>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</si>
  <si>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</si>
  <si>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</si>
  <si>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</si>
  <si>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</si>
  <si>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</si>
  <si>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</si>
  <si>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</si>
  <si>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</si>
  <si>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</si>
  <si>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</si>
  <si>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</si>
  <si>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</si>
  <si>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</si>
  <si>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</si>
  <si>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</si>
  <si>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</si>
  <si>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</si>
  <si>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</si>
  <si>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</si>
  <si>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</si>
  <si>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</si>
  <si>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</si>
  <si>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</si>
  <si>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</si>
  <si>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</si>
  <si>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</si>
  <si>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</si>
  <si>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</si>
  <si>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</si>
  <si>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</si>
  <si>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</si>
  <si>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</si>
  <si>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</si>
  <si>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</si>
  <si>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</si>
  <si>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</si>
  <si>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</si>
  <si>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</si>
  <si>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</si>
  <si>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</si>
  <si>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</si>
  <si>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</si>
  <si>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</si>
  <si>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</si>
  <si>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</si>
  <si>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</si>
  <si>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</si>
  <si>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</si>
  <si>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</si>
  <si>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</si>
  <si>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</si>
  <si>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</si>
  <si>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</si>
  <si>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</si>
  <si>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</si>
  <si>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</si>
  <si>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</si>
  <si>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</si>
  <si>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</si>
  <si>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</si>
  <si>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</si>
  <si>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</si>
  <si>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</si>
  <si>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</si>
  <si>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</si>
  <si>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</si>
  <si>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</si>
  <si>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</si>
  <si>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</si>
  <si>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</si>
  <si>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</si>
  <si>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</si>
  <si>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</si>
  <si>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</si>
  <si>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</si>
  <si>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</si>
  <si>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</si>
  <si>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</si>
  <si>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</si>
  <si>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</si>
  <si>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</si>
  <si>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</si>
  <si>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</si>
  <si>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</si>
  <si>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</si>
  <si>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</si>
  <si>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</si>
  <si>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</si>
  <si>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</si>
  <si>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</si>
  <si>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</si>
  <si>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</si>
  <si>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</si>
  <si>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</si>
  <si>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</si>
  <si>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</si>
  <si>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</si>
  <si>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</si>
  <si>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</si>
  <si>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</si>
  <si>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</si>
  <si>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</si>
  <si>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</si>
  <si>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</si>
  <si>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</si>
  <si>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</si>
  <si>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</si>
  <si>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</si>
  <si>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</si>
  <si>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</si>
  <si>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</si>
  <si>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</si>
  <si>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</si>
  <si>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</si>
  <si>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</si>
  <si>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</si>
  <si>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</si>
  <si>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</si>
  <si>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</si>
  <si>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</si>
  <si>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</si>
  <si>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</si>
  <si>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</si>
  <si>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</si>
  <si>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</si>
  <si>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</si>
  <si>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</si>
  <si>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</si>
  <si>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</si>
  <si>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</si>
  <si>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</si>
  <si>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</si>
  <si>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</si>
  <si>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</si>
  <si>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</si>
  <si>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</si>
  <si>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</si>
  <si>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</si>
  <si>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</si>
  <si>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</si>
  <si>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</si>
  <si>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</si>
  <si>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</si>
  <si>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</si>
  <si>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</si>
  <si>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</si>
  <si>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</si>
  <si>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</si>
  <si>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</si>
  <si>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</si>
  <si>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</si>
  <si>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</si>
  <si>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</si>
  <si>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</si>
  <si>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</si>
  <si>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</si>
  <si>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</si>
  <si>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</si>
  <si>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</si>
  <si>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</si>
  <si>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</si>
  <si>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</si>
  <si>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</si>
  <si>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</si>
  <si>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</si>
  <si>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</si>
  <si>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</si>
  <si>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</si>
  <si>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</si>
  <si>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</si>
  <si>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</si>
  <si>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</si>
  <si>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</si>
  <si>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</si>
  <si>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</si>
  <si>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</si>
  <si>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</si>
  <si>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</si>
  <si>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</si>
  <si>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</si>
  <si>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</si>
  <si>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</si>
  <si>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</si>
  <si>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</si>
  <si>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</si>
  <si>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</si>
  <si>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</si>
  <si>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</si>
  <si>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</si>
  <si>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</si>
  <si>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</si>
  <si>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</si>
  <si>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</si>
  <si>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</si>
  <si>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</si>
  <si>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</si>
  <si>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</si>
  <si>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</si>
  <si>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</si>
  <si>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</si>
  <si>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</si>
  <si>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</si>
  <si>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</si>
  <si>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</si>
  <si>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</si>
  <si>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</si>
  <si>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</si>
  <si>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</si>
  <si>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</si>
  <si>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</si>
  <si>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</si>
  <si>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</si>
  <si>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</si>
  <si>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</si>
  <si>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</si>
  <si>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</si>
  <si>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</si>
  <si>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</si>
  <si>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</si>
  <si>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</si>
  <si>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</si>
  <si>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</si>
  <si>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</si>
  <si>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</si>
  <si>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</si>
  <si>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</si>
  <si>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</si>
  <si>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</si>
  <si>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</si>
  <si>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</si>
  <si>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</si>
  <si>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</si>
  <si>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</si>
  <si>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</si>
  <si>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</si>
  <si>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</si>
  <si>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</si>
  <si>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</si>
  <si>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</si>
  <si>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</si>
  <si>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</si>
  <si>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</si>
  <si>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</si>
  <si>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</si>
  <si>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</si>
  <si>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</si>
  <si>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</si>
  <si>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</si>
  <si>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</si>
  <si>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</si>
  <si>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</si>
  <si>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</si>
  <si>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</si>
  <si>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</si>
  <si>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</si>
  <si>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</si>
  <si>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</si>
  <si>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</si>
  <si>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</si>
  <si>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</si>
  <si>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</si>
  <si>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</si>
  <si>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TEMPLATE OIL/GAS/MINING/LAND -   RESOURCECONTRACTS.ORG and OPENLANDCONTRACTS.ORG</t>
  </si>
  <si>
    <t>Les metaux de base</t>
  </si>
  <si>
    <t>Préambule</t>
  </si>
  <si>
    <t>1 (middle)</t>
  </si>
  <si>
    <t>1 (top)</t>
  </si>
  <si>
    <t>Art. 2</t>
  </si>
  <si>
    <t>2 (top)</t>
  </si>
  <si>
    <t>Page de signatures</t>
  </si>
  <si>
    <t>13 (bottom)</t>
  </si>
  <si>
    <t>Le Ministre de l'Environnement, Conservation de la Nature et Tourisme</t>
  </si>
  <si>
    <t>José E.B. Endundo, Ministre de l'Environnement, Conservation de la Nature et Tourisme</t>
  </si>
  <si>
    <t>Arts. 3, 27</t>
  </si>
  <si>
    <t>Arts. 8, 27</t>
  </si>
  <si>
    <t>4 (top), 12 (middle)</t>
  </si>
  <si>
    <t>Art. 5</t>
  </si>
  <si>
    <t>3 (middle)</t>
  </si>
  <si>
    <t>Arts. 9(4), 17</t>
  </si>
  <si>
    <t>Art. 6</t>
  </si>
  <si>
    <t>Art. 19</t>
  </si>
  <si>
    <t>9 (bottom)</t>
  </si>
  <si>
    <t>Art. 10</t>
  </si>
  <si>
    <t>Arts. 9(3), 11, 11(6), 12, 14</t>
  </si>
  <si>
    <t>Art. 7</t>
  </si>
  <si>
    <t>Arts. 7, 26, 30</t>
  </si>
  <si>
    <t>Arts. 22, 23, 25</t>
  </si>
  <si>
    <t>10 (bottom), 11 (top), 12 (top)</t>
  </si>
  <si>
    <t>Si le Gouvernement constate la déchéance et procède à la résiliation du contrat par voie d'arrêté, l'arrêté est publié au journal officiel et une copie est transmise aux cadastres forestiers national et provincial concerne. Le présent contrat ainsi que le cahier des charges sont publiés au journal officiel, déposés au cadastre forestier national, notifiés aux autorités provinciales et locales du ressort, et rendus publics par tout moyen approprié dans les localités riveraines de la concession.</t>
  </si>
  <si>
    <t>Arts. 25, 31</t>
  </si>
  <si>
    <t>12 (top), 13 (middle)</t>
  </si>
  <si>
    <t>Maison NBK Service</t>
  </si>
  <si>
    <t>N° 3, Avenue du Port, 2e étage Immeuble NIOKI (ex-Forescom), Commune de la Gombe, Ville-Province de Kinshasa, en République Démocratique du Congo</t>
  </si>
  <si>
    <t>Victor Ngalamulume, Directeur Administratif</t>
  </si>
  <si>
    <t>2 (bottom), 12 (middle)</t>
  </si>
  <si>
    <t>A l'expiration du contrat de concession, ou un an avant la date d'expiration, Maison NBK Service peut demander le renouvellement du contrat dans les conditions déterminées par les règlements en vigueur et à condition que les obligations découlant du contrat et du cahier des charges aient été exécutées. Le renouvellement est cependant refusé par le Gouvernement en cas de violation de l'une des quelconques dispositions du contrat et notamment: (1) le non payement de la redevance de superficie et/ou de toutes autres taxes et redevances pertinents; (2) l'exploitation forestière illégale; (3) le commerce illégal des produits forestiers; (4) la violation des obligations sociales et environnementales et de celles relatives aux engagements d'investissements industriels imposées par le présent contrat en vertu des dispositions légales et règlementaires en vigueur; et (5) la corruption, le dol ou la violence ou leur tentative dûment constatés.</t>
  </si>
  <si>
    <t>Maison NBK Service est tenu de respecter les droits d'usage traditionnels des communautés locales et/ou peuples autochtones riverains de la concession tels que définis aux articles 36, 37 et 44 du code forestier. Il lui est interdit de créer toute entrave à l'exercice par les communautés locales et/ou peuples autochtones riverains des droits d'usage forestiers ainsi reconnus.</t>
  </si>
  <si>
    <t>Maison NBK Service bénéficie d'une servitude de passage sur les fonds riverains, destinée à favoriser l'accès à sa concession et l'évacuation de sa production. Il exerce cette servitude uniquement dans les limites de ce qui est strictement nécessaire à son droit de passage.</t>
  </si>
  <si>
    <t>2 (top), 14</t>
  </si>
  <si>
    <t>168.598 hectares</t>
  </si>
  <si>
    <t>4 (bottom), 5 (top), 9 (middle)</t>
  </si>
  <si>
    <t>Le cahier des charges</t>
  </si>
  <si>
    <t>1 (bottom)</t>
  </si>
  <si>
    <t>Arts. 7, 10, 10(2), 17</t>
  </si>
  <si>
    <t>3 (bottom), 6 (middle), 6 (bottom), 9 (middle)</t>
  </si>
  <si>
    <t>5 (middle)</t>
  </si>
  <si>
    <t>5 (middle), 5 (bottom)</t>
  </si>
  <si>
    <t>5 (top), 6 (bottom), 7 (top), 7 (middle), 7 (bottom), 8 (bottom)</t>
  </si>
  <si>
    <r>
      <rPr>
        <sz val="12"/>
        <color theme="0" tint="-0.34998626667073579"/>
        <rFont val="Calibri"/>
        <scheme val="minor"/>
      </rPr>
      <t>Maison NBK Service doit mettre en œuvre les mesures environnementales et de protection de la biodiversité inscrites au présent contrat, y compris les mesures convenues dans le plan de relance dans le cas d'une conversion ou dans la proposition technique dans le cas de l'adjudication selon les termes du cahier des charges. Maison NBK Service est tenu de respecter la législation en vigueur en matière de protection de l'environnement et de conservation de la diversité biologique. Maison NBK Service contribue, en particulier, sur toute l'étendue de sa concession, à la lutte contre les feux de brousse, le braconnage et l'exploitation illégale du bois. Maison NBK Service définit et met en œuvre des mesurés appropriées de contrôle pour minimiser, réduire ou compenser tant à l'intérieur de la concession que dans ses environs immédiats, tout impact négatif sur l'environnement, des travaux de réalisation d'infrastructures. Maison NBK Service est tenu de respecter la mise en réserve de certaines essences et toutes restrictions édictées par l'administration chargée des forêts dans le but de protéger la diversité biologique. Dès qu'il y a un risque d'altération importante de la couverture végétale ou d'altération du sol, le plan d'aménagement indique toutes essences confondues, un nombre maximum de pieds exploitables par assiette annuelle de coupe.</t>
    </r>
  </si>
  <si>
    <t>3 (middle), 12 (middle), 13 (top)</t>
  </si>
  <si>
    <r>
      <rPr>
        <sz val="12"/>
        <rFont val="Calibri"/>
        <family val="2"/>
        <scheme val="minor"/>
      </rPr>
      <t>En cas de différend sur le tracé des voies d'accès ou d'évacuation à la concession, Maison NBK Service fera appel aux mécanismes de règlement des différends définis aux articles 103 et 104 du code forestier. En cas de résiliation du contrat ou de déchéance, Maison NBK Service dispose des recours légaux devant les juridictions compétentes. Tout différend relatif à l'interprétation ou l'exécution du présent contrat de concession et du cahier des charges sera réglé à l'amiable. En cas d'échec, le litige sera soumis aux juridictions compétentes à moins que les parties conviennent de recourir à l'arbitrage prévu par les articles 159 à 174 du code de procédure civile.</t>
    </r>
  </si>
  <si>
    <t xml:space="preserve">Maison NBK Service a la faculté de renoncer au bénéfice de la concession avant l'expiration du contrat de concession forestière. En cas de non respect par Maison NBK Service de l'une des quelconques clauses du contrat et/ou du cahier des charges et après une mise en demeure assortie d'un délai ne dépassant pas 3 mois, le Gouvernement prescrit toutes mesures conservatoires destinées à assurer le respect des dispositions du présent contrat et du cahier des charges. Le contrat est résilié dans certains cas, y compris: (1) la commission de tout acte ou tentative d'acte de corruption, de dol ou de violence; ou (2) la violation répétée, après expiration des délais légaux mise en demeure, d'obligations sociales et environnementales découlant du présent contrat et du cahier des charges. L'état de cessation de paiement d'Maison NBK Service constitue une cause de déchéance et entraîne la résiliation du présent contrat. Le Gouvernement constate la déchéance et procède à la résiliation du contrat par voie d'arrêté. </t>
  </si>
  <si>
    <t>Secteur: Mwanza Ngoma, territoire: Demba, district: Lulua, province: Kasai Occidental.  La délimitation physique se décrit dans l'article 2(II).</t>
  </si>
  <si>
    <t>Art. 2; Carte d'occupation du sol</t>
  </si>
  <si>
    <t>Art. 9(6)</t>
  </si>
  <si>
    <t>Maison NBK Service 011_DRC</t>
  </si>
  <si>
    <t>25 ans renouvelables. Le contrat prend fin le 2/08/2036.</t>
  </si>
  <si>
    <t>Art. 29</t>
  </si>
  <si>
    <t>12 (bottom)</t>
  </si>
  <si>
    <t>Maison NBK Service s'engage à préparer et à soumettre pour approbation à l'administration chargée des forêts, dans une période maximum de 4 ans, le plan d'aménagement  conformément à la législation et à la réglementation en vigueur. Ce plan doit comprendre l'ensemble des obligations de Maison NBK Service  en vue de s'assurer une gestion durable de la forêt concédée. Dans l'intervalle qui sépare la signature du présent contrat et l'approbation du plan, Maison NBK Service ne peut exploiter la forêt concédée qu’en conformité avec un plan de gestion. Le plan de gestion, qui doit être approuvé en même temps que le contrat de concession et constitue l'ensemble des engagements de Maison NBK Service avant l'approbation du plan d'aménagement, indique la description des activités de protection de l'environnement et de la conservation de la biodiversité et notamment les mesures de réduction, d'atténuation et de compensation de tout impact négatif des activités du concessionnaire sur l'environnement.</t>
  </si>
  <si>
    <t xml:space="preserve">Maison NBK Service doit payer la redevance de superficie forestière et toutes autres taxes et redevances en vigueur liées a l'exploitation de la concession, dans les délais prescrits par la réglementation fiscale </t>
  </si>
  <si>
    <t>Le tracé de toute route ou de toute voie d'accès ou d'évacuation à partir du territoire de la concession doit être soumis à une consultation avec les communautés locales et/ou peuples autochtones riverains durant la préparation du plan d'aménagement. La préparation du plan de gestion et du plan d'aménagement de la concession donne lieu à une diffusion de toute documentation appropriée auprès des communautés locales et/ou des peuples autochtones riverains et à une consultation régulière avec eux sur les questions intéressant la concession et leurs droits. L'administration peut assister aux séances de consultations. Le plan de gestion indique le calendrier et les modalités de consultation avec les communautés locales et/ou peuples autochtones sur le contenu et les modalités de réalisation du plan socio-économique y compris les infrastructures en leur faveur pour la durée de la concession. Pendant la période de préparation du plan d'aménagement, Maison NBK Service doit consulter les communautés locales et/ou peuples autochtones riverains sur le plan socio-économique et les infrastructures qui feront l'objet du cahier des charges définitif qui sera annexé au plan d'aménagement.</t>
  </si>
  <si>
    <t>Maison NBK Service doit réaliser les infrastructures socio-économiques et des services sociaux au profit des communautés locales et/ou peuples autochtones riverains contenues dans: (1) le plan de relance dans le cadre d'une conversion; ou (2) dans la proposition technique dans le cas d'une adjudication et définies dans le cahier des charges. Maison NBK Service s'engage à mettre en œuvre un plan socio-économique, y compris les infrastructures socio-économiques et services sociaux, pour la période du plan d'aménagement.</t>
  </si>
  <si>
    <t>Aucune - Maison NBK Service est tenu au paiement régulier et dans les délais légaux des taxes et redevances forestières en vigueur et ne peut bénéficier d'aucune exonération</t>
  </si>
  <si>
    <t>A la fin de la concession, un bilan de clôture des comptes est dressé par Maison NBK Service dans un délai maximum de 6 mois à compter de la date d'expiration du présent contrat de concession</t>
  </si>
  <si>
    <t>Maison NBK Service doit réaliser les investissements, y compris l'acquisition des équipements prévus, la remise en état ou la modernisation de l'outil de transformation, ainsi que le recrutement du personnel nécessaire et autres activités prévues dans la proposition du plan de relance, dans le cas d' une concession ou dans la proposition technique dans le cas d'une adjudication, et écrits dans le cahier des charges</t>
  </si>
  <si>
    <t>Art. 9(5)</t>
  </si>
  <si>
    <t>5 (bottom)</t>
  </si>
  <si>
    <t>Maison NBK Service s'engage à préparer et à soumettre pour approbation à l'administration chargée des forêts, dans une période maximum de 4 ans, le plan d'aménagement. Dans l'intervalle qui sépare la signature du contrat de l'approbation du plan d'aménagement, Maison NBK Service exploite la forêt concédée en conformité avec un plan de gestion. Le plan de gestion constitue l'ensemble des engagements de Maison NBK Service avant l'approbation du plan d'aménagement.</t>
  </si>
  <si>
    <t>Contrat de concession forestière</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</si>
</sst>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2"/>
      <color theme="1"/>
      <name val="Calibri"/>
      <family val="2"/>
      <scheme val="minor"/>
    </font>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scheme val="minor"/>
    </font>
    <font>
      <sz val="12"/>
      <name val="Calibri"/>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scheme val="minor"/>
    </font>
    <font>
      <b/>
      <sz val="18"/>
      <color theme="1"/>
      <name val="Calibri"/>
      <scheme val="minor"/>
    </font>
    <font>
      <b/>
      <sz val="22"/>
      <color theme="1"/>
      <name val="Calibri"/>
      <scheme val="minor"/>
    </font>
    <font>
      <sz val="20"/>
      <color theme="1"/>
      <name val="Calibri"/>
      <scheme val="minor"/>
    </font>
    <font>
      <b/>
      <sz val="12"/>
      <color rgb="FFFF0000"/>
      <name val="Calibri"/>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scheme val="minor"/>
    </font>
    <font>
      <sz val="12"/>
      <name val="Calibri (Body)"/>
    </font>
    <font>
      <b/>
      <sz val="11"/>
      <name val="Calibri (Body)"/>
    </font>
    <font>
      <b/>
      <sz val="12"/>
      <color theme="1"/>
      <name val="Calibri"/>
      <family val="2"/>
      <scheme val="minor"/>
    </font>
  </fonts>
  <fills count="1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
      <patternFill patternType="solid">
        <fgColor rgb="FFFFFFFF"/>
        <bgColor rgb="FF000000"/>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277">
    <xf numFmtId="0" fontId="0" fillId="0" borderId="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cellStyleXfs>
  <cellXfs count="235">
    <xf numFmtId="0" fontId="0" fillId="0" borderId="0" xfId="0"/>
    <xf numFmtId="0" fontId="0" fillId="0" borderId="0" xfId="0" applyAlignment="1">
      <alignment wrapText="1"/>
    </xf>
    <xf numFmtId="49" fontId="3" fillId="0" borderId="0" xfId="0" applyNumberFormat="1" applyFont="1"/>
    <xf numFmtId="49" fontId="3" fillId="0" borderId="0" xfId="0" applyNumberFormat="1" applyFont="1" applyAlignment="1">
      <alignment wrapText="1"/>
    </xf>
    <xf numFmtId="0" fontId="0" fillId="2" borderId="3" xfId="0" applyFill="1" applyBorder="1"/>
    <xf numFmtId="49" fontId="3" fillId="0" borderId="4" xfId="0" applyNumberFormat="1" applyFont="1" applyBorder="1" applyAlignment="1">
      <alignment wrapText="1"/>
    </xf>
    <xf numFmtId="0" fontId="5" fillId="3" borderId="5" xfId="0" applyFont="1" applyFill="1" applyBorder="1" applyAlignment="1">
      <alignment horizontal="left" wrapText="1"/>
    </xf>
    <xf numFmtId="0" fontId="5" fillId="3" borderId="6" xfId="0" applyFont="1" applyFill="1" applyBorder="1" applyAlignment="1">
      <alignment horizontal="left" wrapText="1"/>
    </xf>
    <xf numFmtId="0" fontId="5" fillId="3" borderId="7" xfId="0" applyFont="1" applyFill="1" applyBorder="1" applyAlignment="1">
      <alignment horizontal="left" wrapText="1"/>
    </xf>
    <xf numFmtId="0" fontId="0" fillId="2" borderId="8" xfId="0" applyFill="1" applyBorder="1" applyAlignment="1"/>
    <xf numFmtId="0" fontId="6" fillId="2" borderId="9" xfId="0" applyFont="1" applyFill="1" applyBorder="1" applyAlignment="1">
      <alignment wrapText="1"/>
    </xf>
    <xf numFmtId="0" fontId="6" fillId="2" borderId="5" xfId="0" applyFont="1" applyFill="1" applyBorder="1"/>
    <xf numFmtId="0" fontId="6" fillId="2" borderId="7" xfId="0" applyFont="1" applyFill="1" applyBorder="1"/>
    <xf numFmtId="0" fontId="6" fillId="2" borderId="8" xfId="0" applyFont="1" applyFill="1" applyBorder="1" applyAlignment="1">
      <alignment wrapText="1"/>
    </xf>
    <xf numFmtId="0" fontId="3" fillId="2" borderId="0" xfId="0" applyFont="1" applyFill="1" applyAlignment="1">
      <alignment wrapText="1"/>
    </xf>
    <xf numFmtId="0" fontId="3" fillId="2" borderId="0" xfId="0" applyFont="1" applyFill="1"/>
    <xf numFmtId="0" fontId="3" fillId="2" borderId="3" xfId="0" applyFont="1" applyFill="1" applyBorder="1"/>
    <xf numFmtId="0" fontId="3" fillId="2" borderId="4" xfId="0" applyFont="1" applyFill="1" applyBorder="1" applyAlignment="1">
      <alignment wrapText="1"/>
    </xf>
    <xf numFmtId="0" fontId="3" fillId="3" borderId="6" xfId="0" applyFont="1" applyFill="1" applyBorder="1" applyAlignment="1">
      <alignment horizontal="left" wrapText="1"/>
    </xf>
    <xf numFmtId="0" fontId="3" fillId="3" borderId="7" xfId="0" applyFont="1" applyFill="1" applyBorder="1" applyAlignment="1">
      <alignment horizontal="left" wrapText="1"/>
    </xf>
    <xf numFmtId="0" fontId="3" fillId="3" borderId="10" xfId="0" applyFont="1" applyFill="1" applyBorder="1" applyAlignment="1">
      <alignment horizontal="left" wrapText="1"/>
    </xf>
    <xf numFmtId="0" fontId="3" fillId="3" borderId="5" xfId="0" applyFont="1" applyFill="1" applyBorder="1" applyAlignment="1">
      <alignment horizontal="left" wrapText="1"/>
    </xf>
    <xf numFmtId="0" fontId="6" fillId="2" borderId="5" xfId="0" applyFont="1" applyFill="1" applyBorder="1" applyAlignment="1">
      <alignment wrapText="1"/>
    </xf>
    <xf numFmtId="0" fontId="6" fillId="2" borderId="7" xfId="0" applyFont="1" applyFill="1" applyBorder="1" applyAlignment="1">
      <alignment wrapText="1"/>
    </xf>
    <xf numFmtId="0" fontId="3" fillId="2" borderId="9" xfId="0" applyFont="1" applyFill="1" applyBorder="1" applyAlignment="1"/>
    <xf numFmtId="0" fontId="3" fillId="2" borderId="8" xfId="0" applyFont="1" applyFill="1" applyBorder="1" applyAlignment="1"/>
    <xf numFmtId="0" fontId="3" fillId="3" borderId="9" xfId="0" applyFont="1" applyFill="1" applyBorder="1" applyAlignment="1">
      <alignment horizontal="left" wrapText="1"/>
    </xf>
    <xf numFmtId="0" fontId="6" fillId="2" borderId="9" xfId="0" applyFont="1" applyFill="1" applyBorder="1" applyAlignment="1">
      <alignment horizontal="left" wrapText="1"/>
    </xf>
    <xf numFmtId="0" fontId="6" fillId="2" borderId="9" xfId="0" applyFont="1" applyFill="1" applyBorder="1" applyAlignment="1">
      <alignment horizontal="left"/>
    </xf>
    <xf numFmtId="0" fontId="6" fillId="2" borderId="5" xfId="0" applyFont="1" applyFill="1" applyBorder="1" applyAlignment="1">
      <alignment horizontal="left"/>
    </xf>
    <xf numFmtId="0" fontId="6" fillId="2" borderId="7" xfId="0" applyFont="1" applyFill="1" applyBorder="1" applyAlignment="1">
      <alignment horizontal="left"/>
    </xf>
    <xf numFmtId="0" fontId="6" fillId="2" borderId="8" xfId="0" applyFont="1" applyFill="1" applyBorder="1" applyAlignment="1">
      <alignment horizontal="left" wrapText="1"/>
    </xf>
    <xf numFmtId="0" fontId="6" fillId="2" borderId="8" xfId="0" applyFont="1" applyFill="1" applyBorder="1"/>
    <xf numFmtId="0" fontId="6" fillId="2" borderId="0" xfId="0" applyFont="1" applyFill="1" applyAlignment="1">
      <alignment wrapText="1"/>
    </xf>
    <xf numFmtId="0" fontId="5" fillId="2" borderId="9" xfId="0" applyFont="1" applyFill="1" applyBorder="1" applyAlignment="1">
      <alignment wrapText="1"/>
    </xf>
    <xf numFmtId="0" fontId="3" fillId="2" borderId="8" xfId="0" applyFont="1" applyFill="1" applyBorder="1"/>
    <xf numFmtId="0" fontId="6" fillId="2" borderId="9" xfId="0" applyFont="1" applyFill="1" applyBorder="1" applyAlignment="1"/>
    <xf numFmtId="0" fontId="3" fillId="2" borderId="5" xfId="0" applyFont="1" applyFill="1" applyBorder="1" applyAlignment="1">
      <alignment horizontal="left" wrapText="1"/>
    </xf>
    <xf numFmtId="0" fontId="3" fillId="2" borderId="9" xfId="0" applyFont="1" applyFill="1" applyBorder="1" applyAlignment="1">
      <alignment wrapText="1"/>
    </xf>
    <xf numFmtId="0" fontId="6" fillId="2" borderId="0" xfId="0" applyFont="1" applyFill="1" applyAlignment="1"/>
    <xf numFmtId="0" fontId="5" fillId="2" borderId="5" xfId="0" applyFont="1" applyFill="1" applyBorder="1" applyAlignment="1">
      <alignment horizontal="left" wrapText="1"/>
    </xf>
    <xf numFmtId="0" fontId="6" fillId="2" borderId="0" xfId="0" applyFont="1" applyFill="1"/>
    <xf numFmtId="0" fontId="6" fillId="2" borderId="3" xfId="0" applyFont="1" applyFill="1" applyBorder="1"/>
    <xf numFmtId="0" fontId="6" fillId="2" borderId="4" xfId="0" applyFont="1" applyFill="1" applyBorder="1" applyAlignment="1">
      <alignment wrapText="1"/>
    </xf>
    <xf numFmtId="0" fontId="8" fillId="2" borderId="0" xfId="0" applyFont="1" applyFill="1" applyAlignment="1"/>
    <xf numFmtId="0" fontId="3" fillId="3" borderId="11" xfId="0" applyFont="1" applyFill="1" applyBorder="1" applyAlignment="1">
      <alignment horizontal="left" wrapText="1"/>
    </xf>
    <xf numFmtId="0" fontId="3" fillId="3" borderId="8" xfId="0" applyFont="1" applyFill="1" applyBorder="1" applyAlignment="1">
      <alignment horizontal="left" wrapText="1"/>
    </xf>
    <xf numFmtId="0" fontId="0" fillId="0" borderId="3" xfId="0" applyBorder="1"/>
    <xf numFmtId="0" fontId="0" fillId="0" borderId="4" xfId="0" applyBorder="1"/>
    <xf numFmtId="0" fontId="4" fillId="0" borderId="0" xfId="0" applyFont="1"/>
    <xf numFmtId="0" fontId="0" fillId="0" borderId="0" xfId="0" applyFont="1"/>
    <xf numFmtId="0" fontId="6" fillId="2" borderId="4" xfId="0" applyNumberFormat="1" applyFont="1" applyFill="1" applyBorder="1" applyAlignment="1">
      <alignment wrapText="1"/>
    </xf>
    <xf numFmtId="0" fontId="6" fillId="2" borderId="3" xfId="0" applyFont="1" applyFill="1" applyBorder="1" applyAlignment="1">
      <alignment horizontal="left"/>
    </xf>
    <xf numFmtId="0" fontId="6" fillId="2" borderId="4" xfId="0" applyNumberFormat="1" applyFont="1" applyFill="1" applyBorder="1" applyAlignment="1">
      <alignment horizontal="left" wrapText="1"/>
    </xf>
    <xf numFmtId="0" fontId="6" fillId="2" borderId="0" xfId="0" applyFont="1" applyFill="1" applyBorder="1" applyAlignment="1">
      <alignment horizontal="left"/>
    </xf>
    <xf numFmtId="0" fontId="6" fillId="2" borderId="5" xfId="0" applyFont="1" applyFill="1" applyBorder="1" applyAlignment="1">
      <alignment horizontal="left" wrapText="1"/>
    </xf>
    <xf numFmtId="0" fontId="11" fillId="0" borderId="9" xfId="0" applyFont="1" applyFill="1" applyBorder="1" applyAlignment="1">
      <alignment wrapText="1"/>
    </xf>
    <xf numFmtId="0" fontId="11" fillId="0" borderId="5" xfId="0" applyFont="1" applyFill="1" applyBorder="1" applyAlignment="1">
      <alignment wrapText="1"/>
    </xf>
    <xf numFmtId="0" fontId="11" fillId="0" borderId="3" xfId="0" applyFont="1" applyFill="1" applyBorder="1" applyAlignment="1">
      <alignment wrapText="1"/>
    </xf>
    <xf numFmtId="0" fontId="11" fillId="0" borderId="4" xfId="0" applyNumberFormat="1" applyFont="1" applyFill="1" applyBorder="1" applyAlignment="1">
      <alignment wrapText="1"/>
    </xf>
    <xf numFmtId="0" fontId="6"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6" fillId="2" borderId="6" xfId="0" applyFont="1" applyFill="1" applyBorder="1" applyAlignment="1">
      <alignment horizontal="left" wrapText="1"/>
    </xf>
    <xf numFmtId="0" fontId="6" fillId="2" borderId="6" xfId="0" applyFont="1" applyFill="1" applyBorder="1" applyAlignment="1">
      <alignment wrapText="1"/>
    </xf>
    <xf numFmtId="0" fontId="6" fillId="2" borderId="3" xfId="0" applyFont="1" applyFill="1" applyBorder="1" applyAlignment="1">
      <alignment horizontal="left" wrapText="1"/>
    </xf>
    <xf numFmtId="0" fontId="3" fillId="4" borderId="9" xfId="0" applyFont="1" applyFill="1" applyBorder="1" applyAlignment="1">
      <alignment wrapText="1"/>
    </xf>
    <xf numFmtId="0" fontId="3" fillId="4" borderId="5" xfId="0" applyFont="1" applyFill="1" applyBorder="1"/>
    <xf numFmtId="0" fontId="3" fillId="4" borderId="7" xfId="0" applyFont="1" applyFill="1" applyBorder="1"/>
    <xf numFmtId="0" fontId="3" fillId="4" borderId="8" xfId="0" applyFont="1" applyFill="1" applyBorder="1" applyAlignment="1">
      <alignment wrapText="1"/>
    </xf>
    <xf numFmtId="0" fontId="0" fillId="4" borderId="9" xfId="0" applyFont="1" applyFill="1" applyBorder="1" applyAlignment="1">
      <alignment wrapText="1"/>
    </xf>
    <xf numFmtId="0" fontId="7" fillId="4" borderId="9" xfId="0" applyFont="1" applyFill="1" applyBorder="1" applyAlignment="1">
      <alignment wrapText="1"/>
    </xf>
    <xf numFmtId="0" fontId="3" fillId="4" borderId="5" xfId="0" applyFont="1" applyFill="1" applyBorder="1" applyAlignment="1">
      <alignment wrapText="1"/>
    </xf>
    <xf numFmtId="0" fontId="3" fillId="4" borderId="7" xfId="0" applyFont="1" applyFill="1" applyBorder="1" applyAlignment="1">
      <alignment wrapText="1"/>
    </xf>
    <xf numFmtId="0" fontId="3" fillId="4" borderId="9" xfId="0" applyFont="1" applyFill="1" applyBorder="1" applyAlignment="1"/>
    <xf numFmtId="0" fontId="8" fillId="4" borderId="9" xfId="0" applyFont="1" applyFill="1" applyBorder="1" applyAlignment="1">
      <alignment wrapText="1"/>
    </xf>
    <xf numFmtId="0" fontId="8" fillId="4" borderId="5" xfId="0" applyFont="1" applyFill="1" applyBorder="1" applyAlignment="1">
      <alignment wrapText="1"/>
    </xf>
    <xf numFmtId="0" fontId="8" fillId="4" borderId="7" xfId="0" applyFont="1" applyFill="1" applyBorder="1" applyAlignment="1">
      <alignment wrapText="1"/>
    </xf>
    <xf numFmtId="0" fontId="8" fillId="4" borderId="8" xfId="0" applyFont="1" applyFill="1" applyBorder="1" applyAlignment="1">
      <alignment wrapText="1"/>
    </xf>
    <xf numFmtId="0" fontId="8" fillId="4" borderId="3" xfId="0" applyFont="1" applyFill="1" applyBorder="1" applyAlignment="1">
      <alignment wrapText="1"/>
    </xf>
    <xf numFmtId="0" fontId="8" fillId="4" borderId="4" xfId="0" applyNumberFormat="1" applyFont="1" applyFill="1" applyBorder="1" applyAlignment="1">
      <alignment wrapText="1"/>
    </xf>
    <xf numFmtId="0" fontId="8" fillId="4" borderId="0" xfId="0" applyFont="1" applyFill="1" applyBorder="1" applyAlignment="1">
      <alignment wrapText="1"/>
    </xf>
    <xf numFmtId="0" fontId="5" fillId="5" borderId="9" xfId="0" applyFont="1" applyFill="1" applyBorder="1" applyAlignment="1">
      <alignment horizontal="left" wrapText="1"/>
    </xf>
    <xf numFmtId="0" fontId="5" fillId="4" borderId="9" xfId="0" applyFont="1" applyFill="1" applyBorder="1" applyAlignment="1">
      <alignment horizontal="left"/>
    </xf>
    <xf numFmtId="0" fontId="5" fillId="4" borderId="9" xfId="0" applyFont="1" applyFill="1" applyBorder="1" applyAlignment="1">
      <alignment horizontal="left" wrapText="1"/>
    </xf>
    <xf numFmtId="0" fontId="3" fillId="4" borderId="5" xfId="0" applyFont="1" applyFill="1" applyBorder="1" applyAlignment="1">
      <alignment horizontal="left"/>
    </xf>
    <xf numFmtId="0" fontId="3" fillId="4" borderId="7" xfId="0" applyFont="1" applyFill="1" applyBorder="1" applyAlignment="1">
      <alignment horizontal="left"/>
    </xf>
    <xf numFmtId="0" fontId="3" fillId="4" borderId="8" xfId="0" applyFont="1" applyFill="1" applyBorder="1" applyAlignment="1">
      <alignment horizontal="left" wrapText="1"/>
    </xf>
    <xf numFmtId="0" fontId="8" fillId="4" borderId="9" xfId="0" applyFont="1" applyFill="1" applyBorder="1" applyAlignment="1">
      <alignment horizontal="left" wrapText="1"/>
    </xf>
    <xf numFmtId="0" fontId="8" fillId="4" borderId="5" xfId="0" applyFont="1" applyFill="1" applyBorder="1" applyAlignment="1">
      <alignment horizontal="left"/>
    </xf>
    <xf numFmtId="0" fontId="8" fillId="4" borderId="7" xfId="0" applyFont="1" applyFill="1" applyBorder="1" applyAlignment="1">
      <alignment horizontal="left"/>
    </xf>
    <xf numFmtId="0" fontId="8" fillId="4" borderId="8" xfId="0" applyFont="1" applyFill="1" applyBorder="1" applyAlignment="1">
      <alignment horizontal="left" wrapText="1"/>
    </xf>
    <xf numFmtId="0" fontId="5" fillId="4" borderId="9" xfId="0" applyFont="1" applyFill="1" applyBorder="1" applyAlignment="1">
      <alignment wrapText="1"/>
    </xf>
    <xf numFmtId="0" fontId="8" fillId="4" borderId="0" xfId="0" applyFont="1" applyFill="1" applyBorder="1" applyAlignment="1">
      <alignment horizontal="left" wrapText="1"/>
    </xf>
    <xf numFmtId="0" fontId="8" fillId="4" borderId="5" xfId="0" applyFont="1" applyFill="1" applyBorder="1" applyAlignment="1">
      <alignment horizontal="left" wrapText="1"/>
    </xf>
    <xf numFmtId="0" fontId="8" fillId="4" borderId="0" xfId="0" applyFont="1" applyFill="1" applyBorder="1" applyAlignment="1">
      <alignment horizontal="left"/>
    </xf>
    <xf numFmtId="0" fontId="8" fillId="4" borderId="3" xfId="0" applyFont="1" applyFill="1" applyBorder="1" applyAlignment="1">
      <alignment horizontal="left"/>
    </xf>
    <xf numFmtId="0" fontId="8" fillId="4" borderId="4" xfId="0" applyNumberFormat="1" applyFont="1" applyFill="1" applyBorder="1" applyAlignment="1">
      <alignment horizontal="left" wrapText="1"/>
    </xf>
    <xf numFmtId="0" fontId="5" fillId="4" borderId="9" xfId="0" applyFont="1" applyFill="1" applyBorder="1" applyAlignment="1"/>
    <xf numFmtId="0" fontId="8" fillId="4" borderId="9" xfId="0" applyFont="1" applyFill="1" applyBorder="1" applyAlignment="1"/>
    <xf numFmtId="0" fontId="6" fillId="4" borderId="0" xfId="0" applyFont="1" applyFill="1"/>
    <xf numFmtId="0" fontId="6" fillId="4" borderId="3" xfId="0" applyFont="1" applyFill="1" applyBorder="1"/>
    <xf numFmtId="0" fontId="6" fillId="4" borderId="4" xfId="0" applyNumberFormat="1" applyFont="1" applyFill="1" applyBorder="1" applyAlignment="1">
      <alignment wrapText="1"/>
    </xf>
    <xf numFmtId="0" fontId="5" fillId="6" borderId="9" xfId="0" applyFont="1" applyFill="1" applyBorder="1" applyAlignment="1">
      <alignment horizontal="left" wrapText="1"/>
    </xf>
    <xf numFmtId="0" fontId="8" fillId="7" borderId="9" xfId="0" applyFont="1" applyFill="1" applyBorder="1" applyAlignment="1">
      <alignment horizontal="left" wrapText="1"/>
    </xf>
    <xf numFmtId="0" fontId="8" fillId="7" borderId="5" xfId="0" applyFont="1" applyFill="1" applyBorder="1" applyAlignment="1">
      <alignment horizontal="left"/>
    </xf>
    <xf numFmtId="0" fontId="8" fillId="7" borderId="7" xfId="0" applyFont="1" applyFill="1" applyBorder="1" applyAlignment="1">
      <alignment horizontal="left"/>
    </xf>
    <xf numFmtId="0" fontId="8" fillId="7" borderId="8" xfId="0" applyFont="1" applyFill="1" applyBorder="1" applyAlignment="1">
      <alignment horizontal="left" wrapText="1"/>
    </xf>
    <xf numFmtId="0" fontId="6" fillId="2" borderId="3" xfId="0" applyFont="1" applyFill="1" applyBorder="1" applyAlignment="1">
      <alignment wrapText="1"/>
    </xf>
    <xf numFmtId="0" fontId="0" fillId="4" borderId="9" xfId="0" applyFill="1" applyBorder="1" applyAlignment="1">
      <alignment wrapText="1"/>
    </xf>
    <xf numFmtId="0" fontId="8" fillId="8" borderId="0" xfId="0" applyFont="1" applyFill="1" applyAlignment="1"/>
    <xf numFmtId="0" fontId="8" fillId="8" borderId="0" xfId="0" applyFont="1" applyFill="1" applyAlignment="1">
      <alignment wrapText="1"/>
    </xf>
    <xf numFmtId="0" fontId="8" fillId="8" borderId="5" xfId="0" applyFont="1" applyFill="1" applyBorder="1"/>
    <xf numFmtId="0" fontId="8" fillId="8" borderId="7" xfId="0" applyFont="1" applyFill="1" applyBorder="1"/>
    <xf numFmtId="0" fontId="8" fillId="8" borderId="8" xfId="0" applyFont="1" applyFill="1" applyBorder="1" applyAlignment="1">
      <alignment wrapText="1"/>
    </xf>
    <xf numFmtId="0" fontId="16" fillId="2" borderId="0" xfId="0" applyFont="1" applyFill="1" applyBorder="1" applyAlignment="1">
      <alignment horizontal="left" wrapText="1"/>
    </xf>
    <xf numFmtId="0" fontId="16" fillId="2" borderId="0" xfId="0" applyFont="1" applyFill="1" applyBorder="1" applyAlignment="1">
      <alignment wrapText="1"/>
    </xf>
    <xf numFmtId="0" fontId="16" fillId="2" borderId="0" xfId="0" applyFont="1" applyFill="1" applyBorder="1" applyAlignment="1">
      <alignment horizontal="left"/>
    </xf>
    <xf numFmtId="0" fontId="16" fillId="2" borderId="3" xfId="0" applyFont="1" applyFill="1" applyBorder="1" applyAlignment="1">
      <alignment horizontal="left"/>
    </xf>
    <xf numFmtId="0" fontId="16" fillId="2" borderId="4" xfId="0" applyNumberFormat="1" applyFont="1" applyFill="1" applyBorder="1" applyAlignment="1">
      <alignment horizontal="left" wrapText="1"/>
    </xf>
    <xf numFmtId="0" fontId="16" fillId="9" borderId="9" xfId="0" applyFont="1" applyFill="1" applyBorder="1" applyAlignment="1">
      <alignment horizontal="left" wrapText="1"/>
    </xf>
    <xf numFmtId="0" fontId="16" fillId="2" borderId="9" xfId="0" applyFont="1" applyFill="1" applyBorder="1" applyAlignment="1">
      <alignment wrapText="1"/>
    </xf>
    <xf numFmtId="0" fontId="16" fillId="2" borderId="5" xfId="0" applyFont="1" applyFill="1" applyBorder="1" applyAlignment="1">
      <alignment wrapText="1"/>
    </xf>
    <xf numFmtId="0" fontId="16" fillId="2" borderId="3" xfId="0" applyFont="1" applyFill="1" applyBorder="1" applyAlignment="1">
      <alignment wrapText="1"/>
    </xf>
    <xf numFmtId="0" fontId="16" fillId="2" borderId="4" xfId="0" applyNumberFormat="1" applyFont="1" applyFill="1" applyBorder="1" applyAlignment="1">
      <alignment wrapText="1"/>
    </xf>
    <xf numFmtId="0" fontId="16" fillId="2" borderId="9" xfId="0" applyFont="1" applyFill="1" applyBorder="1" applyAlignment="1">
      <alignment horizontal="left" wrapText="1"/>
    </xf>
    <xf numFmtId="0" fontId="16" fillId="2" borderId="5" xfId="0" applyFont="1" applyFill="1" applyBorder="1" applyAlignment="1">
      <alignment horizontal="left"/>
    </xf>
    <xf numFmtId="0" fontId="16" fillId="2" borderId="7" xfId="0" applyFont="1" applyFill="1" applyBorder="1" applyAlignment="1">
      <alignment horizontal="left"/>
    </xf>
    <xf numFmtId="0" fontId="16" fillId="2" borderId="8" xfId="0" applyFont="1" applyFill="1" applyBorder="1" applyAlignment="1">
      <alignment horizontal="left" wrapText="1"/>
    </xf>
    <xf numFmtId="0" fontId="8" fillId="10" borderId="9" xfId="0" applyFont="1" applyFill="1" applyBorder="1" applyAlignment="1">
      <alignment wrapText="1"/>
    </xf>
    <xf numFmtId="0" fontId="8" fillId="10" borderId="5" xfId="0" applyFont="1" applyFill="1" applyBorder="1" applyAlignment="1">
      <alignment wrapText="1"/>
    </xf>
    <xf numFmtId="0" fontId="8" fillId="10" borderId="3" xfId="0" applyFont="1" applyFill="1" applyBorder="1" applyAlignment="1">
      <alignment wrapText="1"/>
    </xf>
    <xf numFmtId="0" fontId="8" fillId="10" borderId="4" xfId="0" applyNumberFormat="1" applyFont="1" applyFill="1" applyBorder="1" applyAlignment="1">
      <alignment wrapText="1"/>
    </xf>
    <xf numFmtId="0" fontId="8" fillId="10" borderId="0" xfId="0" applyFont="1" applyFill="1" applyBorder="1" applyAlignment="1">
      <alignment horizontal="left" wrapText="1"/>
    </xf>
    <xf numFmtId="0" fontId="8" fillId="10" borderId="5" xfId="0" applyFont="1" applyFill="1" applyBorder="1" applyAlignment="1">
      <alignment horizontal="left" wrapText="1"/>
    </xf>
    <xf numFmtId="0" fontId="8" fillId="10" borderId="0" xfId="0" applyFont="1" applyFill="1" applyBorder="1" applyAlignment="1">
      <alignment horizontal="left"/>
    </xf>
    <xf numFmtId="0" fontId="8" fillId="10" borderId="3" xfId="0" applyFont="1" applyFill="1" applyBorder="1" applyAlignment="1">
      <alignment horizontal="left"/>
    </xf>
    <xf numFmtId="0" fontId="8" fillId="10" borderId="4" xfId="0" applyNumberFormat="1" applyFont="1" applyFill="1" applyBorder="1" applyAlignment="1">
      <alignment horizontal="left" wrapText="1"/>
    </xf>
    <xf numFmtId="0" fontId="16" fillId="2" borderId="5" xfId="0" applyFont="1" applyFill="1" applyBorder="1"/>
    <xf numFmtId="0" fontId="16" fillId="2" borderId="7" xfId="0" applyFont="1" applyFill="1" applyBorder="1"/>
    <xf numFmtId="0" fontId="16" fillId="2" borderId="8" xfId="0" applyFont="1" applyFill="1" applyBorder="1" applyAlignment="1">
      <alignment wrapText="1"/>
    </xf>
    <xf numFmtId="0" fontId="8" fillId="11" borderId="9" xfId="0" applyFont="1" applyFill="1" applyBorder="1" applyAlignment="1">
      <alignment horizontal="left" wrapText="1"/>
    </xf>
    <xf numFmtId="0" fontId="8" fillId="12" borderId="0" xfId="0" applyFont="1" applyFill="1" applyBorder="1" applyAlignment="1">
      <alignment wrapText="1"/>
    </xf>
    <xf numFmtId="0" fontId="8" fillId="12" borderId="9" xfId="0" applyFont="1" applyFill="1" applyBorder="1" applyAlignment="1">
      <alignment wrapText="1"/>
    </xf>
    <xf numFmtId="0" fontId="8" fillId="12" borderId="5" xfId="0" applyFont="1" applyFill="1" applyBorder="1" applyAlignment="1">
      <alignment wrapText="1"/>
    </xf>
    <xf numFmtId="0" fontId="8" fillId="12" borderId="3" xfId="0" applyFont="1" applyFill="1" applyBorder="1" applyAlignment="1">
      <alignment wrapText="1"/>
    </xf>
    <xf numFmtId="0" fontId="8"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5" fillId="3" borderId="6" xfId="0" applyFont="1" applyFill="1" applyBorder="1" applyAlignment="1">
      <alignment horizontal="left" wrapText="1"/>
    </xf>
    <xf numFmtId="0" fontId="2" fillId="4" borderId="9" xfId="0" applyFont="1" applyFill="1" applyBorder="1" applyAlignment="1">
      <alignment wrapText="1"/>
    </xf>
    <xf numFmtId="0" fontId="2" fillId="2" borderId="0" xfId="0" applyFont="1" applyFill="1" applyAlignment="1">
      <alignment wrapText="1"/>
    </xf>
    <xf numFmtId="0" fontId="2" fillId="3" borderId="6" xfId="0" applyFont="1" applyFill="1" applyBorder="1" applyAlignment="1">
      <alignment horizontal="left" wrapText="1"/>
    </xf>
    <xf numFmtId="0" fontId="18" fillId="4" borderId="9" xfId="0" applyFont="1" applyFill="1" applyBorder="1" applyAlignment="1">
      <alignment wrapText="1"/>
    </xf>
    <xf numFmtId="0" fontId="15" fillId="12" borderId="9" xfId="0" applyFont="1" applyFill="1" applyBorder="1" applyAlignment="1">
      <alignment wrapText="1"/>
    </xf>
    <xf numFmtId="0" fontId="2" fillId="4" borderId="9" xfId="0" applyFont="1" applyFill="1" applyBorder="1" applyAlignment="1">
      <alignment horizontal="left" wrapText="1"/>
    </xf>
    <xf numFmtId="0" fontId="8" fillId="4" borderId="0" xfId="0" applyFont="1" applyFill="1" applyAlignment="1">
      <alignment wrapText="1"/>
    </xf>
    <xf numFmtId="0" fontId="2" fillId="3" borderId="5" xfId="0" applyFont="1" applyFill="1" applyBorder="1" applyAlignment="1">
      <alignment horizontal="left" wrapText="1"/>
    </xf>
    <xf numFmtId="0" fontId="5" fillId="3" borderId="6" xfId="0" applyFont="1" applyFill="1" applyBorder="1" applyAlignment="1">
      <alignment horizontal="left" vertical="top" wrapText="1"/>
    </xf>
    <xf numFmtId="0" fontId="0" fillId="4" borderId="9" xfId="0" applyFont="1" applyFill="1" applyBorder="1" applyAlignment="1">
      <alignment vertical="top" wrapText="1"/>
    </xf>
    <xf numFmtId="0" fontId="6" fillId="2" borderId="9" xfId="0" applyFont="1" applyFill="1" applyBorder="1" applyAlignment="1">
      <alignment vertical="top" wrapText="1"/>
    </xf>
    <xf numFmtId="0" fontId="3" fillId="4" borderId="9" xfId="0" applyFont="1" applyFill="1" applyBorder="1" applyAlignment="1">
      <alignment vertical="top" wrapText="1"/>
    </xf>
    <xf numFmtId="0" fontId="3" fillId="2" borderId="0" xfId="0" applyFont="1" applyFill="1" applyAlignment="1">
      <alignment vertical="top" wrapText="1"/>
    </xf>
    <xf numFmtId="0" fontId="3" fillId="3" borderId="6" xfId="0" applyFont="1" applyFill="1" applyBorder="1" applyAlignment="1">
      <alignment horizontal="left" vertical="top" wrapText="1"/>
    </xf>
    <xf numFmtId="0" fontId="11" fillId="0" borderId="9" xfId="0" applyFont="1" applyFill="1" applyBorder="1" applyAlignment="1">
      <alignment vertical="top" wrapText="1"/>
    </xf>
    <xf numFmtId="0" fontId="16" fillId="2" borderId="0" xfId="0" applyFont="1" applyFill="1" applyBorder="1" applyAlignment="1">
      <alignment vertical="top" wrapText="1"/>
    </xf>
    <xf numFmtId="0" fontId="8" fillId="4" borderId="9" xfId="0" applyFont="1" applyFill="1" applyBorder="1" applyAlignment="1">
      <alignment vertical="top" wrapText="1"/>
    </xf>
    <xf numFmtId="0" fontId="8" fillId="10" borderId="9" xfId="0" applyFont="1" applyFill="1" applyBorder="1" applyAlignment="1">
      <alignment vertical="top" wrapText="1"/>
    </xf>
    <xf numFmtId="0" fontId="8" fillId="2" borderId="9" xfId="0" applyFont="1" applyFill="1" applyBorder="1" applyAlignment="1">
      <alignment vertical="top" wrapText="1"/>
    </xf>
    <xf numFmtId="0" fontId="8" fillId="4" borderId="0" xfId="0" applyFont="1" applyFill="1" applyBorder="1" applyAlignment="1">
      <alignment vertical="top" wrapText="1"/>
    </xf>
    <xf numFmtId="0" fontId="8" fillId="12" borderId="0" xfId="0" applyFont="1" applyFill="1" applyBorder="1" applyAlignment="1">
      <alignment vertical="top" wrapText="1"/>
    </xf>
    <xf numFmtId="0" fontId="0" fillId="4" borderId="9" xfId="0" applyFont="1" applyFill="1" applyBorder="1" applyAlignment="1">
      <alignment horizontal="left" vertical="top" wrapText="1"/>
    </xf>
    <xf numFmtId="0" fontId="3" fillId="4" borderId="9" xfId="0" applyFont="1" applyFill="1" applyBorder="1" applyAlignment="1">
      <alignment horizontal="left" vertical="top" wrapText="1"/>
    </xf>
    <xf numFmtId="0" fontId="8" fillId="7" borderId="9" xfId="0" applyFont="1" applyFill="1" applyBorder="1" applyAlignment="1">
      <alignment horizontal="left" vertical="top" wrapText="1"/>
    </xf>
    <xf numFmtId="0" fontId="6" fillId="2" borderId="9" xfId="0" applyFont="1" applyFill="1" applyBorder="1" applyAlignment="1">
      <alignment horizontal="left" vertical="top" wrapText="1"/>
    </xf>
    <xf numFmtId="0" fontId="8" fillId="2" borderId="9" xfId="0" applyFont="1" applyFill="1" applyBorder="1" applyAlignment="1">
      <alignment horizontal="left" vertical="top" wrapText="1"/>
    </xf>
    <xf numFmtId="0" fontId="6" fillId="2" borderId="0" xfId="0" applyFont="1" applyFill="1" applyBorder="1" applyAlignment="1">
      <alignment vertical="top" wrapText="1"/>
    </xf>
    <xf numFmtId="0" fontId="3" fillId="2" borderId="9" xfId="0" applyFont="1" applyFill="1" applyBorder="1" applyAlignment="1">
      <alignment vertical="top" wrapText="1"/>
    </xf>
    <xf numFmtId="0" fontId="16" fillId="2" borderId="9" xfId="0" applyFont="1" applyFill="1" applyBorder="1" applyAlignment="1">
      <alignment vertical="top" wrapText="1"/>
    </xf>
    <xf numFmtId="0" fontId="3" fillId="2" borderId="6" xfId="0" applyFont="1" applyFill="1" applyBorder="1" applyAlignment="1">
      <alignment vertical="top" wrapText="1"/>
    </xf>
    <xf numFmtId="0" fontId="6" fillId="2" borderId="6" xfId="0" applyFont="1" applyFill="1" applyBorder="1" applyAlignment="1">
      <alignment vertical="top" wrapText="1"/>
    </xf>
    <xf numFmtId="0" fontId="15" fillId="2" borderId="9" xfId="0" applyFont="1" applyFill="1" applyBorder="1" applyAlignment="1">
      <alignment vertical="top" wrapText="1"/>
    </xf>
    <xf numFmtId="0" fontId="6" fillId="4" borderId="0" xfId="0" applyFont="1" applyFill="1" applyAlignment="1">
      <alignment vertical="top" wrapText="1"/>
    </xf>
    <xf numFmtId="0" fontId="3" fillId="3" borderId="5" xfId="0" applyFont="1" applyFill="1" applyBorder="1" applyAlignment="1">
      <alignment horizontal="left" vertical="top" wrapText="1"/>
    </xf>
    <xf numFmtId="0" fontId="6" fillId="2" borderId="0" xfId="0" applyFont="1" applyFill="1" applyAlignment="1">
      <alignment vertical="top" wrapText="1"/>
    </xf>
    <xf numFmtId="9" fontId="6" fillId="2" borderId="9" xfId="0" applyNumberFormat="1" applyFont="1" applyFill="1" applyBorder="1" applyAlignment="1">
      <alignment horizontal="left" vertical="top" wrapText="1"/>
    </xf>
    <xf numFmtId="0" fontId="6" fillId="2" borderId="0" xfId="0" applyFont="1" applyFill="1" applyAlignment="1">
      <alignment horizontal="left" vertical="top" wrapText="1"/>
    </xf>
    <xf numFmtId="0" fontId="3" fillId="2" borderId="0" xfId="0" applyFont="1" applyFill="1" applyAlignment="1">
      <alignment horizontal="left" vertical="top" wrapText="1"/>
    </xf>
    <xf numFmtId="0" fontId="2" fillId="2" borderId="9" xfId="0" applyFont="1" applyFill="1" applyBorder="1" applyAlignment="1">
      <alignment wrapText="1"/>
    </xf>
    <xf numFmtId="0" fontId="6" fillId="2" borderId="0" xfId="0" applyFont="1" applyFill="1" applyBorder="1" applyAlignment="1">
      <alignment horizontal="left" wrapText="1"/>
    </xf>
    <xf numFmtId="0" fontId="0" fillId="2" borderId="9" xfId="0" applyFont="1" applyFill="1" applyBorder="1" applyAlignment="1">
      <alignment vertical="top" wrapText="1"/>
    </xf>
    <xf numFmtId="0" fontId="15" fillId="13" borderId="0" xfId="0" applyFont="1" applyFill="1" applyAlignment="1">
      <alignment wrapText="1"/>
    </xf>
    <xf numFmtId="0" fontId="19" fillId="2" borderId="9" xfId="0" applyFont="1" applyFill="1" applyBorder="1" applyAlignment="1">
      <alignment wrapText="1"/>
    </xf>
    <xf numFmtId="0" fontId="0" fillId="2" borderId="0" xfId="0" applyFont="1" applyFill="1" applyAlignment="1">
      <alignment wrapText="1"/>
    </xf>
    <xf numFmtId="0" fontId="8" fillId="2" borderId="0" xfId="0" applyFont="1" applyFill="1" applyAlignment="1">
      <alignment vertical="top" wrapText="1"/>
    </xf>
    <xf numFmtId="0" fontId="8" fillId="2" borderId="0" xfId="0" applyFont="1" applyFill="1" applyAlignment="1">
      <alignment wrapText="1"/>
    </xf>
    <xf numFmtId="0" fontId="8" fillId="4" borderId="9" xfId="0" applyFont="1" applyFill="1" applyBorder="1" applyAlignment="1">
      <alignment horizontal="left" vertical="top" wrapText="1"/>
    </xf>
    <xf numFmtId="0" fontId="8" fillId="5" borderId="12" xfId="0" applyFont="1" applyFill="1" applyBorder="1" applyAlignment="1">
      <alignment wrapText="1"/>
    </xf>
    <xf numFmtId="0" fontId="0" fillId="4" borderId="5" xfId="0" applyFont="1" applyFill="1" applyBorder="1"/>
    <xf numFmtId="0" fontId="3"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5" fillId="0" borderId="0" xfId="0" applyFont="1" applyAlignment="1">
      <alignment wrapText="1"/>
    </xf>
    <xf numFmtId="0" fontId="7" fillId="0" borderId="0" xfId="0" applyFont="1" applyFill="1" applyBorder="1" applyAlignment="1">
      <alignment wrapText="1"/>
    </xf>
    <xf numFmtId="14" fontId="0" fillId="4" borderId="9" xfId="0" applyNumberFormat="1" applyFont="1" applyFill="1" applyBorder="1" applyAlignment="1">
      <alignment vertical="top" wrapText="1"/>
    </xf>
    <xf numFmtId="0" fontId="20" fillId="0" borderId="0" xfId="0" applyFont="1" applyFill="1" applyBorder="1" applyAlignment="1"/>
    <xf numFmtId="0" fontId="20" fillId="0" borderId="0" xfId="0" applyFont="1" applyFill="1" applyBorder="1" applyAlignment="1">
      <alignment wrapText="1"/>
    </xf>
    <xf numFmtId="0" fontId="21" fillId="0" borderId="0" xfId="0" applyFont="1"/>
    <xf numFmtId="0" fontId="20" fillId="0" borderId="0" xfId="0" applyFont="1"/>
    <xf numFmtId="0" fontId="20" fillId="0" borderId="0" xfId="0" applyFont="1" applyAlignment="1">
      <alignment wrapText="1"/>
    </xf>
    <xf numFmtId="0" fontId="5" fillId="0" borderId="0" xfId="0" applyFont="1"/>
    <xf numFmtId="0" fontId="0" fillId="0" borderId="0" xfId="0" applyFill="1" applyAlignment="1">
      <alignment wrapText="1"/>
    </xf>
    <xf numFmtId="0" fontId="13" fillId="0" borderId="0" xfId="0" applyFont="1" applyAlignment="1"/>
    <xf numFmtId="0" fontId="22" fillId="0" borderId="0" xfId="0" applyFont="1"/>
    <xf numFmtId="0" fontId="18" fillId="4" borderId="9" xfId="0" applyFont="1" applyFill="1" applyBorder="1" applyAlignment="1">
      <alignment vertical="top" wrapText="1"/>
    </xf>
    <xf numFmtId="0" fontId="18" fillId="2" borderId="9" xfId="0" applyFont="1" applyFill="1" applyBorder="1" applyAlignment="1">
      <alignment wrapText="1"/>
    </xf>
    <xf numFmtId="0" fontId="18" fillId="2" borderId="0" xfId="0" applyFont="1" applyFill="1" applyBorder="1" applyAlignment="1">
      <alignment wrapText="1"/>
    </xf>
    <xf numFmtId="0" fontId="18" fillId="2" borderId="0" xfId="0" applyFont="1" applyFill="1" applyBorder="1" applyAlignment="1">
      <alignment vertical="top" wrapText="1"/>
    </xf>
    <xf numFmtId="0" fontId="6" fillId="14" borderId="12" xfId="0" applyFont="1" applyFill="1" applyBorder="1" applyAlignment="1">
      <alignment wrapText="1"/>
    </xf>
    <xf numFmtId="0" fontId="1" fillId="4" borderId="9" xfId="0" applyFont="1" applyFill="1" applyBorder="1" applyAlignment="1">
      <alignment wrapText="1"/>
    </xf>
    <xf numFmtId="0" fontId="18" fillId="4" borderId="9" xfId="0" applyFont="1" applyFill="1" applyBorder="1" applyAlignment="1">
      <alignment vertical="center" wrapText="1"/>
    </xf>
    <xf numFmtId="0" fontId="18" fillId="2" borderId="0" xfId="0" applyFont="1" applyFill="1" applyBorder="1" applyAlignment="1">
      <alignment horizontal="left" wrapText="1"/>
    </xf>
    <xf numFmtId="0" fontId="18" fillId="2" borderId="9" xfId="0" applyFont="1" applyFill="1" applyBorder="1" applyAlignment="1">
      <alignment vertical="top" wrapText="1"/>
    </xf>
    <xf numFmtId="0" fontId="18" fillId="4" borderId="9" xfId="0" applyFont="1" applyFill="1" applyBorder="1" applyAlignment="1">
      <alignment horizontal="left" vertical="top" wrapText="1"/>
    </xf>
    <xf numFmtId="0" fontId="8" fillId="8" borderId="9" xfId="0" applyFont="1" applyFill="1" applyBorder="1" applyAlignment="1">
      <alignment wrapText="1"/>
    </xf>
    <xf numFmtId="0" fontId="8" fillId="4" borderId="9" xfId="0" applyFont="1" applyFill="1" applyBorder="1" applyAlignment="1">
      <alignment horizontal="left" vertical="center" wrapText="1"/>
    </xf>
    <xf numFmtId="0" fontId="8" fillId="4" borderId="9" xfId="0" applyFont="1" applyFill="1" applyBorder="1" applyAlignment="1">
      <alignment vertical="center" wrapText="1"/>
    </xf>
    <xf numFmtId="0" fontId="8" fillId="2" borderId="9" xfId="0" applyFont="1" applyFill="1" applyBorder="1" applyAlignment="1">
      <alignment horizontal="left" wrapText="1"/>
    </xf>
    <xf numFmtId="0" fontId="12" fillId="0" borderId="0" xfId="0" applyFont="1" applyAlignment="1">
      <alignment horizontal="center" wrapText="1"/>
    </xf>
    <xf numFmtId="0" fontId="4" fillId="2" borderId="1" xfId="0" applyFont="1" applyFill="1" applyBorder="1" applyAlignment="1">
      <alignment horizontal="center"/>
    </xf>
    <xf numFmtId="0" fontId="4" fillId="2" borderId="2" xfId="0" applyFont="1" applyFill="1" applyBorder="1" applyAlignment="1">
      <alignment horizontal="center"/>
    </xf>
    <xf numFmtId="17" fontId="14" fillId="0" borderId="0" xfId="0" applyNumberFormat="1" applyFont="1" applyAlignment="1">
      <alignment horizontal="right" wrapText="1"/>
    </xf>
    <xf numFmtId="0" fontId="14" fillId="0" borderId="0" xfId="0" applyFont="1" applyAlignment="1">
      <alignment horizontal="right" wrapText="1"/>
    </xf>
    <xf numFmtId="0" fontId="0" fillId="0" borderId="0" xfId="0" applyAlignment="1">
      <alignment horizontal="center"/>
    </xf>
  </cellXfs>
  <cellStyles count="27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2</xdr:col>
      <xdr:colOff>1514174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1980196</xdr:colOff>
      <xdr:row>1</xdr:row>
      <xdr:rowOff>240653</xdr:rowOff>
    </xdr:from>
    <xdr:to>
      <xdr:col>2</xdr:col>
      <xdr:colOff>5094482</xdr:colOff>
      <xdr:row>5</xdr:row>
      <xdr:rowOff>91515</xdr:rowOff>
    </xdr:to>
    <xdr:pic>
      <xdr:nvPicPr>
        <xdr:cNvPr id="7" name="Picture 6"/>
        <xdr:cNvPicPr>
          <a:picLocks noChangeAspect="1"/>
        </xdr:cNvPicPr>
      </xdr:nvPicPr>
      <xdr:blipFill>
        <a:blip xmlns:r="http://schemas.openxmlformats.org/officeDocument/2006/relationships" r:embed="rId3"/>
        <a:stretch>
          <a:fillRect/>
        </a:stretch>
      </xdr:blipFill>
      <xdr:spPr>
        <a:xfrm>
          <a:off x="7940729" y="435386"/>
          <a:ext cx="3114286" cy="816062"/>
        </a:xfrm>
        <a:prstGeom prst="rect">
          <a:avLst/>
        </a:prstGeom>
      </xdr:spPr>
    </xdr:pic>
    <xdr:clientData/>
  </xdr:twoCellAnchor>
</xdr:wsDr>
</file>

<file path=xl/tables/table1.xml><?xml version="1.0" encoding="utf-8"?>
<table xmlns="http://schemas.openxmlformats.org/spreadsheetml/2006/main" id="1" name="Table1" displayName="Table1" ref="A17:H144"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51"/>
  <sheetViews>
    <sheetView showGridLines="0" tabSelected="1" topLeftCell="B34" workbookViewId="0">
      <selection activeCell="C43" sqref="C43"/>
    </sheetView>
  </sheetViews>
  <sheetFormatPr baseColWidth="10" defaultColWidth="8.6640625" defaultRowHeight="15" x14ac:dyDescent="0"/>
  <cols>
    <col min="1" max="1" width="52.5" style="1" customWidth="1"/>
    <col min="2" max="2" width="25.6640625" style="1" customWidth="1"/>
    <col min="3" max="3" width="68.5" style="1" customWidth="1"/>
    <col min="4" max="4" width="13.5" style="1" customWidth="1"/>
    <col min="6" max="6" width="19.83203125" customWidth="1"/>
    <col min="7" max="7" width="31.1640625" style="47" customWidth="1"/>
    <col min="8" max="8" width="17.33203125" style="48" customWidth="1"/>
  </cols>
  <sheetData>
    <row r="2" spans="1:8" ht="30" customHeight="1"/>
    <row r="10" spans="1:8" ht="28" customHeight="1">
      <c r="A10" s="213" t="s">
        <v>839</v>
      </c>
      <c r="B10" s="213"/>
      <c r="C10" s="212"/>
    </row>
    <row r="12" spans="1:8" ht="25">
      <c r="C12" s="232">
        <v>42125</v>
      </c>
      <c r="D12" s="233"/>
    </row>
    <row r="16" spans="1:8" ht="30" customHeight="1">
      <c r="B16" s="229" t="s">
        <v>892</v>
      </c>
      <c r="C16" s="229"/>
      <c r="G16" s="230" t="s">
        <v>0</v>
      </c>
      <c r="H16" s="231"/>
    </row>
    <row r="17" spans="1:8" ht="30">
      <c r="A17" s="2" t="s">
        <v>1</v>
      </c>
      <c r="B17" s="2" t="s">
        <v>2</v>
      </c>
      <c r="C17" s="202" t="s">
        <v>243</v>
      </c>
      <c r="D17" s="3" t="s">
        <v>3</v>
      </c>
      <c r="E17" s="202" t="s">
        <v>244</v>
      </c>
      <c r="F17" s="2" t="s">
        <v>4</v>
      </c>
      <c r="G17" s="4" t="s">
        <v>5</v>
      </c>
      <c r="H17" s="5" t="s">
        <v>6</v>
      </c>
    </row>
    <row r="18" spans="1:8" ht="30">
      <c r="A18" s="6" t="s">
        <v>7</v>
      </c>
      <c r="B18" s="7" t="s">
        <v>8</v>
      </c>
      <c r="C18" s="159"/>
      <c r="D18" s="150"/>
      <c r="E18" s="7"/>
      <c r="F18" s="7"/>
      <c r="G18" s="8" t="str">
        <f>IF(OR(Table1[[#This Row],[English]]&lt;&gt;"",Table1[[#This Row],[Français]]&lt;&gt;""),Table1[[#This Row],[Français]]&amp;"//"&amp;Table1[[#This Row],[English]],"")</f>
        <v>I. Information générale sur le projet //General information</v>
      </c>
      <c r="H18" s="9" t="str">
        <f t="shared" ref="H18:H95" si="0">IF(C18&lt;&gt;"",IF(D18&lt;&gt;"",C18&amp;"--"&amp;D18,C18),"")</f>
        <v/>
      </c>
    </row>
    <row r="19" spans="1:8" ht="31" customHeight="1">
      <c r="A19" s="66" t="s">
        <v>9</v>
      </c>
      <c r="B19" s="66" t="s">
        <v>10</v>
      </c>
      <c r="C19" s="160" t="s">
        <v>345</v>
      </c>
      <c r="D19" s="70"/>
      <c r="E19" s="70"/>
      <c r="F19" s="67"/>
      <c r="G19" s="68" t="str">
        <f>IF(OR(Table1[[#This Row],[English]]&lt;&gt;"",Table1[[#This Row],[Français]]&lt;&gt;""),Table1[[#This Row],[Français]]&amp;"//"&amp;Table1[[#This Row],[English]],"")</f>
        <v>Pays//Country</v>
      </c>
      <c r="H19" s="69" t="str">
        <f t="shared" si="0"/>
        <v>Congo (Kinshasa)</v>
      </c>
    </row>
    <row r="20" spans="1:8" ht="30">
      <c r="A20" s="66" t="s">
        <v>11</v>
      </c>
      <c r="B20" s="70" t="s">
        <v>12</v>
      </c>
      <c r="C20" s="75" t="s">
        <v>868</v>
      </c>
      <c r="D20" s="75" t="s">
        <v>841</v>
      </c>
      <c r="E20" s="75" t="s">
        <v>842</v>
      </c>
      <c r="F20" s="67"/>
      <c r="G20" s="68" t="str">
        <f>IF(OR(Table1[[#This Row],[English]]&lt;&gt;"",Table1[[#This Row],[Français]]&lt;&gt;""),Table1[[#This Row],[Français]]&amp;"//"&amp;Table1[[#This Row],[English]],"")</f>
        <v>Nom de la société locale//Local company name</v>
      </c>
      <c r="H20" s="69" t="str">
        <f t="shared" si="0"/>
        <v>Maison NBK Service--Préambule</v>
      </c>
    </row>
    <row r="21" spans="1:8">
      <c r="A21" s="70" t="s">
        <v>241</v>
      </c>
      <c r="B21" s="70" t="s">
        <v>242</v>
      </c>
      <c r="C21" s="215"/>
      <c r="D21" s="154"/>
      <c r="E21" s="154"/>
      <c r="F21" s="199"/>
      <c r="G21" s="16" t="str">
        <f>IF(OR(Table1[[#This Row],[English]]&lt;&gt;"",Table1[[#This Row],[Français]]&lt;&gt;""),Table1[[#This Row],[Français]]&amp;"//"&amp;Table1[[#This Row],[English]],"")</f>
        <v>Numéro d'entreprise légal//Legal Enterprise Identifier</v>
      </c>
      <c r="H21" s="200" t="str">
        <f>IF(C21&lt;&gt;"",IF(D21&lt;&gt;"",C21&amp;"--"&amp;D21,C21),"")</f>
        <v/>
      </c>
    </row>
    <row r="22" spans="1:8" ht="165">
      <c r="A22" s="10" t="s">
        <v>13</v>
      </c>
      <c r="B22" s="10" t="s">
        <v>14</v>
      </c>
      <c r="C22" s="10" t="s">
        <v>869</v>
      </c>
      <c r="D22" s="10" t="s">
        <v>841</v>
      </c>
      <c r="E22" s="10" t="s">
        <v>842</v>
      </c>
      <c r="F22" s="11"/>
      <c r="G22" s="12" t="str">
        <f>IF(OR(Table1[[#This Row],[English]]&lt;&gt;"",Table1[[#This Row],[Français]]&lt;&gt;""),Table1[[#This Row],[Français]]&amp;"//"&amp;Table1[[#This Row],[English]],"")</f>
        <v xml:space="preserve">Siège social //Corporate headquarters </v>
      </c>
      <c r="H22" s="13" t="str">
        <f t="shared" si="0"/>
        <v>N° 3, Avenue du Port, 2e étage Immeuble NIOKI (ex-Forescom), Commune de la Gombe, Ville-Province de Kinshasa, en République Démocratique du Congo--Préambule</v>
      </c>
    </row>
    <row r="23" spans="1:8">
      <c r="A23" s="10" t="s">
        <v>15</v>
      </c>
      <c r="B23" s="10" t="s">
        <v>16</v>
      </c>
      <c r="C23" s="161"/>
      <c r="D23" s="10"/>
      <c r="E23" s="10"/>
      <c r="F23" s="11"/>
      <c r="G23" s="12" t="str">
        <f>IF(OR(Table1[[#This Row],[English]]&lt;&gt;"",Table1[[#This Row],[Français]]&lt;&gt;""),Table1[[#This Row],[Français]]&amp;"//"&amp;Table1[[#This Row],[English]],"")</f>
        <v>Structure du Capital//Company structure</v>
      </c>
      <c r="H23" s="13" t="str">
        <f t="shared" si="0"/>
        <v/>
      </c>
    </row>
    <row r="24" spans="1:8" ht="33.75" customHeight="1">
      <c r="A24" s="66" t="s">
        <v>17</v>
      </c>
      <c r="B24" s="70" t="s">
        <v>193</v>
      </c>
      <c r="C24" s="160"/>
      <c r="D24" s="70"/>
      <c r="E24" s="70"/>
      <c r="F24" s="67"/>
      <c r="G24" s="68"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69" t="str">
        <f t="shared" si="0"/>
        <v/>
      </c>
    </row>
    <row r="25" spans="1:8">
      <c r="A25" s="70" t="s">
        <v>241</v>
      </c>
      <c r="B25" s="70" t="s">
        <v>242</v>
      </c>
      <c r="C25" s="160"/>
      <c r="D25" s="70"/>
      <c r="E25" s="70"/>
      <c r="F25" s="199"/>
      <c r="G25" s="16" t="str">
        <f>IF(OR(Table1[[#This Row],[English]]&lt;&gt;"",Table1[[#This Row],[Français]]&lt;&gt;""),Table1[[#This Row],[Français]]&amp;"//"&amp;Table1[[#This Row],[English]],"")</f>
        <v>Numéro d'entreprise légal//Legal Enterprise Identifier</v>
      </c>
      <c r="H25" s="200" t="str">
        <f>IF(C25&lt;&gt;"",IF(D25&lt;&gt;"",C25&amp;"--"&amp;D25,C25),"")</f>
        <v/>
      </c>
    </row>
    <row r="26" spans="1:8">
      <c r="A26" s="66" t="s">
        <v>18</v>
      </c>
      <c r="B26" s="66" t="s">
        <v>19</v>
      </c>
      <c r="C26" s="162"/>
      <c r="D26" s="151"/>
      <c r="E26" s="151"/>
      <c r="F26" s="67"/>
      <c r="G26" s="68" t="str">
        <f>IF(OR(Table1[[#This Row],[English]]&lt;&gt;"",Table1[[#This Row],[Français]]&lt;&gt;""),Table1[[#This Row],[Français]]&amp;"//"&amp;Table1[[#This Row],[English]],"")</f>
        <v>Site web de l’entreprise//Company website</v>
      </c>
      <c r="H26" s="69" t="str">
        <f t="shared" si="0"/>
        <v/>
      </c>
    </row>
    <row r="27" spans="1:8" ht="75">
      <c r="A27" s="70" t="s">
        <v>204</v>
      </c>
      <c r="B27" s="71" t="s">
        <v>20</v>
      </c>
      <c r="C27" s="160" t="s">
        <v>770</v>
      </c>
      <c r="D27" s="75" t="s">
        <v>841</v>
      </c>
      <c r="E27" s="75" t="s">
        <v>843</v>
      </c>
      <c r="F27" s="67"/>
      <c r="G27" s="68"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69" t="str">
        <f t="shared" si="0"/>
        <v>Contrat de Concession Forestière--Préambule</v>
      </c>
    </row>
    <row r="28" spans="1:8">
      <c r="A28" s="66" t="s">
        <v>21</v>
      </c>
      <c r="B28" s="66" t="s">
        <v>22</v>
      </c>
      <c r="C28" s="162"/>
      <c r="D28" s="151"/>
      <c r="E28" s="151"/>
      <c r="F28" s="67"/>
      <c r="G28" s="68" t="str">
        <f>IF(OR(Table1[[#This Row],[English]]&lt;&gt;"",Table1[[#This Row],[Français]]&lt;&gt;""),Table1[[#This Row],[Français]]&amp;"//"&amp;Table1[[#This Row],[English]],"")</f>
        <v>Nom du projet//Project title</v>
      </c>
      <c r="H28" s="69" t="str">
        <f t="shared" si="0"/>
        <v/>
      </c>
    </row>
    <row r="29" spans="1:8" ht="30">
      <c r="A29" s="70" t="s">
        <v>201</v>
      </c>
      <c r="B29" s="71" t="s">
        <v>23</v>
      </c>
      <c r="C29" s="160"/>
      <c r="D29" s="70"/>
      <c r="E29" s="70"/>
      <c r="F29" s="67"/>
      <c r="G29" s="68" t="str">
        <f>IF(OR(Table1[[#This Row],[English]]&lt;&gt;"",Table1[[#This Row],[Français]]&lt;&gt;""),Table1[[#This Row],[Français]]&amp;"//"&amp;Table1[[#This Row],[English]],"")</f>
        <v>Nom du gisement/ champ de pétrole/ gas//Name and/or number of field, block or deposit</v>
      </c>
      <c r="H29" s="69" t="str">
        <f t="shared" si="0"/>
        <v/>
      </c>
    </row>
    <row r="30" spans="1:8" ht="55" customHeight="1">
      <c r="A30" s="75" t="s">
        <v>206</v>
      </c>
      <c r="B30" s="109" t="s">
        <v>205</v>
      </c>
      <c r="C30" s="75" t="s">
        <v>889</v>
      </c>
      <c r="D30" s="75" t="s">
        <v>890</v>
      </c>
      <c r="E30" s="75" t="s">
        <v>875</v>
      </c>
      <c r="F30" s="67"/>
      <c r="G30" s="68"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69" t="str">
        <f t="shared" si="0"/>
        <v>Secteur: Mwanza Ngoma, territoire: Demba, district: Lulua, province: Kasai Occidental.  La délimitation physique se décrit dans l'article 2(II).--Art. 2; Carte d'occupation du sol</v>
      </c>
    </row>
    <row r="31" spans="1:8">
      <c r="A31" s="66" t="s">
        <v>24</v>
      </c>
      <c r="B31" s="66" t="s">
        <v>25</v>
      </c>
      <c r="C31" s="162"/>
      <c r="D31" s="151"/>
      <c r="E31" s="151"/>
      <c r="F31" s="67"/>
      <c r="G31" s="68" t="str">
        <f>IF(OR(Table1[[#This Row],[English]]&lt;&gt;"",Table1[[#This Row],[Français]]&lt;&gt;""),Table1[[#This Row],[Français]]&amp;"//"&amp;Table1[[#This Row],[English]],"")</f>
        <v>Lieu-dit habité le plus proche//Closest community</v>
      </c>
      <c r="H31" s="69" t="str">
        <f t="shared" si="0"/>
        <v/>
      </c>
    </row>
    <row r="32" spans="1:8" ht="54" customHeight="1">
      <c r="A32" s="66" t="s">
        <v>26</v>
      </c>
      <c r="B32" s="66" t="s">
        <v>27</v>
      </c>
      <c r="C32" s="160"/>
      <c r="D32" s="70"/>
      <c r="E32" s="70"/>
      <c r="F32" s="67"/>
      <c r="G32" s="68" t="str">
        <f>IF(OR(Table1[[#This Row],[English]]&lt;&gt;"",Table1[[#This Row],[Français]]&lt;&gt;""),Table1[[#This Row],[Français]]&amp;"//"&amp;Table1[[#This Row],[English]],"")</f>
        <v>Date d'octroi du permis d'exploitation ou concession//Date of issue of title/permit</v>
      </c>
      <c r="H32" s="69" t="str">
        <f t="shared" si="0"/>
        <v/>
      </c>
    </row>
    <row r="33" spans="1:8" ht="45" customHeight="1">
      <c r="A33" s="66" t="s">
        <v>28</v>
      </c>
      <c r="B33" s="66" t="s">
        <v>29</v>
      </c>
      <c r="C33" s="162" t="str">
        <f>IF(C32&lt;&gt;"",YEAR(C32),"")</f>
        <v/>
      </c>
      <c r="D33" s="70"/>
      <c r="E33" s="70"/>
      <c r="F33" s="67"/>
      <c r="G33" s="68" t="str">
        <f>IF(OR(Table1[[#This Row],[English]]&lt;&gt;"",Table1[[#This Row],[Français]]&lt;&gt;""),Table1[[#This Row],[Français]]&amp;"//"&amp;Table1[[#This Row],[English]],"")</f>
        <v>Année d'octroi du permis d'exploitation ou concession//Year of issue of title/permit</v>
      </c>
      <c r="H33" s="69" t="str">
        <f t="shared" si="0"/>
        <v/>
      </c>
    </row>
    <row r="34" spans="1:8">
      <c r="A34" s="10" t="s">
        <v>30</v>
      </c>
      <c r="B34" s="10" t="s">
        <v>31</v>
      </c>
      <c r="C34" s="161"/>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61"/>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61"/>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63"/>
      <c r="D37" s="152"/>
      <c r="E37" s="152"/>
      <c r="F37" s="15"/>
      <c r="G37" s="16" t="str">
        <f>IF(OR(Table1[[#This Row],[English]]&lt;&gt;"",Table1[[#This Row],[Français]]&lt;&gt;""),Table1[[#This Row],[Français]]&amp;"//"&amp;Table1[[#This Row],[English]],"")</f>
        <v/>
      </c>
      <c r="H37" s="17" t="str">
        <f t="shared" si="0"/>
        <v/>
      </c>
    </row>
    <row r="38" spans="1:8" ht="30">
      <c r="A38" s="201" t="s">
        <v>36</v>
      </c>
      <c r="B38" s="201" t="s">
        <v>37</v>
      </c>
      <c r="C38" s="164"/>
      <c r="D38" s="153"/>
      <c r="E38" s="153"/>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64"/>
      <c r="D39" s="153"/>
      <c r="E39" s="153"/>
      <c r="F39" s="18"/>
      <c r="G39" s="19" t="str">
        <f>IF(OR(Table1[[#This Row],[English]]&lt;&gt;"",Table1[[#This Row],[Français]]&lt;&gt;""),Table1[[#This Row],[Français]]&amp;"//"&amp;Table1[[#This Row],[English]],"")</f>
        <v>1. Dispositions du base//1. Fundamental provisions</v>
      </c>
      <c r="H39" s="20" t="str">
        <f t="shared" si="0"/>
        <v/>
      </c>
    </row>
    <row r="40" spans="1:8" ht="90">
      <c r="A40" s="66" t="s">
        <v>40</v>
      </c>
      <c r="B40" s="66" t="s">
        <v>41</v>
      </c>
      <c r="C40" s="75" t="s">
        <v>868</v>
      </c>
      <c r="D40" s="75" t="s">
        <v>841</v>
      </c>
      <c r="E40" s="75" t="s">
        <v>842</v>
      </c>
      <c r="F40" s="72"/>
      <c r="G40" s="73"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69" t="str">
        <f t="shared" si="0"/>
        <v>Maison NBK Service--Préambule</v>
      </c>
    </row>
    <row r="41" spans="1:8">
      <c r="A41" s="70" t="s">
        <v>241</v>
      </c>
      <c r="B41" s="70" t="s">
        <v>242</v>
      </c>
      <c r="C41" s="215"/>
      <c r="D41" s="154"/>
      <c r="E41" s="154"/>
      <c r="F41" s="199"/>
      <c r="G41" s="16" t="str">
        <f>IF(OR(Table1[[#This Row],[English]]&lt;&gt;"",Table1[[#This Row],[Français]]&lt;&gt;""),Table1[[#This Row],[Français]]&amp;"//"&amp;Table1[[#This Row],[English]],"")</f>
        <v>Numéro d'entreprise légal//Legal Enterprise Identifier</v>
      </c>
      <c r="H41" s="200" t="str">
        <f>IF(C41&lt;&gt;"",IF(D41&lt;&gt;"",C41&amp;"--"&amp;D41,C41),"")</f>
        <v/>
      </c>
    </row>
    <row r="42" spans="1:8" ht="75">
      <c r="A42" s="10" t="s">
        <v>42</v>
      </c>
      <c r="B42" s="10" t="s">
        <v>43</v>
      </c>
      <c r="C42" s="10" t="s">
        <v>870</v>
      </c>
      <c r="D42" s="10" t="s">
        <v>846</v>
      </c>
      <c r="E42" s="10" t="s">
        <v>847</v>
      </c>
      <c r="F42" s="22"/>
      <c r="G42" s="23" t="str">
        <f>IF(OR(Table1[[#This Row],[English]]&lt;&gt;"",Table1[[#This Row],[Français]]&lt;&gt;""),Table1[[#This Row],[Français]]&amp;"//"&amp;Table1[[#This Row],[English]],"")</f>
        <v>Signataire(s), société //Signatories, company</v>
      </c>
      <c r="H42" s="13" t="str">
        <f t="shared" si="0"/>
        <v>Victor Ngalamulume, Directeur Administratif--Page de signatures</v>
      </c>
    </row>
    <row r="43" spans="1:8" ht="42" customHeight="1">
      <c r="A43" s="66" t="s">
        <v>44</v>
      </c>
      <c r="B43" s="66" t="s">
        <v>45</v>
      </c>
      <c r="C43" s="75" t="s">
        <v>848</v>
      </c>
      <c r="D43" s="75" t="s">
        <v>841</v>
      </c>
      <c r="E43" s="75" t="s">
        <v>842</v>
      </c>
      <c r="F43" s="72"/>
      <c r="G43" s="73" t="str">
        <f>IF(OR(Table1[[#This Row],[English]]&lt;&gt;"",Table1[[#This Row],[Français]]&lt;&gt;""),Table1[[#This Row],[Français]]&amp;"//"&amp;Table1[[#This Row],[English]],"")</f>
        <v>Agence de l'Etat, société nationale, ministère signataire du contrat//State agency, national company, ministry executing the document</v>
      </c>
      <c r="H43" s="69" t="str">
        <f t="shared" si="0"/>
        <v>Le Ministre de l'Environnement, Conservation de la Nature et Tourisme--Préambule</v>
      </c>
    </row>
    <row r="44" spans="1:8" ht="90">
      <c r="A44" s="10" t="s">
        <v>46</v>
      </c>
      <c r="B44" s="10" t="s">
        <v>47</v>
      </c>
      <c r="C44" s="10" t="s">
        <v>849</v>
      </c>
      <c r="D44" s="10" t="s">
        <v>846</v>
      </c>
      <c r="E44" s="10" t="s">
        <v>847</v>
      </c>
      <c r="F44" s="22"/>
      <c r="G44" s="23" t="str">
        <f>IF(OR(Table1[[#This Row],[English]]&lt;&gt;"",Table1[[#This Row],[Français]]&lt;&gt;""),Table1[[#This Row],[Français]]&amp;"//"&amp;Table1[[#This Row],[English]],"")</f>
        <v>Signataire(s), Etat//Signatories, State</v>
      </c>
      <c r="H44" s="13" t="str">
        <f t="shared" si="0"/>
        <v>José E.B. Endundo, Ministre de l'Environnement, Conservation de la Nature et Tourisme--Page de signatures</v>
      </c>
    </row>
    <row r="45" spans="1:8" ht="47" customHeight="1">
      <c r="A45" s="66" t="s">
        <v>48</v>
      </c>
      <c r="B45" s="66" t="s">
        <v>49</v>
      </c>
      <c r="C45" s="162"/>
      <c r="D45" s="154"/>
      <c r="E45" s="154"/>
      <c r="F45" s="72"/>
      <c r="G45" s="73" t="str">
        <f>IF(OR(Table1[[#This Row],[English]]&lt;&gt;"",Table1[[#This Row],[Français]]&lt;&gt;""),Table1[[#This Row],[Français]]&amp;"//"&amp;Table1[[#This Row],[English]],"")</f>
        <v>Nom et/ou composition de la société du projet crée ou envisagée//Name and/or composition of the company created or anticipated</v>
      </c>
      <c r="H45" s="69" t="str">
        <f t="shared" si="0"/>
        <v/>
      </c>
    </row>
    <row r="46" spans="1:8" ht="45">
      <c r="A46" s="10" t="s">
        <v>178</v>
      </c>
      <c r="B46" s="60" t="s">
        <v>169</v>
      </c>
      <c r="C46" s="165"/>
      <c r="D46" s="56"/>
      <c r="E46" s="56"/>
      <c r="F46" s="57"/>
      <c r="G46" s="58" t="str">
        <f>IF(OR(Table1[[#This Row],[English]]&lt;&gt;"",Table1[[#This Row],[Français]]&lt;&gt;""),Table1[[#This Row],[Français]]&amp;"//"&amp;Table1[[#This Row],[English]],"")</f>
        <v>Nom de la partie tiers (si applicable)//Name of third party to contract (where applicable)</v>
      </c>
      <c r="H46" s="59" t="str">
        <f>IF(C46&lt;&gt;"",IF(D46&lt;&gt;"",C46&amp;"--"&amp;D46,C46),"")</f>
        <v/>
      </c>
    </row>
    <row r="47" spans="1:8" ht="30">
      <c r="A47" s="66" t="s">
        <v>50</v>
      </c>
      <c r="B47" s="66" t="s">
        <v>51</v>
      </c>
      <c r="C47" s="205">
        <v>40641</v>
      </c>
      <c r="D47" s="70" t="s">
        <v>846</v>
      </c>
      <c r="E47" s="70" t="s">
        <v>847</v>
      </c>
      <c r="F47" s="72"/>
      <c r="G47" s="73" t="str">
        <f>IF(OR(Table1[[#This Row],[English]]&lt;&gt;"",Table1[[#This Row],[Français]]&lt;&gt;""),Table1[[#This Row],[Français]]&amp;"//"&amp;Table1[[#This Row],[English]],"")</f>
        <v>Date de signature du contrat//Date of contract signature</v>
      </c>
      <c r="H47" s="69" t="str">
        <f t="shared" si="0"/>
        <v>40641--Page de signatures</v>
      </c>
    </row>
    <row r="48" spans="1:8" ht="30">
      <c r="A48" s="70" t="s">
        <v>52</v>
      </c>
      <c r="B48" s="66" t="s">
        <v>53</v>
      </c>
      <c r="C48" s="162">
        <f>IF(C47&lt;&gt;"",YEAR(C47),"")</f>
        <v>2011</v>
      </c>
      <c r="D48" s="70" t="s">
        <v>846</v>
      </c>
      <c r="E48" s="70" t="s">
        <v>847</v>
      </c>
      <c r="F48" s="72"/>
      <c r="G48" s="73" t="str">
        <f>IF(OR(Table1[[#This Row],[English]]&lt;&gt;"",Table1[[#This Row],[Français]]&lt;&gt;""),Table1[[#This Row],[Français]]&amp;"//"&amp;Table1[[#This Row],[English]],"")</f>
        <v>Année de signature du contrat//Year of contract signature</v>
      </c>
      <c r="H48" s="69" t="str">
        <f t="shared" si="0"/>
        <v>2011--Page de signatures</v>
      </c>
    </row>
    <row r="49" spans="1:8" ht="79" customHeight="1">
      <c r="A49" s="66" t="s">
        <v>54</v>
      </c>
      <c r="B49" s="66" t="s">
        <v>55</v>
      </c>
      <c r="C49" s="75" t="s">
        <v>893</v>
      </c>
      <c r="D49" s="75" t="s">
        <v>850</v>
      </c>
      <c r="E49" s="75" t="s">
        <v>871</v>
      </c>
      <c r="F49" s="72"/>
      <c r="G49" s="73" t="str">
        <f>IF(OR(Table1[[#This Row],[English]]&lt;&gt;"",Table1[[#This Row],[Français]]&lt;&gt;""),Table1[[#This Row],[Français]]&amp;"//"&amp;Table1[[#This Row],[English]],"")</f>
        <v>Durée//Term</v>
      </c>
      <c r="H49" s="69" t="str">
        <f t="shared" si="0"/>
        <v>25 ans renouvelables. Le contrat prend fin le 2/08/2036.--Arts. 3, 27</v>
      </c>
    </row>
    <row r="50" spans="1:8" ht="216" customHeight="1">
      <c r="A50" s="10" t="s">
        <v>56</v>
      </c>
      <c r="B50" s="10" t="s">
        <v>57</v>
      </c>
      <c r="C50" s="10" t="s">
        <v>872</v>
      </c>
      <c r="D50" s="10" t="s">
        <v>851</v>
      </c>
      <c r="E50" s="10" t="s">
        <v>852</v>
      </c>
      <c r="F50" s="22"/>
      <c r="G50" s="23" t="str">
        <f>IF(OR(Table1[[#This Row],[English]]&lt;&gt;"",Table1[[#This Row],[Français]]&lt;&gt;""),Table1[[#This Row],[Français]]&amp;"//"&amp;Table1[[#This Row],[English]],"")</f>
        <v xml:space="preserve">Conditions de renouvellement//Conditions for renewal </v>
      </c>
      <c r="H50" s="13" t="str">
        <f t="shared" si="0"/>
        <v>A l'expiration du contrat de concession, ou un an avant la date d'expiration, Maison NBK Service peut demander le renouvellement du contrat dans les conditions déterminées par les règlements en vigueur et à condition que les obligations découlant du contrat et du cahier des charges aient été exécutées. Le renouvellement est cependant refusé par le Gouvernement en cas de violation de l'une des quelconques dispositions du contrat et notamment: (1) le non payement de la redevance de superficie et/ou de toutes autres taxes et redevances pertinents; (2) l'exploitation forestière illégale; (3) le commerce illégal des produits forestiers; (4) la violation des obligations sociales et environnementales et de celles relatives aux engagements d'investissements industriels imposées par le présent contrat en vertu des dispositions légales et règlementaires en vigueur; et (5) la corruption, le dol ou la violence ou leur tentative dûment constatés.--Arts. 8, 27</v>
      </c>
    </row>
    <row r="51" spans="1:8" ht="42" customHeight="1">
      <c r="A51" s="70" t="s">
        <v>229</v>
      </c>
      <c r="B51" s="71" t="s">
        <v>177</v>
      </c>
      <c r="C51" s="160" t="s">
        <v>810</v>
      </c>
      <c r="D51" s="71" t="s">
        <v>853</v>
      </c>
      <c r="E51" s="71" t="s">
        <v>854</v>
      </c>
      <c r="F51" s="72"/>
      <c r="G51" s="73"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69" t="str">
        <f t="shared" si="0"/>
        <v>Bois d'œuvre--Art. 5</v>
      </c>
    </row>
    <row r="52" spans="1:8" ht="42" customHeight="1">
      <c r="A52" s="116" t="s">
        <v>218</v>
      </c>
      <c r="B52" s="116" t="s">
        <v>217</v>
      </c>
      <c r="C52" s="116" t="s">
        <v>876</v>
      </c>
      <c r="D52" s="219" t="s">
        <v>844</v>
      </c>
      <c r="E52" s="219" t="s">
        <v>845</v>
      </c>
      <c r="F52" s="116"/>
      <c r="G52" s="123" t="str">
        <f>IF(OR(Table1[[#This Row],[English]]&lt;&gt;"",Table1[[#This Row],[Français]]&lt;&gt;""),Table1[[#This Row],[Français]]&amp;"//"&amp;Table1[[#This Row],[English]],"")</f>
        <v>Superficie de la concession//Size of the concession area</v>
      </c>
      <c r="H52" s="124" t="str">
        <f>IF(C52&lt;&gt;"",IF(D52&lt;&gt;"",C52&amp;"--"&amp;D52,C52),"")</f>
        <v>168.598 hectares--Art. 2</v>
      </c>
    </row>
    <row r="53" spans="1:8">
      <c r="A53" s="14"/>
      <c r="B53" s="14"/>
      <c r="C53" s="163"/>
      <c r="D53" s="152"/>
      <c r="E53" s="152"/>
      <c r="F53" s="15"/>
      <c r="G53" s="16" t="str">
        <f>IF(OR(Table1[[#This Row],[English]]&lt;&gt;"",Table1[[#This Row],[Français]]&lt;&gt;""),Table1[[#This Row],[Français]]&amp;"//"&amp;Table1[[#This Row],[English]],"")</f>
        <v/>
      </c>
      <c r="H53" s="17" t="str">
        <f t="shared" si="0"/>
        <v/>
      </c>
    </row>
    <row r="54" spans="1:8" ht="49.5" customHeight="1">
      <c r="A54" s="61" t="s">
        <v>58</v>
      </c>
      <c r="B54" s="62" t="s">
        <v>192</v>
      </c>
      <c r="C54" s="164"/>
      <c r="D54" s="153"/>
      <c r="E54" s="153"/>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144" customHeight="1">
      <c r="A55" s="74" t="s">
        <v>59</v>
      </c>
      <c r="B55" s="66" t="s">
        <v>60</v>
      </c>
      <c r="C55" s="75" t="s">
        <v>899</v>
      </c>
      <c r="D55" s="220" t="s">
        <v>855</v>
      </c>
      <c r="E55" s="70" t="s">
        <v>877</v>
      </c>
      <c r="F55" s="67"/>
      <c r="G55" s="68" t="str">
        <f>IF(OR(Table1[[#This Row],[English]]&lt;&gt;"",Table1[[#This Row],[Français]]&lt;&gt;""),Table1[[#This Row],[Français]]&amp;"//"&amp;Table1[[#This Row],[English]],"")</f>
        <v>Convention de développement local//Local development agreement</v>
      </c>
      <c r="H55" s="69" t="str">
        <f t="shared" si="0"/>
        <v>Maison NBK Service doit réaliser les infrastructures socio-économiques et des services sociaux au profit des communautés locales et/ou peuples autochtones riverains contenues dans: (1) le plan de relance dans le cadre d'une conversion; ou (2) dans la proposition technique dans le cas d'une adjudication et définies dans le cahier des charges. Maison NBK Service s'engage à mettre en œuvre un plan socio-économique, y compris les infrastructures socio-économiques et services sociaux, pour la période du plan d'aménagement.--Arts. 9(4), 17</v>
      </c>
    </row>
    <row r="56" spans="1:8" ht="85" customHeight="1">
      <c r="A56" s="10" t="s">
        <v>230</v>
      </c>
      <c r="B56" s="10" t="s">
        <v>61</v>
      </c>
      <c r="C56" s="10" t="s">
        <v>873</v>
      </c>
      <c r="D56" s="10" t="s">
        <v>856</v>
      </c>
      <c r="E56" s="10" t="s">
        <v>854</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Maison NBK Service est tenu de respecter les droits d'usage traditionnels des communautés locales et/ou peuples autochtones riverains de la concession tels que définis aux articles 36, 37 et 44 du code forestier. Il lui est interdit de créer toute entrave à l'exercice par les communautés locales et/ou peuples autochtones riverains des droits d'usage forestiers ainsi reconnus.--Art. 6</v>
      </c>
    </row>
    <row r="57" spans="1:8" ht="258" customHeight="1">
      <c r="A57" s="70" t="s">
        <v>235</v>
      </c>
      <c r="B57" s="66" t="s">
        <v>62</v>
      </c>
      <c r="C57" s="75" t="s">
        <v>898</v>
      </c>
      <c r="D57" s="75" t="s">
        <v>880</v>
      </c>
      <c r="E57" s="75" t="s">
        <v>881</v>
      </c>
      <c r="F57" s="72"/>
      <c r="G57" s="73" t="str">
        <f>IF(OR(Table1[[#This Row],[English]]&lt;&gt;"",Table1[[#This Row],[Français]]&lt;&gt;""),Table1[[#This Row],[Français]]&amp;"//"&amp;Table1[[#This Row],[English]],"")</f>
        <v xml:space="preserve">Consultations communautaires requises//Requirements for community consultation </v>
      </c>
      <c r="H57" s="69" t="str">
        <f t="shared" si="0"/>
        <v>Le tracé de toute route ou de toute voie d'accès ou d'évacuation à partir du territoire de la concession doit être soumis à une consultation avec les communautés locales et/ou peuples autochtones riverains durant la préparation du plan d'aménagement. La préparation du plan de gestion et du plan d'aménagement de la concession donne lieu à une diffusion de toute documentation appropriée auprès des communautés locales et/ou des peuples autochtones riverains et à une consultation régulière avec eux sur les questions intéressant la concession et leurs droits. L'administration peut assister aux séances de consultations. Le plan de gestion indique le calendrier et les modalités de consultation avec les communautés locales et/ou peuples autochtones sur le contenu et les modalités de réalisation du plan socio-économique y compris les infrastructures en leur faveur pour la durée de la concession. Pendant la période de préparation du plan d'aménagement, Maison NBK Service doit consulter les communautés locales et/ou peuples autochtones riverains sur le plan socio-économique et les infrastructures qui feront l'objet du cahier des charges définitif qui sera annexé au plan d'aménagement.--Arts. 7, 10, 10(2), 17</v>
      </c>
    </row>
    <row r="58" spans="1:8" ht="24" customHeight="1">
      <c r="A58" s="10" t="s">
        <v>236</v>
      </c>
      <c r="B58" s="10" t="s">
        <v>63</v>
      </c>
      <c r="C58" s="161"/>
      <c r="D58" s="10"/>
      <c r="E58" s="10"/>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87" customHeight="1">
      <c r="A59" s="70" t="s">
        <v>231</v>
      </c>
      <c r="B59" s="66" t="s">
        <v>64</v>
      </c>
      <c r="C59" s="167"/>
      <c r="D59" s="70"/>
      <c r="E59" s="70"/>
      <c r="F59" s="72"/>
      <c r="G59" s="73" t="str">
        <f>IF(OR(Table1[[#This Row],[English]]&lt;&gt;"",Table1[[#This Row],[Français]]&lt;&gt;""),Table1[[#This Row],[Français]]&amp;"//"&amp;Table1[[#This Row],[English]],"")</f>
        <v>Obligations liées à l'emploi du personnel local//Local employment requirements</v>
      </c>
      <c r="H59" s="69" t="str">
        <f t="shared" si="0"/>
        <v/>
      </c>
    </row>
    <row r="60" spans="1:8" ht="164" customHeight="1">
      <c r="A60" s="70" t="s">
        <v>233</v>
      </c>
      <c r="B60" s="66" t="s">
        <v>65</v>
      </c>
      <c r="C60" s="162"/>
      <c r="D60" s="70"/>
      <c r="E60" s="70"/>
      <c r="F60" s="72"/>
      <c r="G60" s="73" t="str">
        <f>IF(OR(Table1[[#This Row],[English]]&lt;&gt;"",Table1[[#This Row],[Français]]&lt;&gt;""),Table1[[#This Row],[Français]]&amp;"//"&amp;Table1[[#This Row],[English]],"")</f>
        <v>Obligations liées a l'approvisionnement en biens et services locaux//Local procurement requirements</v>
      </c>
      <c r="H60" s="69" t="str">
        <f t="shared" si="0"/>
        <v/>
      </c>
    </row>
    <row r="61" spans="1:8">
      <c r="A61" s="10" t="s">
        <v>66</v>
      </c>
      <c r="B61" s="10" t="s">
        <v>67</v>
      </c>
      <c r="C61" s="161"/>
      <c r="D61" s="10"/>
      <c r="E61" s="10"/>
      <c r="F61" s="22"/>
      <c r="G61" s="23" t="str">
        <f>IF(OR(Table1[[#This Row],[English]]&lt;&gt;"",Table1[[#This Row],[Français]]&lt;&gt;""),Table1[[#This Row],[Français]]&amp;"//"&amp;Table1[[#This Row],[English]],"")</f>
        <v>Assurance//Insurance</v>
      </c>
      <c r="H61" s="13" t="str">
        <f t="shared" si="0"/>
        <v/>
      </c>
    </row>
    <row r="62" spans="1:8" ht="20.25" customHeight="1">
      <c r="A62" s="75" t="s">
        <v>207</v>
      </c>
      <c r="B62" s="75" t="s">
        <v>208</v>
      </c>
      <c r="C62" s="167"/>
      <c r="D62" s="75"/>
      <c r="E62" s="75"/>
      <c r="F62" s="76"/>
      <c r="G62" s="77" t="str">
        <f>IF(OR(Table1[[#This Row],[English]]&lt;&gt;"",Table1[[#This Row],[Français]]&lt;&gt;""),Table1[[#This Row],[Français]]&amp;"//"&amp;Table1[[#This Row],[English]],"")</f>
        <v>Réinstallation des habitants//Resettlement</v>
      </c>
      <c r="H62" s="78" t="str">
        <f t="shared" si="0"/>
        <v/>
      </c>
    </row>
    <row r="63" spans="1:8" ht="34.5" customHeight="1">
      <c r="A63" s="129" t="s">
        <v>232</v>
      </c>
      <c r="B63" s="129" t="s">
        <v>223</v>
      </c>
      <c r="C63" s="168"/>
      <c r="D63" s="129"/>
      <c r="E63" s="129"/>
      <c r="F63" s="130"/>
      <c r="G63" s="131"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2" t="str">
        <f t="shared" ref="H63:H66" si="1">IF(C63&lt;&gt;"",IF(D63&lt;&gt;"",C63&amp;"--"&amp;D63,C63),"")</f>
        <v/>
      </c>
    </row>
    <row r="64" spans="1:8" ht="64" customHeight="1">
      <c r="A64" s="121" t="s">
        <v>185</v>
      </c>
      <c r="B64" s="10" t="s">
        <v>184</v>
      </c>
      <c r="C64" s="169"/>
      <c r="D64" s="10"/>
      <c r="E64" s="10"/>
      <c r="F64" s="22"/>
      <c r="G64" s="108"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
      </c>
    </row>
    <row r="65" spans="1:8" ht="53" customHeight="1">
      <c r="A65" s="82" t="s">
        <v>187</v>
      </c>
      <c r="B65" s="81" t="s">
        <v>186</v>
      </c>
      <c r="C65" s="170"/>
      <c r="D65" s="75"/>
      <c r="E65" s="75"/>
      <c r="F65" s="76"/>
      <c r="G65" s="79" t="str">
        <f>IF(OR(Table1[[#This Row],[English]]&lt;&gt;"",Table1[[#This Row],[Français]]&lt;&gt;""),Table1[[#This Row],[Français]]&amp;"//"&amp;Table1[[#This Row],[English]],"")</f>
        <v>La sécurité physique, la protection de la propriété, et / ou l'utilisation des gardes//Physical security, protection of property, and/or use of guards</v>
      </c>
      <c r="H65" s="80" t="str">
        <f t="shared" si="1"/>
        <v/>
      </c>
    </row>
    <row r="66" spans="1:8" ht="34" customHeight="1">
      <c r="A66" s="141" t="s">
        <v>189</v>
      </c>
      <c r="B66" s="142" t="s">
        <v>190</v>
      </c>
      <c r="C66" s="171"/>
      <c r="D66" s="155"/>
      <c r="E66" s="143"/>
      <c r="F66" s="144"/>
      <c r="G66" s="145" t="str">
        <f>IF(OR(Table1[[#This Row],[English]]&lt;&gt;"",Table1[[#This Row],[Français]]&lt;&gt;""),Table1[[#This Row],[Français]]&amp;"//"&amp;Table1[[#This Row],[English]],"")</f>
        <v>Mécanismes de réclamation pour les parties non contractantes//Grievance mechanisms for non-contractual harms to non-contracting parties</v>
      </c>
      <c r="H66" s="146" t="str">
        <f t="shared" si="1"/>
        <v/>
      </c>
    </row>
    <row r="67" spans="1:8" ht="61.5" customHeight="1">
      <c r="A67" s="120" t="s">
        <v>216</v>
      </c>
      <c r="B67" s="116" t="s">
        <v>215</v>
      </c>
      <c r="C67" s="166"/>
      <c r="D67" s="10"/>
      <c r="E67" s="10"/>
      <c r="F67" s="122"/>
      <c r="G67" s="123"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4" t="str">
        <f>IF(C67&lt;&gt;"",IF(D67&lt;&gt;"",C67&amp;"--"&amp;D67,C67),"")</f>
        <v/>
      </c>
    </row>
    <row r="68" spans="1:8" ht="30">
      <c r="A68" s="82" t="s">
        <v>176</v>
      </c>
      <c r="B68" s="81" t="s">
        <v>174</v>
      </c>
      <c r="C68" s="162"/>
      <c r="D68" s="151"/>
      <c r="E68" s="151"/>
      <c r="F68" s="72"/>
      <c r="G68" s="73" t="str">
        <f>IF(OR(Table1[[#This Row],[English]]&lt;&gt;"",Table1[[#This Row],[Français]]&lt;&gt;""),Table1[[#This Row],[Français]]&amp;"//"&amp;Table1[[#This Row],[English]],"")</f>
        <v>Autre - [le nom de catégorie]//Other - [Name of Category]</v>
      </c>
      <c r="H68" s="69" t="str">
        <f t="shared" si="0"/>
        <v/>
      </c>
    </row>
    <row r="69" spans="1:8">
      <c r="A69" s="24"/>
      <c r="B69" s="24"/>
      <c r="C69" s="178"/>
      <c r="D69" s="189"/>
      <c r="E69" s="189"/>
      <c r="F69" s="15"/>
      <c r="G69" s="16" t="str">
        <f>IF(OR(Table1[[#This Row],[English]]&lt;&gt;"",Table1[[#This Row],[Français]]&lt;&gt;""),Table1[[#This Row],[Français]]&amp;"//"&amp;Table1[[#This Row],[English]],"")</f>
        <v/>
      </c>
      <c r="H69" s="25" t="str">
        <f t="shared" si="0"/>
        <v/>
      </c>
    </row>
    <row r="70" spans="1:8" ht="29" customHeight="1">
      <c r="A70" s="61" t="s">
        <v>68</v>
      </c>
      <c r="B70" s="26" t="s">
        <v>69</v>
      </c>
      <c r="C70" s="164"/>
      <c r="D70" s="153"/>
      <c r="E70" s="153"/>
      <c r="F70" s="18"/>
      <c r="G70" s="19" t="str">
        <f>IF(OR(Table1[[#This Row],[English]]&lt;&gt;"",Table1[[#This Row],[Français]]&lt;&gt;""),Table1[[#This Row],[Français]]&amp;"//"&amp;Table1[[#This Row],[English]],"")</f>
        <v>3. Obligations financières du détenteur du titre//3. Developer's financial obligations</v>
      </c>
      <c r="H70" s="20" t="str">
        <f t="shared" si="0"/>
        <v/>
      </c>
    </row>
    <row r="71" spans="1:8" ht="70" customHeight="1">
      <c r="A71" s="83" t="s">
        <v>70</v>
      </c>
      <c r="B71" s="84" t="s">
        <v>71</v>
      </c>
      <c r="C71" s="84"/>
      <c r="D71" s="147"/>
      <c r="E71" s="147"/>
      <c r="F71" s="85"/>
      <c r="G71" s="86" t="str">
        <f>IF(OR(Table1[[#This Row],[English]]&lt;&gt;"",Table1[[#This Row],[Français]]&lt;&gt;""),Table1[[#This Row],[Français]]&amp;"//"&amp;Table1[[#This Row],[English]],"")</f>
        <v>Taxe minière / redevance//Mining tax / royalty tax</v>
      </c>
      <c r="H71" s="87" t="str">
        <f t="shared" si="0"/>
        <v/>
      </c>
    </row>
    <row r="72" spans="1:8" ht="131" customHeight="1">
      <c r="A72" s="83" t="s">
        <v>72</v>
      </c>
      <c r="B72" s="84" t="s">
        <v>73</v>
      </c>
      <c r="C72" s="172"/>
      <c r="D72" s="147"/>
      <c r="E72" s="147"/>
      <c r="F72" s="85"/>
      <c r="G72" s="86" t="str">
        <f>IF(OR(Table1[[#This Row],[English]]&lt;&gt;"",Table1[[#This Row],[Français]]&lt;&gt;""),Table1[[#This Row],[Français]]&amp;"//"&amp;Table1[[#This Row],[English]],"")</f>
        <v>Impôt sur les bénéfices: taux//Income tax: rate</v>
      </c>
      <c r="H72" s="87" t="str">
        <f t="shared" si="0"/>
        <v/>
      </c>
    </row>
    <row r="73" spans="1:8">
      <c r="A73" s="84" t="s">
        <v>224</v>
      </c>
      <c r="B73" s="84" t="s">
        <v>74</v>
      </c>
      <c r="C73" s="173"/>
      <c r="D73" s="156"/>
      <c r="E73" s="156"/>
      <c r="F73" s="85"/>
      <c r="G73" s="86" t="str">
        <f>IF(OR(Table1[[#This Row],[English]]&lt;&gt;"",Table1[[#This Row],[Français]]&lt;&gt;""),Table1[[#This Row],[Français]]&amp;"//"&amp;Table1[[#This Row],[English]],"")</f>
        <v>Impôt sur les bénéfices: exonération//Income tax: exemptions</v>
      </c>
      <c r="H73" s="87" t="str">
        <f t="shared" si="0"/>
        <v/>
      </c>
    </row>
    <row r="74" spans="1:8" ht="60">
      <c r="A74" s="84" t="s">
        <v>225</v>
      </c>
      <c r="B74" s="84" t="s">
        <v>75</v>
      </c>
      <c r="C74" s="173"/>
      <c r="D74" s="156"/>
      <c r="E74" s="156"/>
      <c r="F74" s="85"/>
      <c r="G74" s="86"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4" s="87" t="str">
        <f t="shared" si="0"/>
        <v/>
      </c>
    </row>
    <row r="75" spans="1:8" ht="180" customHeight="1">
      <c r="A75" s="104" t="s">
        <v>199</v>
      </c>
      <c r="B75" s="104" t="s">
        <v>76</v>
      </c>
      <c r="C75" s="174"/>
      <c r="D75" s="104"/>
      <c r="E75" s="104"/>
      <c r="F75" s="105"/>
      <c r="G75" s="106"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5" s="107" t="str">
        <f>IF(C75&lt;&gt;"",IF(D75&lt;&gt;"",C75&amp;"--"&amp;D75,C75),"")</f>
        <v/>
      </c>
    </row>
    <row r="76" spans="1:8" ht="323" customHeight="1">
      <c r="A76" s="104" t="s">
        <v>200</v>
      </c>
      <c r="B76" s="104" t="s">
        <v>77</v>
      </c>
      <c r="C76" s="174"/>
      <c r="D76" s="104"/>
      <c r="E76" s="104"/>
      <c r="F76" s="105"/>
      <c r="G76" s="106"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6" s="107" t="str">
        <f>IF(C76&lt;&gt;"",IF(D76&lt;&gt;"",C76&amp;"--"&amp;D76,C76),"")</f>
        <v/>
      </c>
    </row>
    <row r="77" spans="1:8" ht="45">
      <c r="A77" s="104" t="s">
        <v>234</v>
      </c>
      <c r="B77" s="104" t="s">
        <v>78</v>
      </c>
      <c r="C77" s="174"/>
      <c r="D77" s="104"/>
      <c r="E77" s="104"/>
      <c r="F77" s="105"/>
      <c r="G77" s="106" t="str">
        <f>IF(OR(Table1[[#This Row],[English]]&lt;&gt;"",Table1[[#This Row],[Français]]&lt;&gt;""),Table1[[#This Row],[Français]]&amp;"//"&amp;Table1[[#This Row],[English]],"")</f>
        <v>Contrat de Service - Frais du détenteur du titre défrayés  (base de calcul)//Service Agreement - Fee to developer / contractor (basis for calculation)</v>
      </c>
      <c r="H77" s="107" t="str">
        <f>IF(C77&lt;&gt;"",IF(D77&lt;&gt;"",C77&amp;"--"&amp;D77,C77),"")</f>
        <v/>
      </c>
    </row>
    <row r="78" spans="1:8" ht="26" customHeight="1">
      <c r="A78" s="88" t="s">
        <v>237</v>
      </c>
      <c r="B78" s="88" t="s">
        <v>79</v>
      </c>
      <c r="C78" s="170"/>
      <c r="D78" s="88"/>
      <c r="E78" s="88"/>
      <c r="F78" s="89"/>
      <c r="G78" s="90" t="str">
        <f>IF(OR(Table1[[#This Row],[English]]&lt;&gt;"",Table1[[#This Row],[Français]]&lt;&gt;""),Table1[[#This Row],[Français]]&amp;"//"&amp;Table1[[#This Row],[English]],"")</f>
        <v>Impôt sur les Revenus des Valeurs Mobilières (IRVM)//Capital gains tax</v>
      </c>
      <c r="H78" s="91" t="str">
        <f t="shared" si="0"/>
        <v/>
      </c>
    </row>
    <row r="79" spans="1:8" ht="26" customHeight="1">
      <c r="A79" s="125" t="s">
        <v>202</v>
      </c>
      <c r="B79" s="125" t="s">
        <v>209</v>
      </c>
      <c r="C79" s="166"/>
      <c r="D79" s="27"/>
      <c r="E79" s="27"/>
      <c r="F79" s="126"/>
      <c r="G79" s="127" t="str">
        <f>IF(OR(Table1[[#This Row],[English]]&lt;&gt;"",Table1[[#This Row],[Français]]&lt;&gt;""),Table1[[#This Row],[Français]]&amp;"//"&amp;Table1[[#This Row],[English]],"")</f>
        <v>Retenue à la source sur les intérêts et/ou dividendes//Withholding tax on payment of interest and/or dividends</v>
      </c>
      <c r="H79" s="128" t="str">
        <f>IF(C79&lt;&gt;"",IF(D79&lt;&gt;"",C79&amp;"--"&amp;D79,C79),"")</f>
        <v/>
      </c>
    </row>
    <row r="80" spans="1:8" ht="30">
      <c r="A80" s="27" t="s">
        <v>80</v>
      </c>
      <c r="B80" s="27" t="s">
        <v>81</v>
      </c>
      <c r="C80" s="169"/>
      <c r="D80" s="10"/>
      <c r="E80" s="10"/>
      <c r="F80" s="29"/>
      <c r="G80" s="30" t="str">
        <f>IF(OR(Table1[[#This Row],[English]]&lt;&gt;"",Table1[[#This Row],[Français]]&lt;&gt;""),Table1[[#This Row],[Français]]&amp;"//"&amp;Table1[[#This Row],[English]],"")</f>
        <v>Retenue à la source sur les salaires des nationaux//Witholding tax on national salaries</v>
      </c>
      <c r="H80" s="32" t="str">
        <f t="shared" si="0"/>
        <v/>
      </c>
    </row>
    <row r="81" spans="1:8" ht="30">
      <c r="A81" s="27" t="s">
        <v>82</v>
      </c>
      <c r="B81" s="27" t="s">
        <v>83</v>
      </c>
      <c r="C81" s="186"/>
      <c r="D81" s="10"/>
      <c r="E81" s="10"/>
      <c r="F81" s="29"/>
      <c r="G81" s="30" t="str">
        <f>IF(OR(Table1[[#This Row],[English]]&lt;&gt;"",Table1[[#This Row],[Français]]&lt;&gt;""),Table1[[#This Row],[Français]]&amp;"//"&amp;Table1[[#This Row],[English]],"")</f>
        <v>Retenue à la source sur les salaires des expatriés//Witholding tax on expatriate salaries</v>
      </c>
      <c r="H81" s="32" t="str">
        <f t="shared" si="0"/>
        <v/>
      </c>
    </row>
    <row r="82" spans="1:8" ht="30">
      <c r="A82" s="27" t="s">
        <v>84</v>
      </c>
      <c r="B82" s="27" t="s">
        <v>85</v>
      </c>
      <c r="C82" s="186"/>
      <c r="D82" s="27"/>
      <c r="E82" s="27"/>
      <c r="F82" s="29"/>
      <c r="G82" s="30" t="str">
        <f>IF(OR(Table1[[#This Row],[English]]&lt;&gt;"",Table1[[#This Row],[Français]]&lt;&gt;""),Table1[[#This Row],[Français]]&amp;"//"&amp;Table1[[#This Row],[English]],"")</f>
        <v>Retenue à la source sur les prestations de service par des entreprises non résidentes//Witholding tax on services of non-resident companies</v>
      </c>
      <c r="H82" s="31" t="str">
        <f t="shared" si="0"/>
        <v/>
      </c>
    </row>
    <row r="83" spans="1:8">
      <c r="A83" s="125" t="s">
        <v>86</v>
      </c>
      <c r="B83" s="27" t="s">
        <v>87</v>
      </c>
      <c r="C83" s="186"/>
      <c r="D83" s="27"/>
      <c r="E83" s="27"/>
      <c r="F83" s="29"/>
      <c r="G83" s="30" t="str">
        <f>IF(OR(Table1[[#This Row],[English]]&lt;&gt;"",Table1[[#This Row],[Français]]&lt;&gt;""),Table1[[#This Row],[Français]]&amp;"//"&amp;Table1[[#This Row],[English]],"")</f>
        <v>Retenue à la source sur les loyers des immeubles//Witholding tax on rent</v>
      </c>
      <c r="H83" s="31" t="str">
        <f t="shared" si="0"/>
        <v/>
      </c>
    </row>
    <row r="84" spans="1:8">
      <c r="A84" s="27" t="s">
        <v>88</v>
      </c>
      <c r="B84" s="27" t="s">
        <v>89</v>
      </c>
      <c r="C84" s="175"/>
      <c r="D84" s="27"/>
      <c r="E84" s="27"/>
      <c r="F84" s="29"/>
      <c r="G84" s="30" t="str">
        <f>IF(OR(Table1[[#This Row],[English]]&lt;&gt;"",Table1[[#This Row],[Français]]&lt;&gt;""),Table1[[#This Row],[Français]]&amp;"//"&amp;Table1[[#This Row],[English]],"")</f>
        <v>Déductibilité des frais financiers//Deductibility of expenses</v>
      </c>
      <c r="H84" s="31" t="str">
        <f t="shared" si="0"/>
        <v/>
      </c>
    </row>
    <row r="85" spans="1:8">
      <c r="A85" s="33" t="s">
        <v>90</v>
      </c>
      <c r="B85" s="27" t="s">
        <v>91</v>
      </c>
      <c r="C85" s="175"/>
      <c r="D85" s="27"/>
      <c r="E85" s="27"/>
      <c r="F85" s="29"/>
      <c r="G85" s="30" t="str">
        <f>IF(OR(Table1[[#This Row],[English]]&lt;&gt;"",Table1[[#This Row],[Français]]&lt;&gt;""),Table1[[#This Row],[Français]]&amp;"//"&amp;Table1[[#This Row],[English]],"")</f>
        <v>Méthode d’évaluation de prix //Method for evaluating price</v>
      </c>
      <c r="H85" s="31" t="str">
        <f t="shared" si="0"/>
        <v/>
      </c>
    </row>
    <row r="86" spans="1:8" ht="30">
      <c r="A86" s="27" t="s">
        <v>92</v>
      </c>
      <c r="B86" s="27" t="s">
        <v>93</v>
      </c>
      <c r="C86" s="175"/>
      <c r="D86" s="27"/>
      <c r="E86" s="27"/>
      <c r="F86" s="29"/>
      <c r="G86" s="30" t="str">
        <f>IF(OR(Table1[[#This Row],[English]]&lt;&gt;"",Table1[[#This Row],[Français]]&lt;&gt;""),Table1[[#This Row],[Français]]&amp;"//"&amp;Table1[[#This Row],[English]],"")</f>
        <v>Provision pour la reconstitution des gisements//Provisions for renewing reserves</v>
      </c>
      <c r="H86" s="31" t="str">
        <f t="shared" si="0"/>
        <v/>
      </c>
    </row>
    <row r="87" spans="1:8">
      <c r="A87" s="27" t="s">
        <v>94</v>
      </c>
      <c r="B87" s="27" t="s">
        <v>95</v>
      </c>
      <c r="C87" s="175"/>
      <c r="D87" s="27"/>
      <c r="E87" s="27"/>
      <c r="F87" s="29"/>
      <c r="G87" s="30" t="str">
        <f>IF(OR(Table1[[#This Row],[English]]&lt;&gt;"",Table1[[#This Row],[Français]]&lt;&gt;""),Table1[[#This Row],[Français]]&amp;"//"&amp;Table1[[#This Row],[English]],"")</f>
        <v>Crédit d'investissement//Investment credit</v>
      </c>
      <c r="H87" s="31" t="str">
        <f t="shared" si="0"/>
        <v/>
      </c>
    </row>
    <row r="88" spans="1:8" ht="17.25" customHeight="1">
      <c r="A88" s="27" t="s">
        <v>96</v>
      </c>
      <c r="B88" s="27" t="s">
        <v>97</v>
      </c>
      <c r="C88" s="176"/>
      <c r="D88" s="27"/>
      <c r="E88" s="27"/>
      <c r="F88" s="29"/>
      <c r="G88" s="30" t="str">
        <f>IF(OR(Table1[[#This Row],[English]]&lt;&gt;"",Table1[[#This Row],[Français]]&lt;&gt;""),Table1[[#This Row],[Français]]&amp;"//"&amp;Table1[[#This Row],[English]],"")</f>
        <v>Droits de douane en phase de recherche//Custom duties during exploration phase</v>
      </c>
      <c r="H88" s="31" t="str">
        <f t="shared" si="0"/>
        <v/>
      </c>
    </row>
    <row r="89" spans="1:8" ht="30">
      <c r="A89" s="27" t="s">
        <v>98</v>
      </c>
      <c r="B89" s="27" t="s">
        <v>99</v>
      </c>
      <c r="C89" s="175"/>
      <c r="D89" s="27"/>
      <c r="E89" s="27"/>
      <c r="F89" s="29"/>
      <c r="G89" s="30" t="str">
        <f>IF(OR(Table1[[#This Row],[English]]&lt;&gt;"",Table1[[#This Row],[Français]]&lt;&gt;""),Table1[[#This Row],[Français]]&amp;"//"&amp;Table1[[#This Row],[English]],"")</f>
        <v>Droits de douane en phase de construction//Custom duties during construction phase</v>
      </c>
      <c r="H89" s="31" t="str">
        <f t="shared" si="0"/>
        <v/>
      </c>
    </row>
    <row r="90" spans="1:8" ht="30">
      <c r="A90" s="27" t="s">
        <v>100</v>
      </c>
      <c r="B90" s="27" t="s">
        <v>219</v>
      </c>
      <c r="C90" s="175"/>
      <c r="D90" s="27"/>
      <c r="E90" s="27"/>
      <c r="F90" s="29"/>
      <c r="G90" s="30" t="str">
        <f>IF(OR(Table1[[#This Row],[English]]&lt;&gt;"",Table1[[#This Row],[Français]]&lt;&gt;""),Table1[[#This Row],[Français]]&amp;"//"&amp;Table1[[#This Row],[English]],"")</f>
        <v>Droits de douane en phase d'exploitation//Custum duties during operation phase</v>
      </c>
      <c r="H90" s="31" t="str">
        <f t="shared" si="0"/>
        <v/>
      </c>
    </row>
    <row r="91" spans="1:8" ht="30">
      <c r="A91" s="27" t="s">
        <v>101</v>
      </c>
      <c r="B91" s="27" t="s">
        <v>102</v>
      </c>
      <c r="C91" s="175"/>
      <c r="D91" s="27"/>
      <c r="E91" s="27"/>
      <c r="F91" s="29"/>
      <c r="G91" s="30" t="str">
        <f>IF(OR(Table1[[#This Row],[English]]&lt;&gt;"",Table1[[#This Row],[Français]]&lt;&gt;""),Table1[[#This Row],[Français]]&amp;"//"&amp;Table1[[#This Row],[English]],"")</f>
        <v>Droits de douane pour le matériel de traitement//Custom duties on processing equipment</v>
      </c>
      <c r="H91" s="31" t="str">
        <f t="shared" si="0"/>
        <v/>
      </c>
    </row>
    <row r="92" spans="1:8" ht="30">
      <c r="A92" s="27" t="s">
        <v>103</v>
      </c>
      <c r="B92" s="27" t="s">
        <v>104</v>
      </c>
      <c r="C92" s="175"/>
      <c r="D92" s="27"/>
      <c r="E92" s="27"/>
      <c r="F92" s="29"/>
      <c r="G92" s="30" t="str">
        <f>IF(OR(Table1[[#This Row],[English]]&lt;&gt;"",Table1[[#This Row],[Français]]&lt;&gt;""),Table1[[#This Row],[Français]]&amp;"//"&amp;Table1[[#This Row],[English]],"")</f>
        <v>Droits de douane pour le matériel de transformation//Custom duties on transformation equipment</v>
      </c>
      <c r="H92" s="31" t="str">
        <f t="shared" si="0"/>
        <v/>
      </c>
    </row>
    <row r="93" spans="1:8" ht="30">
      <c r="A93" s="27" t="s">
        <v>105</v>
      </c>
      <c r="B93" s="27" t="s">
        <v>106</v>
      </c>
      <c r="C93" s="175"/>
      <c r="D93" s="27"/>
      <c r="E93" s="27"/>
      <c r="F93" s="29"/>
      <c r="G93" s="30" t="str">
        <f>IF(OR(Table1[[#This Row],[English]]&lt;&gt;"",Table1[[#This Row],[Français]]&lt;&gt;""),Table1[[#This Row],[Français]]&amp;"//"&amp;Table1[[#This Row],[English]],"")</f>
        <v>Droits de douane pour le matériel de transport//Custom duties on transportation equipment</v>
      </c>
      <c r="H93" s="31" t="str">
        <f t="shared" si="0"/>
        <v/>
      </c>
    </row>
    <row r="94" spans="1:8">
      <c r="A94" s="27" t="s">
        <v>107</v>
      </c>
      <c r="B94" s="27" t="s">
        <v>108</v>
      </c>
      <c r="C94" s="175"/>
      <c r="D94" s="27"/>
      <c r="E94" s="27"/>
      <c r="F94" s="29"/>
      <c r="G94" s="30" t="str">
        <f>IF(OR(Table1[[#This Row],[English]]&lt;&gt;"",Table1[[#This Row],[Français]]&lt;&gt;""),Table1[[#This Row],[Français]]&amp;"//"&amp;Table1[[#This Row],[English]],"")</f>
        <v>TVA//VAT</v>
      </c>
      <c r="H94" s="31" t="str">
        <f t="shared" si="0"/>
        <v/>
      </c>
    </row>
    <row r="95" spans="1:8" ht="50" customHeight="1">
      <c r="A95" s="27" t="s">
        <v>109</v>
      </c>
      <c r="B95" s="27" t="s">
        <v>110</v>
      </c>
      <c r="C95" s="175"/>
      <c r="D95" s="27"/>
      <c r="E95" s="27"/>
      <c r="F95" s="29"/>
      <c r="G95" s="30" t="str">
        <f>IF(OR(Table1[[#This Row],[English]]&lt;&gt;"",Table1[[#This Row],[Français]]&lt;&gt;""),Table1[[#This Row],[Français]]&amp;"//"&amp;Table1[[#This Row],[English]],"")</f>
        <v xml:space="preserve">Droits fixes d'octroi et de renouvellement des permis//Fixed fee for grant and renewal of license  </v>
      </c>
      <c r="H95" s="31" t="str">
        <f t="shared" si="0"/>
        <v/>
      </c>
    </row>
    <row r="96" spans="1:8" ht="30">
      <c r="A96" s="27" t="s">
        <v>111</v>
      </c>
      <c r="B96" s="27" t="s">
        <v>112</v>
      </c>
      <c r="C96" s="175"/>
      <c r="D96" s="27"/>
      <c r="E96" s="27"/>
      <c r="F96" s="29"/>
      <c r="G96" s="30" t="str">
        <f>IF(OR(Table1[[#This Row],[English]]&lt;&gt;"",Table1[[#This Row],[Français]]&lt;&gt;""),Table1[[#This Row],[Français]]&amp;"//"&amp;Table1[[#This Row],[English]],"")</f>
        <v>Part patronale des cotisations de sécurité sociale//Social security contributions by employer</v>
      </c>
      <c r="H96" s="31" t="str">
        <f t="shared" ref="H96:H144" si="2">IF(C96&lt;&gt;"",IF(D96&lt;&gt;"",C96&amp;"--"&amp;D96,C96),"")</f>
        <v/>
      </c>
    </row>
    <row r="97" spans="1:8" ht="168" customHeight="1">
      <c r="A97" s="125" t="s">
        <v>113</v>
      </c>
      <c r="B97" s="125" t="s">
        <v>114</v>
      </c>
      <c r="C97" s="125" t="s">
        <v>897</v>
      </c>
      <c r="D97" s="27" t="s">
        <v>891</v>
      </c>
      <c r="E97" s="27" t="s">
        <v>882</v>
      </c>
      <c r="F97" s="126"/>
      <c r="G97" s="127" t="str">
        <f>IF(OR(Table1[[#This Row],[English]]&lt;&gt;"",Table1[[#This Row],[Français]]&lt;&gt;""),Table1[[#This Row],[Français]]&amp;"//"&amp;Table1[[#This Row],[English]],"")</f>
        <v>Redevances superficiaires//Surface fees</v>
      </c>
      <c r="H97" s="128" t="str">
        <f t="shared" si="2"/>
        <v>Maison NBK Service doit payer la redevance de superficie forestière et toutes autres taxes et redevances en vigueur liées a l'exploitation de la concession, dans les délais prescrits par la réglementation fiscale --Art. 9(6)</v>
      </c>
    </row>
    <row r="98" spans="1:8" ht="30">
      <c r="A98" s="27" t="s">
        <v>115</v>
      </c>
      <c r="B98" s="27" t="s">
        <v>116</v>
      </c>
      <c r="C98" s="175"/>
      <c r="D98" s="27"/>
      <c r="E98" s="27"/>
      <c r="F98" s="29"/>
      <c r="G98" s="30" t="str">
        <f>IF(OR(Table1[[#This Row],[English]]&lt;&gt;"",Table1[[#This Row],[Français]]&lt;&gt;""),Table1[[#This Row],[Français]]&amp;"//"&amp;Table1[[#This Row],[English]],"")</f>
        <v>Obligations communautaires ou sous-nationales//Community and regional obligations</v>
      </c>
      <c r="H98" s="31" t="str">
        <f t="shared" si="2"/>
        <v/>
      </c>
    </row>
    <row r="99" spans="1:8" ht="29" customHeight="1">
      <c r="A99" s="27" t="s">
        <v>198</v>
      </c>
      <c r="B99" s="27" t="s">
        <v>170</v>
      </c>
      <c r="C99" s="177"/>
      <c r="D99" s="10"/>
      <c r="E99" s="27"/>
      <c r="F99" s="29"/>
      <c r="G99" s="52" t="str">
        <f>IF(OR(Table1[[#This Row],[English]]&lt;&gt;"",Table1[[#This Row],[Français]]&lt;&gt;""),Table1[[#This Row],[Français]]&amp;"//"&amp;Table1[[#This Row],[English]],"")</f>
        <v>Crédits de carbone//Carbon credits</v>
      </c>
      <c r="H99" s="53" t="str">
        <f>IF(C99&lt;&gt;"",IF(D99&lt;&gt;"",C99&amp;"--"&amp;D99,C99),"")</f>
        <v/>
      </c>
    </row>
    <row r="100" spans="1:8">
      <c r="A100" s="84" t="s">
        <v>117</v>
      </c>
      <c r="B100" s="88" t="s">
        <v>118</v>
      </c>
      <c r="C100" s="173"/>
      <c r="D100" s="156"/>
      <c r="E100" s="156"/>
      <c r="F100" s="85"/>
      <c r="G100" s="86" t="str">
        <f>IF(OR(Table1[[#This Row],[English]]&lt;&gt;"",Table1[[#This Row],[Français]]&lt;&gt;""),Table1[[#This Row],[Français]]&amp;"//"&amp;Table1[[#This Row],[English]],"")</f>
        <v>Primes//Bonuses</v>
      </c>
      <c r="H100" s="87" t="str">
        <f t="shared" si="2"/>
        <v/>
      </c>
    </row>
    <row r="101" spans="1:8" ht="74" customHeight="1">
      <c r="A101" s="84" t="s">
        <v>119</v>
      </c>
      <c r="B101" s="88" t="s">
        <v>120</v>
      </c>
      <c r="C101" s="172"/>
      <c r="D101" s="147"/>
      <c r="E101" s="147"/>
      <c r="F101" s="85"/>
      <c r="G101" s="86" t="str">
        <f>IF(OR(Table1[[#This Row],[English]]&lt;&gt;"",Table1[[#This Row],[Français]]&lt;&gt;""),Table1[[#This Row],[Français]]&amp;"//"&amp;Table1[[#This Row],[English]],"")</f>
        <v>Participation de l'Etat//State participation</v>
      </c>
      <c r="H101" s="87" t="str">
        <f t="shared" si="2"/>
        <v/>
      </c>
    </row>
    <row r="102" spans="1:8" ht="165">
      <c r="A102" s="84" t="s">
        <v>121</v>
      </c>
      <c r="B102" s="84" t="s">
        <v>122</v>
      </c>
      <c r="C102" s="84" t="s">
        <v>900</v>
      </c>
      <c r="D102" s="84" t="s">
        <v>857</v>
      </c>
      <c r="E102" s="84" t="s">
        <v>858</v>
      </c>
      <c r="F102" s="85"/>
      <c r="G102" s="86" t="str">
        <f>IF(OR(Table1[[#This Row],[English]]&lt;&gt;"",Table1[[#This Row],[Français]]&lt;&gt;""),Table1[[#This Row],[Français]]&amp;"//"&amp;Table1[[#This Row],[English]],"")</f>
        <v>Exonérations non-précisées ailleurs//Other exemptions</v>
      </c>
      <c r="H102" s="87" t="str">
        <f t="shared" si="2"/>
        <v>Aucune - Maison NBK Service est tenu au paiement régulier et dans les délais légaux des taxes et redevances forestières en vigueur et ne peut bénéficier d'aucune exonération--Art. 19</v>
      </c>
    </row>
    <row r="103" spans="1:8" ht="270" customHeight="1">
      <c r="A103" s="103" t="s">
        <v>196</v>
      </c>
      <c r="B103" s="103" t="s">
        <v>195</v>
      </c>
      <c r="C103" s="172" t="s">
        <v>901</v>
      </c>
      <c r="D103" s="88" t="s">
        <v>894</v>
      </c>
      <c r="E103" s="88" t="s">
        <v>895</v>
      </c>
      <c r="F103" s="85"/>
      <c r="G103" s="86" t="str">
        <f>IF(OR(Table1[[#This Row],[English]]&lt;&gt;"",Table1[[#This Row],[Français]]&lt;&gt;""),Table1[[#This Row],[Français]]&amp;"//"&amp;Table1[[#This Row],[English]],"")</f>
        <v>Modes d'audit à l'égard des obligations financières du détenteur du titre//Audit mechanisms - financial obligations</v>
      </c>
      <c r="H103" s="87" t="str">
        <f t="shared" si="2"/>
        <v>A la fin de la concession, un bilan de clôture des comptes est dressé par Maison NBK Service dans un délai maximum de 6 mois à compter de la date d'expiration du présent contrat de concession--Art. 29</v>
      </c>
    </row>
    <row r="104" spans="1:8" ht="158" customHeight="1">
      <c r="A104" s="84" t="s">
        <v>123</v>
      </c>
      <c r="B104" s="84" t="s">
        <v>124</v>
      </c>
      <c r="C104" s="197"/>
      <c r="D104" s="147"/>
      <c r="E104" s="147"/>
      <c r="F104" s="85"/>
      <c r="G104" s="86" t="str">
        <f>IF(OR(Table1[[#This Row],[English]]&lt;&gt;"",Table1[[#This Row],[Français]]&lt;&gt;""),Table1[[#This Row],[Français]]&amp;"//"&amp;Table1[[#This Row],[English]],"")</f>
        <v>Restrictions sur les transactions avec les parties liées//Restrictions on transactions with affiliated parties</v>
      </c>
      <c r="H104" s="87" t="str">
        <f>IF(C104&lt;&gt;"",IF(D104&lt;&gt;"",C104&amp;"--"&amp;D104,C104),"")</f>
        <v/>
      </c>
    </row>
    <row r="105" spans="1:8" ht="72" customHeight="1">
      <c r="A105" s="82" t="s">
        <v>176</v>
      </c>
      <c r="B105" s="81" t="s">
        <v>174</v>
      </c>
      <c r="C105" s="172"/>
      <c r="D105" s="88"/>
      <c r="E105" s="147"/>
      <c r="F105" s="85"/>
      <c r="G105" s="86" t="str">
        <f>IF(OR(Table1[[#This Row],[English]]&lt;&gt;"",Table1[[#This Row],[Français]]&lt;&gt;""),Table1[[#This Row],[Français]]&amp;"//"&amp;Table1[[#This Row],[English]],"")</f>
        <v>Autre - [le nom de catégorie]//Other - [Name of Category]</v>
      </c>
      <c r="H105" s="87" t="str">
        <f t="shared" si="2"/>
        <v/>
      </c>
    </row>
    <row r="106" spans="1:8">
      <c r="A106" s="149"/>
      <c r="B106" s="34"/>
      <c r="C106" s="191"/>
      <c r="D106" s="148"/>
      <c r="E106" s="148"/>
      <c r="F106" s="15"/>
      <c r="G106" s="16" t="str">
        <f>IF(OR(Table1[[#This Row],[English]]&lt;&gt;"",Table1[[#This Row],[Français]]&lt;&gt;""),Table1[[#This Row],[Français]]&amp;"//"&amp;Table1[[#This Row],[English]],"")</f>
        <v/>
      </c>
      <c r="H106" s="35" t="str">
        <f t="shared" si="2"/>
        <v/>
      </c>
    </row>
    <row r="107" spans="1:8" ht="30">
      <c r="A107" s="61" t="s">
        <v>191</v>
      </c>
      <c r="B107" s="62" t="s">
        <v>125</v>
      </c>
      <c r="C107" s="164"/>
      <c r="D107" s="153"/>
      <c r="E107" s="153"/>
      <c r="F107" s="18"/>
      <c r="G107" s="19" t="str">
        <f>IF(OR(Table1[[#This Row],[English]]&lt;&gt;"",Table1[[#This Row],[Français]]&lt;&gt;""),Table1[[#This Row],[Français]]&amp;"//"&amp;Table1[[#This Row],[English]],"")</f>
        <v>4. Dispositions environnementales //4. Environmental provisions</v>
      </c>
      <c r="H107" s="20" t="str">
        <f t="shared" si="2"/>
        <v/>
      </c>
    </row>
    <row r="108" spans="1:8" ht="212" customHeight="1">
      <c r="A108" s="92" t="s">
        <v>212</v>
      </c>
      <c r="B108" s="92" t="s">
        <v>220</v>
      </c>
      <c r="C108" s="227" t="s">
        <v>896</v>
      </c>
      <c r="D108" s="75" t="s">
        <v>859</v>
      </c>
      <c r="E108" s="75" t="s">
        <v>883</v>
      </c>
      <c r="F108" s="67"/>
      <c r="G108" s="68"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8" s="69" t="str">
        <f t="shared" si="2"/>
        <v>Maison NBK Service s'engage à préparer et à soumettre pour approbation à l'administration chargée des forêts, dans une période maximum de 4 ans, le plan d'aménagement  conformément à la législation et à la réglementation en vigueur. Ce plan doit comprendre l'ensemble des obligations de Maison NBK Service  en vue de s'assurer une gestion durable de la forêt concédée. Dans l'intervalle qui sépare la signature du présent contrat et l'approbation du plan, Maison NBK Service ne peut exploiter la forêt concédée qu’en conformité avec un plan de gestion. Le plan de gestion, qui doit être approuvé en même temps que le contrat de concession et constitue l'ensemble des engagements de Maison NBK Service avant l'approbation du plan d'aménagement, indique la description des activités de protection de l'environnement et de la conservation de la biodiversité et notamment les mesures de réduction, d'atténuation et de compensation de tout impact négatif des activités du concessionnaire sur l'environnement.--Art. 10</v>
      </c>
    </row>
    <row r="109" spans="1:8" ht="45">
      <c r="A109" s="121" t="s">
        <v>214</v>
      </c>
      <c r="B109" s="121" t="s">
        <v>213</v>
      </c>
      <c r="C109" s="179"/>
      <c r="D109" s="10"/>
      <c r="E109" s="10"/>
      <c r="F109" s="138"/>
      <c r="G109" s="139"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9" s="140" t="str">
        <f t="shared" si="2"/>
        <v/>
      </c>
    </row>
    <row r="110" spans="1:8" ht="75">
      <c r="A110" s="93" t="s">
        <v>226</v>
      </c>
      <c r="B110" s="94" t="s">
        <v>180</v>
      </c>
      <c r="C110" s="170"/>
      <c r="D110" s="81"/>
      <c r="E110" s="93"/>
      <c r="F110" s="95"/>
      <c r="G110" s="96"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10" s="97" t="str">
        <f>IF(C110&lt;&gt;"",IF(D110&lt;&gt;"",C110&amp;"--"&amp;D110,C110),"")</f>
        <v/>
      </c>
    </row>
    <row r="111" spans="1:8" ht="295" customHeight="1">
      <c r="A111" s="115" t="s">
        <v>211</v>
      </c>
      <c r="B111" s="115" t="s">
        <v>210</v>
      </c>
      <c r="C111" s="222" t="s">
        <v>885</v>
      </c>
      <c r="D111" s="190" t="s">
        <v>860</v>
      </c>
      <c r="E111" s="190" t="s">
        <v>884</v>
      </c>
      <c r="F111" s="117"/>
      <c r="G111" s="118"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1" s="119" t="str">
        <f>IF(C111&lt;&gt;"",IF(D111&lt;&gt;"",C111&amp;"--"&amp;D111,C111),"")</f>
        <v>Maison NBK Service doit mettre en œuvre les mesures environnementales et de protection de la biodiversité inscrites au présent contrat, y compris les mesures convenues dans le plan de relance dans le cas d'une conversion ou dans la proposition technique dans le cas de l'adjudication selon les termes du cahier des charges. Maison NBK Service est tenu de respecter la législation en vigueur en matière de protection de l'environnement et de conservation de la diversité biologique. Maison NBK Service contribue, en particulier, sur toute l'étendue de sa concession, à la lutte contre les feux de brousse, le braconnage et l'exploitation illégale du bois. Maison NBK Service définit et met en œuvre des mesurés appropriées de contrôle pour minimiser, réduire ou compenser tant à l'intérieur de la concession que dans ses environs immédiats, tout impact négatif sur l'environnement, des travaux de réalisation d'infrastructures. Maison NBK Service est tenu de respecter la mise en réserve de certaines essences et toutes restrictions édictées par l'administration chargée des forêts dans le but de protéger la diversité biologique. Dès qu'il y a un risque d'altération importante de la couverture végétale ou d'altération du sol, le plan d'aménagement indique toutes essences confondues, un nombre maximum de pieds exploitables par assiette annuelle de coupe.--Arts. 9(3), 11, 11(6), 12, 14</v>
      </c>
    </row>
    <row r="112" spans="1:8" ht="45" customHeight="1">
      <c r="A112" s="82" t="s">
        <v>240</v>
      </c>
      <c r="B112" s="81" t="s">
        <v>239</v>
      </c>
      <c r="C112" s="160"/>
      <c r="D112" s="75"/>
      <c r="E112" s="75"/>
      <c r="F112" s="67"/>
      <c r="G112" s="68" t="str">
        <f>IF(OR(Table1[[#This Row],[English]]&lt;&gt;"",Table1[[#This Row],[Français]]&lt;&gt;""),Table1[[#This Row],[Français]]&amp;"//"&amp;Table1[[#This Row],[English]],"")</f>
        <v>Autre - [Responsabilité environnementale]//Other - [Environmental liability]</v>
      </c>
      <c r="H112" s="69" t="str">
        <f t="shared" si="2"/>
        <v/>
      </c>
    </row>
    <row r="113" spans="1:8">
      <c r="A113" s="37"/>
      <c r="B113" s="38"/>
      <c r="C113" s="180"/>
      <c r="D113" s="193"/>
      <c r="E113" s="193"/>
      <c r="F113" s="15"/>
      <c r="G113" s="16" t="str">
        <f>IF(OR(Table1[[#This Row],[English]]&lt;&gt;"",Table1[[#This Row],[Français]]&lt;&gt;""),Table1[[#This Row],[Français]]&amp;"//"&amp;Table1[[#This Row],[English]],"")</f>
        <v/>
      </c>
      <c r="H113" s="17" t="str">
        <f t="shared" si="2"/>
        <v/>
      </c>
    </row>
    <row r="114" spans="1:8" ht="45">
      <c r="A114" s="61" t="s">
        <v>183</v>
      </c>
      <c r="B114" s="18" t="s">
        <v>126</v>
      </c>
      <c r="C114" s="164"/>
      <c r="D114" s="153"/>
      <c r="E114" s="153"/>
      <c r="F114" s="18"/>
      <c r="G114" s="19" t="str">
        <f>IF(OR(Table1[[#This Row],[English]]&lt;&gt;"",Table1[[#This Row],[Français]]&lt;&gt;""),Table1[[#This Row],[Français]]&amp;"//"&amp;Table1[[#This Row],[English]],"")</f>
        <v>5. Dispositions relatives aux opérations et à l’infrastructure//5. Operational provisions</v>
      </c>
      <c r="H114" s="20" t="str">
        <f t="shared" si="2"/>
        <v/>
      </c>
    </row>
    <row r="115" spans="1:8" ht="409">
      <c r="A115" s="55" t="s">
        <v>181</v>
      </c>
      <c r="B115" s="63" t="s">
        <v>182</v>
      </c>
      <c r="C115" s="181" t="s">
        <v>905</v>
      </c>
      <c r="D115" s="64" t="s">
        <v>859</v>
      </c>
      <c r="E115" s="63" t="s">
        <v>904</v>
      </c>
      <c r="F115" s="63"/>
      <c r="G115" s="65" t="str">
        <f>IF(OR(Table1[[#This Row],[English]]&lt;&gt;"",Table1[[#This Row],[Français]]&lt;&gt;""),Table1[[#This Row],[Français]]&amp;"//"&amp;Table1[[#This Row],[English]],"")</f>
        <v>L'étude de faisabilité et le plan d'affaires//Feasibility studies and requirement of business plan</v>
      </c>
      <c r="H115" s="53" t="str">
        <f>IF(C115&lt;&gt;"",IF(D115&lt;&gt;"",C115&amp;"--"&amp;D115,C115),"")</f>
        <v>Maison NBK Service s'engage à préparer et à soumettre pour approbation à l'administration chargée des forêts, dans une période maximum de 4 ans, le plan d'aménagement. Dans l'intervalle qui sépare la signature du contrat de l'approbation du plan d'aménagement, Maison NBK Service exploite la forêt concédée en conformité avec un plan de gestion. Le plan de gestion constitue l'ensemble des engagements de Maison NBK Service avant l'approbation du plan d'aménagement.--Art. 10</v>
      </c>
    </row>
    <row r="116" spans="1:8" ht="53" customHeight="1">
      <c r="A116" s="92" t="s">
        <v>127</v>
      </c>
      <c r="B116" s="98" t="s">
        <v>128</v>
      </c>
      <c r="C116" s="160" t="s">
        <v>902</v>
      </c>
      <c r="D116" s="75" t="s">
        <v>903</v>
      </c>
      <c r="E116" s="75" t="s">
        <v>882</v>
      </c>
      <c r="F116" s="67"/>
      <c r="G116" s="68" t="str">
        <f>IF(OR(Table1[[#This Row],[English]]&lt;&gt;"",Table1[[#This Row],[Français]]&lt;&gt;""),Table1[[#This Row],[Français]]&amp;"//"&amp;Table1[[#This Row],[English]],"")</f>
        <v>Obligations de travaux, d'investissements//Work and investment commitments</v>
      </c>
      <c r="H116" s="69" t="str">
        <f t="shared" si="2"/>
        <v>Maison NBK Service doit réaliser les investissements, y compris l'acquisition des équipements prévus, la remise en état ou la modernisation de l'outil de transformation, ainsi que le recrutement du personnel nécessaire et autres activités prévues dans la proposition du plan de relance, dans le cas d' une concession ou dans la proposition technique dans le cas d'une adjudication, et écrits dans le cahier des charges--Art. 9(5)</v>
      </c>
    </row>
    <row r="117" spans="1:8">
      <c r="A117" s="36" t="s">
        <v>129</v>
      </c>
      <c r="B117" s="36" t="s">
        <v>130</v>
      </c>
      <c r="C117" s="182"/>
      <c r="D117" s="10"/>
      <c r="E117" s="10"/>
      <c r="F117" s="11"/>
      <c r="G117" s="12" t="str">
        <f>IF(OR(Table1[[#This Row],[English]]&lt;&gt;"",Table1[[#This Row],[Français]]&lt;&gt;""),Table1[[#This Row],[Français]]&amp;"//"&amp;Table1[[#This Row],[English]],"")</f>
        <v>Rétrocession//Transfer of risk</v>
      </c>
      <c r="H117" s="13" t="str">
        <f t="shared" si="2"/>
        <v/>
      </c>
    </row>
    <row r="118" spans="1:8" ht="30">
      <c r="A118" s="66" t="s">
        <v>131</v>
      </c>
      <c r="B118" s="66" t="s">
        <v>132</v>
      </c>
      <c r="C118" s="162"/>
      <c r="D118" s="151"/>
      <c r="E118" s="151"/>
      <c r="F118" s="67"/>
      <c r="G118" s="68" t="str">
        <f>IF(OR(Table1[[#This Row],[English]]&lt;&gt;"",Table1[[#This Row],[Français]]&lt;&gt;""),Table1[[#This Row],[Français]]&amp;"//"&amp;Table1[[#This Row],[English]],"")</f>
        <v>Construction et entretien d'infrastructure//Construction and maintenance of infrastructure</v>
      </c>
      <c r="H118" s="69" t="str">
        <f t="shared" si="2"/>
        <v/>
      </c>
    </row>
    <row r="119" spans="1:8" ht="15" customHeight="1">
      <c r="A119" s="10" t="s">
        <v>203</v>
      </c>
      <c r="B119" s="10" t="s">
        <v>133</v>
      </c>
      <c r="C119" s="169"/>
      <c r="D119" s="10"/>
      <c r="E119" s="10"/>
      <c r="F119" s="11"/>
      <c r="G119" s="12" t="str">
        <f>IF(OR(Table1[[#This Row],[English]]&lt;&gt;"",Table1[[#This Row],[Français]]&lt;&gt;""),Table1[[#This Row],[Français]]&amp;"//"&amp;Table1[[#This Row],[English]],"")</f>
        <v>Commercialisation et accès gouvernemental à la production //Marketing of output and state access to output</v>
      </c>
      <c r="H119" s="13" t="str">
        <f t="shared" si="2"/>
        <v/>
      </c>
    </row>
    <row r="120" spans="1:8" ht="129" customHeight="1">
      <c r="A120" s="110" t="s">
        <v>134</v>
      </c>
      <c r="B120" s="111" t="s">
        <v>135</v>
      </c>
      <c r="C120" s="225"/>
      <c r="D120" s="75"/>
      <c r="E120" s="75"/>
      <c r="F120" s="112"/>
      <c r="G120" s="113" t="str">
        <f>IF(OR(Table1[[#This Row],[English]]&lt;&gt;"",Table1[[#This Row],[Français]]&lt;&gt;""),Table1[[#This Row],[Français]]&amp;"//"&amp;Table1[[#This Row],[English]],"")</f>
        <v>Utilisation d’infrastructure par les tiers//Third party use of infrastructure</v>
      </c>
      <c r="H120" s="114" t="str">
        <f t="shared" si="2"/>
        <v/>
      </c>
    </row>
    <row r="121" spans="1:8">
      <c r="A121" s="39" t="s">
        <v>136</v>
      </c>
      <c r="B121" s="33" t="s">
        <v>137</v>
      </c>
      <c r="C121" s="223"/>
      <c r="D121" s="216"/>
      <c r="E121" s="216"/>
      <c r="F121" s="11"/>
      <c r="G121" s="12" t="str">
        <f>IF(OR(Table1[[#This Row],[English]]&lt;&gt;"",Table1[[#This Row],[Français]]&lt;&gt;""),Table1[[#This Row],[Français]]&amp;"//"&amp;Table1[[#This Row],[English]],"")</f>
        <v>Financement d’infrastructure//Financing of infrastructure</v>
      </c>
      <c r="H121" s="13" t="str">
        <f t="shared" si="2"/>
        <v/>
      </c>
    </row>
    <row r="122" spans="1:8">
      <c r="A122" s="39" t="s">
        <v>138</v>
      </c>
      <c r="B122" s="33" t="s">
        <v>139</v>
      </c>
      <c r="C122" s="223"/>
      <c r="D122" s="216"/>
      <c r="E122" s="216"/>
      <c r="F122" s="11"/>
      <c r="G122" s="12" t="str">
        <f>IF(OR(Table1[[#This Row],[English]]&lt;&gt;"",Table1[[#This Row],[Français]]&lt;&gt;""),Table1[[#This Row],[Français]]&amp;"//"&amp;Table1[[#This Row],[English]],"")</f>
        <v>Propriété d’infrastructure//Ownership of infrastructure</v>
      </c>
      <c r="H122" s="13" t="str">
        <f t="shared" si="2"/>
        <v/>
      </c>
    </row>
    <row r="123" spans="1:8" ht="180">
      <c r="A123" s="28" t="s">
        <v>197</v>
      </c>
      <c r="B123" s="27" t="s">
        <v>194</v>
      </c>
      <c r="C123" s="176" t="s">
        <v>901</v>
      </c>
      <c r="D123" s="228" t="s">
        <v>894</v>
      </c>
      <c r="E123" s="228" t="s">
        <v>895</v>
      </c>
      <c r="F123" s="29"/>
      <c r="G123" s="30" t="str">
        <f>IF(OR(Table1[[#This Row],[English]]&lt;&gt;"",Table1[[#This Row],[Français]]&lt;&gt;""),Table1[[#This Row],[Français]]&amp;"//"&amp;Table1[[#This Row],[English]],"")</f>
        <v>Modes d'audit à l'égard des dispositions opérationnelles//Audit mechanisms - operational obligations</v>
      </c>
      <c r="H123" s="31" t="str">
        <f t="shared" si="2"/>
        <v>A la fin de la concession, un bilan de clôture des comptes est dressé par Maison NBK Service dans un délai maximum de 6 mois à compter de la date d'expiration du présent contrat de concession--Art. 29</v>
      </c>
    </row>
    <row r="124" spans="1:8" ht="30">
      <c r="A124" s="54" t="s">
        <v>179</v>
      </c>
      <c r="B124" s="55" t="s">
        <v>171</v>
      </c>
      <c r="C124" s="218"/>
      <c r="D124" s="217"/>
      <c r="E124" s="222"/>
      <c r="F124" s="54"/>
      <c r="G124" s="52" t="str">
        <f>IF(OR(Table1[[#This Row],[English]]&lt;&gt;"",Table1[[#This Row],[Français]]&lt;&gt;""),Table1[[#This Row],[Français]]&amp;"//"&amp;Table1[[#This Row],[English]],"")</f>
        <v>Activité de beneficiation/ valeur ajoutée//Value addition/downstream activities</v>
      </c>
      <c r="H124" s="53" t="str">
        <f>IF(C124&lt;&gt;"",IF(D124&lt;&gt;"",C124&amp;"--"&amp;D124,C124),"")</f>
        <v/>
      </c>
    </row>
    <row r="125" spans="1:8" ht="113" customHeight="1">
      <c r="A125" s="133" t="s">
        <v>227</v>
      </c>
      <c r="B125" s="134" t="s">
        <v>172</v>
      </c>
      <c r="C125" s="134" t="s">
        <v>874</v>
      </c>
      <c r="D125" s="134" t="s">
        <v>861</v>
      </c>
      <c r="E125" s="134" t="s">
        <v>854</v>
      </c>
      <c r="F125" s="135"/>
      <c r="G125" s="136"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5" s="137" t="str">
        <f>IF(C125&lt;&gt;"",IF(D125&lt;&gt;"",C125&amp;"--"&amp;D125,C125),"")</f>
        <v>Maison NBK Service bénéficie d'une servitude de passage sur les fonds riverains, destinée à favoriser l'accès à sa concession et l'évacuation de sa production. Il exerce cette servitude uniquement dans les limites de ce qui est strictement nécessaire à son droit de passage.--Art. 7</v>
      </c>
    </row>
    <row r="126" spans="1:8" ht="70" customHeight="1">
      <c r="A126" s="82" t="s">
        <v>176</v>
      </c>
      <c r="B126" s="198" t="s">
        <v>174</v>
      </c>
      <c r="C126" s="170"/>
      <c r="D126" s="81"/>
      <c r="E126" s="93"/>
      <c r="F126" s="95"/>
      <c r="G126" s="96" t="str">
        <f>IF(OR(Table1[[#This Row],[English]]&lt;&gt;"",Table1[[#This Row],[Français]]&lt;&gt;""),Table1[[#This Row],[Français]]&amp;"//"&amp;Table1[[#This Row],[English]],"")</f>
        <v>Autre - [le nom de catégorie]//Other - [Name of Category]</v>
      </c>
      <c r="H126" s="97" t="str">
        <f>IF(C126&lt;&gt;"",IF(D126&lt;&gt;"",C126&amp;"--"&amp;D126,C126),"")</f>
        <v/>
      </c>
    </row>
    <row r="127" spans="1:8" ht="29" customHeight="1">
      <c r="A127" s="194"/>
      <c r="B127" s="40"/>
      <c r="C127" s="195"/>
      <c r="D127" s="196"/>
      <c r="E127" s="196"/>
      <c r="F127" s="15"/>
      <c r="G127" s="16" t="str">
        <f>IF(OR(Table1[[#This Row],[English]]&lt;&gt;"",Table1[[#This Row],[Français]]&lt;&gt;""),Table1[[#This Row],[Français]]&amp;"//"&amp;Table1[[#This Row],[English]],"")</f>
        <v/>
      </c>
      <c r="H127" s="17" t="str">
        <f t="shared" si="2"/>
        <v/>
      </c>
    </row>
    <row r="128" spans="1:8" ht="30">
      <c r="A128" s="21" t="s">
        <v>140</v>
      </c>
      <c r="B128" s="21" t="s">
        <v>141</v>
      </c>
      <c r="C128" s="164"/>
      <c r="D128" s="153"/>
      <c r="E128" s="153"/>
      <c r="F128" s="18"/>
      <c r="G128" s="19" t="str">
        <f>IF(OR(Table1[[#This Row],[English]]&lt;&gt;"",Table1[[#This Row],[Français]]&lt;&gt;""),Table1[[#This Row],[Français]]&amp;"//"&amp;Table1[[#This Row],[English]],"")</f>
        <v>6. Dispositions diverses//6. Miscellaneous provisions</v>
      </c>
      <c r="H128" s="20" t="str">
        <f t="shared" si="2"/>
        <v/>
      </c>
    </row>
    <row r="129" spans="1:8" ht="37" customHeight="1">
      <c r="A129" s="98" t="s">
        <v>142</v>
      </c>
      <c r="B129" s="92" t="s">
        <v>143</v>
      </c>
      <c r="C129" s="160"/>
      <c r="D129" s="70"/>
      <c r="E129" s="70"/>
      <c r="F129" s="67"/>
      <c r="G129" s="68" t="str">
        <f>IF(OR(Table1[[#This Row],[English]]&lt;&gt;"",Table1[[#This Row],[Français]]&lt;&gt;""),Table1[[#This Row],[Français]]&amp;"//"&amp;Table1[[#This Row],[English]],"")</f>
        <v>Loi applicable en cas des différends//Governing law in case of dispute</v>
      </c>
      <c r="H129" s="69" t="str">
        <f t="shared" si="2"/>
        <v/>
      </c>
    </row>
    <row r="130" spans="1:8" ht="203" customHeight="1">
      <c r="A130" s="98" t="s">
        <v>144</v>
      </c>
      <c r="B130" s="84" t="s">
        <v>145</v>
      </c>
      <c r="C130" s="221" t="s">
        <v>887</v>
      </c>
      <c r="D130" s="75" t="s">
        <v>862</v>
      </c>
      <c r="E130" s="75" t="s">
        <v>886</v>
      </c>
      <c r="F130" s="67"/>
      <c r="G130" s="68" t="str">
        <f>IF(OR(Table1[[#This Row],[English]]&lt;&gt;"",Table1[[#This Row],[Français]]&lt;&gt;""),Table1[[#This Row],[Français]]&amp;"//"&amp;Table1[[#This Row],[English]],"")</f>
        <v>Arbitrage et règlement des différends//Arbitration and dispute resolution</v>
      </c>
      <c r="H130" s="69" t="str">
        <f t="shared" si="2"/>
        <v>En cas de différend sur le tracé des voies d'accès ou d'évacuation à la concession, Maison NBK Service fera appel aux mécanismes de règlement des différends définis aux articles 103 et 104 du code forestier. En cas de résiliation du contrat ou de déchéance, Maison NBK Service dispose des recours légaux devant les juridictions compétentes. Tout différend relatif à l'interprétation ou l'exécution du présent contrat de concession et du cahier des charges sera réglé à l'amiable. En cas d'échec, le litige sera soumis aux juridictions compétentes à moins que les parties conviennent de recourir à l'arbitrage prévu par les articles 159 à 174 du code de procédure civile.--Arts. 7, 26, 30</v>
      </c>
    </row>
    <row r="131" spans="1:8" ht="153" customHeight="1">
      <c r="A131" s="98" t="s">
        <v>146</v>
      </c>
      <c r="B131" s="92" t="s">
        <v>147</v>
      </c>
      <c r="C131" s="224"/>
      <c r="D131" s="154"/>
      <c r="E131" s="154"/>
      <c r="F131" s="67"/>
      <c r="G131" s="68" t="str">
        <f>IF(OR(Table1[[#This Row],[English]]&lt;&gt;"",Table1[[#This Row],[Français]]&lt;&gt;""),Table1[[#This Row],[Français]]&amp;"//"&amp;Table1[[#This Row],[English]],"")</f>
        <v>Clause de stabilisation//Stabilization clause</v>
      </c>
      <c r="H131" s="69" t="str">
        <f t="shared" si="2"/>
        <v/>
      </c>
    </row>
    <row r="132" spans="1:8">
      <c r="A132" s="36" t="s">
        <v>148</v>
      </c>
      <c r="B132" s="10" t="s">
        <v>149</v>
      </c>
      <c r="C132" s="223"/>
      <c r="D132" s="216"/>
      <c r="E132" s="216"/>
      <c r="F132" s="11"/>
      <c r="G132" s="12" t="str">
        <f>IF(OR(Table1[[#This Row],[English]]&lt;&gt;"",Table1[[#This Row],[Français]]&lt;&gt;""),Table1[[#This Row],[Français]]&amp;"//"&amp;Table1[[#This Row],[English]],"")</f>
        <v>Cession / transfert//Assignment / transfer</v>
      </c>
      <c r="H132" s="13" t="str">
        <f t="shared" si="2"/>
        <v/>
      </c>
    </row>
    <row r="133" spans="1:8" ht="222" customHeight="1">
      <c r="A133" s="36" t="s">
        <v>228</v>
      </c>
      <c r="B133" s="10" t="s">
        <v>150</v>
      </c>
      <c r="C133" s="10" t="s">
        <v>888</v>
      </c>
      <c r="D133" s="10" t="s">
        <v>863</v>
      </c>
      <c r="E133" s="10" t="s">
        <v>864</v>
      </c>
      <c r="F133" s="11"/>
      <c r="G133" s="12" t="str">
        <f>IF(OR(Table1[[#This Row],[English]]&lt;&gt;"",Table1[[#This Row],[Français]]&lt;&gt;""),Table1[[#This Row],[Français]]&amp;"//"&amp;Table1[[#This Row],[English]],"")</f>
        <v>Annulation / Résiliation //Cancellation / termination</v>
      </c>
      <c r="H133" s="13" t="str">
        <f t="shared" si="2"/>
        <v>Maison NBK Service a la faculté de renoncer au bénéfice de la concession avant l'expiration du contrat de concession forestière. En cas de non respect par Maison NBK Service de l'une des quelconques clauses du contrat et/ou du cahier des charges et après une mise en demeure assortie d'un délai ne dépassant pas 3 mois, le Gouvernement prescrit toutes mesures conservatoires destinées à assurer le respect des dispositions du présent contrat et du cahier des charges. Le contrat est résilié dans certains cas, y compris: (1) la commission de tout acte ou tentative d'acte de corruption, de dol ou de violence; ou (2) la violation répétée, après expiration des délais légaux mise en demeure, d'obligations sociales et environnementales découlant du présent contrat et du cahier des charges. L'état de cessation de paiement d'Maison NBK Service constitue une cause de déchéance et entraîne la résiliation du présent contrat. Le Gouvernement constate la déchéance et procède à la résiliation du contrat par voie d'arrêté. --Arts. 22, 23, 25</v>
      </c>
    </row>
    <row r="134" spans="1:8">
      <c r="A134" s="33" t="s">
        <v>151</v>
      </c>
      <c r="B134" s="33" t="s">
        <v>152</v>
      </c>
      <c r="C134" s="223"/>
      <c r="D134" s="216"/>
      <c r="E134" s="216"/>
      <c r="F134" s="11"/>
      <c r="G134" s="12" t="str">
        <f>IF(OR(Table1[[#This Row],[English]]&lt;&gt;"",Table1[[#This Row],[Français]]&lt;&gt;""),Table1[[#This Row],[Français]]&amp;"//"&amp;Table1[[#This Row],[English]],"")</f>
        <v>Indemnisation//Indemnification</v>
      </c>
      <c r="H134" s="13" t="str">
        <f t="shared" si="2"/>
        <v/>
      </c>
    </row>
    <row r="135" spans="1:8" ht="129" customHeight="1">
      <c r="A135" s="99" t="s">
        <v>153</v>
      </c>
      <c r="B135" s="75" t="s">
        <v>154</v>
      </c>
      <c r="C135" s="226" t="s">
        <v>865</v>
      </c>
      <c r="D135" s="75" t="s">
        <v>866</v>
      </c>
      <c r="E135" s="75" t="s">
        <v>867</v>
      </c>
      <c r="F135" s="67"/>
      <c r="G135" s="68" t="str">
        <f>IF(OR(Table1[[#This Row],[English]]&lt;&gt;"",Table1[[#This Row],[Français]]&lt;&gt;""),Table1[[#This Row],[Français]]&amp;"//"&amp;Table1[[#This Row],[English]],"")</f>
        <v>Confidentialité//Confidentiality</v>
      </c>
      <c r="H135" s="69" t="str">
        <f t="shared" si="2"/>
        <v>Si le Gouvernement constate la déchéance et procède à la résiliation du contrat par voie d'arrêté, l'arrêté est publié au journal officiel et une copie est transmise aux cadastres forestiers national et provincial concerne. Le présent contrat ainsi que le cahier des charges sont publiés au journal officiel, déposés au cadastre forestier national, notifiés aux autorités provinciales et locales du ressort, et rendus publics par tout moyen approprié dans les localités riveraines de la concession.--Arts. 25, 31</v>
      </c>
    </row>
    <row r="136" spans="1:8">
      <c r="A136" s="99" t="s">
        <v>155</v>
      </c>
      <c r="B136" s="75" t="s">
        <v>156</v>
      </c>
      <c r="C136" s="172" t="s">
        <v>759</v>
      </c>
      <c r="D136" s="70"/>
      <c r="E136" s="70"/>
      <c r="F136" s="67"/>
      <c r="G136" s="68" t="str">
        <f>IF(OR(Table1[[#This Row],[English]]&lt;&gt;"",Table1[[#This Row],[Français]]&lt;&gt;""),Table1[[#This Row],[Français]]&amp;"//"&amp;Table1[[#This Row],[English]],"")</f>
        <v>Langue//Language</v>
      </c>
      <c r="H136" s="69" t="str">
        <f>IF(C136&lt;&gt;"",IF(D136&lt;&gt;"",C136&amp;"--"&amp;D136,C136),"")</f>
        <v>FRE</v>
      </c>
    </row>
    <row r="137" spans="1:8" ht="45">
      <c r="A137" s="10" t="s">
        <v>238</v>
      </c>
      <c r="B137" s="10" t="s">
        <v>188</v>
      </c>
      <c r="C137" s="161"/>
      <c r="D137" s="10"/>
      <c r="E137" s="10"/>
      <c r="F137" s="11"/>
      <c r="G137" s="42" t="str">
        <f>IF(OR(Table1[[#This Row],[English]]&lt;&gt;"",Table1[[#This Row],[Français]]&lt;&gt;""),Table1[[#This Row],[Français]]&amp;"//"&amp;Table1[[#This Row],[English]],"")</f>
        <v>Obligations de reporting et autres méthodes de contrôle de la conformité//Reporting Requirements and other methods of monitoring compliance</v>
      </c>
      <c r="H137" s="51" t="str">
        <f>IF(C137&lt;&gt;"",IF(D137&lt;&gt;"",C137&amp;"--"&amp;D137,C137),"")</f>
        <v/>
      </c>
    </row>
    <row r="138" spans="1:8" ht="30">
      <c r="A138" s="121" t="s">
        <v>222</v>
      </c>
      <c r="B138" s="121" t="s">
        <v>221</v>
      </c>
      <c r="C138" s="161"/>
      <c r="D138" s="10"/>
      <c r="E138" s="10"/>
      <c r="F138" s="11"/>
      <c r="G138" s="12" t="str">
        <f>IF(OR(Table1[[#This Row],[English]]&lt;&gt;"",Table1[[#This Row],[Français]]&lt;&gt;""),Table1[[#This Row],[Français]]&amp;"//"&amp;Table1[[#This Row],[English]],"")</f>
        <v>Clause de hardship ou force majeure//Hardship clause or force majeure</v>
      </c>
      <c r="H138" s="13" t="str">
        <f t="shared" si="2"/>
        <v/>
      </c>
    </row>
    <row r="139" spans="1:8" ht="30">
      <c r="A139" s="10" t="s">
        <v>175</v>
      </c>
      <c r="B139" s="121" t="s">
        <v>173</v>
      </c>
      <c r="C139" s="187"/>
      <c r="D139" s="33"/>
      <c r="E139" s="33"/>
      <c r="F139" s="41"/>
      <c r="G139" s="42" t="str">
        <f>IF(OR(Table1[[#This Row],[English]]&lt;&gt;"",Table1[[#This Row],[Français]]&lt;&gt;""),Table1[[#This Row],[Français]]&amp;"//"&amp;Table1[[#This Row],[English]],"")</f>
        <v>Expropriation//Expropriation / nationalization</v>
      </c>
      <c r="H139" s="43" t="str">
        <f t="shared" si="2"/>
        <v/>
      </c>
    </row>
    <row r="140" spans="1:8">
      <c r="A140" s="82" t="s">
        <v>176</v>
      </c>
      <c r="B140" s="81" t="s">
        <v>174</v>
      </c>
      <c r="C140" s="183"/>
      <c r="D140" s="192"/>
      <c r="E140" s="157"/>
      <c r="F140" s="100"/>
      <c r="G140" s="101" t="str">
        <f>IF(OR(Table1[[#This Row],[English]]&lt;&gt;"",Table1[[#This Row],[Français]]&lt;&gt;""),Table1[[#This Row],[Français]]&amp;"//"&amp;Table1[[#This Row],[English]],"")</f>
        <v>Autre - [le nom de catégorie]//Other - [Name of Category]</v>
      </c>
      <c r="H140" s="102" t="str">
        <f>IF(C140&lt;&gt;"",IF(D140&lt;&gt;"",C140&amp;"--"&amp;D140,C140),"")</f>
        <v/>
      </c>
    </row>
    <row r="141" spans="1:8">
      <c r="A141" s="44"/>
      <c r="B141" s="14"/>
      <c r="C141" s="188"/>
      <c r="D141" s="152"/>
      <c r="E141" s="152"/>
      <c r="F141" s="15"/>
      <c r="G141" s="16" t="str">
        <f>IF(OR(Table1[[#This Row],[English]]&lt;&gt;"",Table1[[#This Row],[Français]]&lt;&gt;""),Table1[[#This Row],[Français]]&amp;"//"&amp;Table1[[#This Row],[English]],"")</f>
        <v/>
      </c>
      <c r="H141" s="17" t="str">
        <f t="shared" si="2"/>
        <v/>
      </c>
    </row>
    <row r="142" spans="1:8" ht="30">
      <c r="A142" s="21" t="s">
        <v>157</v>
      </c>
      <c r="B142" s="21" t="s">
        <v>158</v>
      </c>
      <c r="C142" s="184"/>
      <c r="D142" s="158"/>
      <c r="E142" s="158"/>
      <c r="F142" s="21"/>
      <c r="G142" s="45" t="str">
        <f>IF(OR(Table1[[#This Row],[English]]&lt;&gt;"",Table1[[#This Row],[Français]]&lt;&gt;""),Table1[[#This Row],[Français]]&amp;"//"&amp;Table1[[#This Row],[English]],"")</f>
        <v>III. Notes sur le document//III. Document notes</v>
      </c>
      <c r="H142" s="46" t="str">
        <f t="shared" si="2"/>
        <v/>
      </c>
    </row>
    <row r="143" spans="1:8">
      <c r="A143" s="10" t="s">
        <v>159</v>
      </c>
      <c r="B143" s="10" t="s">
        <v>160</v>
      </c>
      <c r="C143" s="185"/>
      <c r="D143" s="33"/>
      <c r="E143" s="33"/>
      <c r="F143" s="41"/>
      <c r="G143" s="42" t="str">
        <f>IF(OR(Table1[[#This Row],[English]]&lt;&gt;"",Table1[[#This Row],[Français]]&lt;&gt;""),Table1[[#This Row],[Français]]&amp;"//"&amp;Table1[[#This Row],[English]],"")</f>
        <v>Pages Manquantes de la copie//Pages missing from  copy</v>
      </c>
      <c r="H143" s="43" t="str">
        <f t="shared" si="2"/>
        <v/>
      </c>
    </row>
    <row r="144" spans="1:8" ht="30">
      <c r="A144" s="10" t="s">
        <v>161</v>
      </c>
      <c r="B144" s="10" t="s">
        <v>162</v>
      </c>
      <c r="C144" s="10" t="s">
        <v>878</v>
      </c>
      <c r="D144" s="10"/>
      <c r="E144" s="10" t="s">
        <v>879</v>
      </c>
      <c r="F144" s="22"/>
      <c r="G144" s="23" t="str">
        <f>IF(OR(Table1[[#This Row],[English]]&lt;&gt;"",Table1[[#This Row],[Français]]&lt;&gt;""),Table1[[#This Row],[Français]]&amp;"//"&amp;Table1[[#This Row],[English]],"")</f>
        <v>Annexes Manquantes de la copie//Annexes missing from copy</v>
      </c>
      <c r="H144" s="13" t="str">
        <f t="shared" si="2"/>
        <v>Le cahier des charges</v>
      </c>
    </row>
    <row r="148" spans="1:8">
      <c r="A148"/>
      <c r="B148"/>
      <c r="C148"/>
      <c r="D148"/>
      <c r="G148"/>
      <c r="H148"/>
    </row>
    <row r="149" spans="1:8">
      <c r="A149"/>
      <c r="B149"/>
      <c r="C149"/>
      <c r="D149"/>
      <c r="G149"/>
      <c r="H149"/>
    </row>
    <row r="150" spans="1:8">
      <c r="A150"/>
      <c r="B150"/>
      <c r="C150"/>
      <c r="D150"/>
      <c r="G150"/>
      <c r="H150"/>
    </row>
    <row r="151" spans="1:8">
      <c r="A151"/>
      <c r="B151"/>
      <c r="C151"/>
      <c r="D151"/>
      <c r="G151"/>
      <c r="H151"/>
    </row>
  </sheetData>
  <mergeCells count="3">
    <mergeCell ref="B16:C16"/>
    <mergeCell ref="G16:H16"/>
    <mergeCell ref="C12:D12"/>
  </mergeCells>
  <phoneticPr fontId="17" type="noConversion"/>
  <dataValidations count="4">
    <dataValidation type="list" allowBlank="1" showInputMessage="1" showErrorMessage="1" sqref="C19">
      <formula1>countries</formula1>
    </dataValidation>
    <dataValidation type="list" allowBlank="1" showInputMessage="1" showErrorMessage="1" sqref="C51">
      <formula1>resources</formula1>
    </dataValidation>
    <dataValidation type="list" allowBlank="1" showInputMessage="1" showErrorMessage="1" sqref="C27">
      <formula1>license_type</formula1>
    </dataValidation>
    <dataValidation type="list" allowBlank="1" showInputMessage="1" showErrorMessage="1" sqref="C136">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workbookViewId="0">
      <selection activeCell="B6" sqref="B6"/>
    </sheetView>
  </sheetViews>
  <sheetFormatPr baseColWidth="10" defaultColWidth="8.6640625" defaultRowHeight="16" x14ac:dyDescent="0"/>
  <cols>
    <col min="1" max="1" width="30.5" customWidth="1"/>
    <col min="2" max="2" width="31.83203125" style="209" customWidth="1"/>
    <col min="3" max="3" width="23" bestFit="1" customWidth="1"/>
  </cols>
  <sheetData>
    <row r="1" spans="1:2" ht="15">
      <c r="A1" s="49" t="s">
        <v>163</v>
      </c>
      <c r="B1" s="208" t="s">
        <v>164</v>
      </c>
    </row>
    <row r="2" spans="1:2">
      <c r="A2" s="206" t="s">
        <v>751</v>
      </c>
      <c r="B2" s="209" t="str">
        <f>IF(Categories!C136&lt;&gt;"",Categories!C136,"ENG")</f>
        <v>FRE</v>
      </c>
    </row>
    <row r="3" spans="1:2">
      <c r="A3" s="50" t="s">
        <v>245</v>
      </c>
      <c r="B3" s="210" t="str">
        <f>IF(Categories!C19&lt;&gt;"",Categories!C19,"")</f>
        <v>Congo (Kinshasa)</v>
      </c>
    </row>
    <row r="4" spans="1:2">
      <c r="A4" s="50" t="s">
        <v>737</v>
      </c>
      <c r="B4" s="210" t="str">
        <f>IF(Categories!C19&lt;&gt;"",VLOOKUP(Categories!C19,picklists!A2:B248,2,FALSE), "")</f>
        <v>ZAR</v>
      </c>
    </row>
    <row r="5" spans="1:2">
      <c r="A5" t="s">
        <v>739</v>
      </c>
      <c r="B5" s="209" t="str">
        <f>IF(Categories!C51&lt;&gt;"",Categories!C51,"")</f>
        <v>Bois d'œuvre</v>
      </c>
    </row>
    <row r="6" spans="1:2" ht="32">
      <c r="A6" s="50" t="s">
        <v>165</v>
      </c>
      <c r="B6" s="210" t="s">
        <v>906</v>
      </c>
    </row>
    <row r="7" spans="1:2">
      <c r="A7" s="50" t="s">
        <v>166</v>
      </c>
      <c r="B7" s="209">
        <f>IF(Categories!C47&lt;&gt;"",Categories!C47,"")</f>
        <v>40641</v>
      </c>
    </row>
    <row r="8" spans="1:2">
      <c r="A8" t="s">
        <v>167</v>
      </c>
      <c r="B8" s="209">
        <f>IF(Categories!C48&lt;&gt;"",Categories!C48,"")</f>
        <v>2011</v>
      </c>
    </row>
    <row r="9" spans="1:2">
      <c r="A9" t="s">
        <v>168</v>
      </c>
      <c r="B9" s="209" t="str">
        <f>IF(Categories!C49&lt;&gt;"",Categories!C49,"")</f>
        <v>25 ans renouvelables. Le contrat prend fin le 2/08/2036.</v>
      </c>
    </row>
    <row r="10" spans="1:2" ht="15">
      <c r="A10" s="234" t="s">
        <v>747</v>
      </c>
      <c r="B10" s="234"/>
    </row>
    <row r="11" spans="1:2">
      <c r="A11" s="204" t="s">
        <v>12</v>
      </c>
      <c r="B11" s="209" t="str">
        <f>IF(Categories!C20&lt;&gt;"",Categories!C20,"")</f>
        <v>Maison NBK Service</v>
      </c>
    </row>
    <row r="12" spans="1:2">
      <c r="A12" s="204" t="s">
        <v>242</v>
      </c>
      <c r="B12" s="209" t="str">
        <f>IF(Categories!C21&lt;&gt;"",Categories!C21,"")</f>
        <v/>
      </c>
    </row>
    <row r="13" spans="1:2">
      <c r="A13" s="204" t="s">
        <v>14</v>
      </c>
      <c r="B13" s="209" t="str">
        <f>IF(Categories!C22&lt;&gt;"",Categories!C22,"")</f>
        <v>N° 3, Avenue du Port, 2e étage Immeuble NIOKI (ex-Forescom), Commune de la Gombe, Ville-Province de Kinshasa, en République Démocratique du Congo</v>
      </c>
    </row>
    <row r="14" spans="1:2">
      <c r="A14" s="204" t="s">
        <v>16</v>
      </c>
      <c r="B14" s="209" t="str">
        <f>IF(Categories!C23&lt;&gt;"",Categories!C23,"")</f>
        <v/>
      </c>
    </row>
    <row r="15" spans="1:2">
      <c r="A15" s="204" t="s">
        <v>748</v>
      </c>
      <c r="B15" s="209" t="str">
        <f>IF(Categories!C24&lt;&gt;"",Categories!C24,"")</f>
        <v/>
      </c>
    </row>
    <row r="16" spans="1:2">
      <c r="A16" s="204" t="s">
        <v>242</v>
      </c>
      <c r="B16" s="209" t="str">
        <f>IF(Categories!C25&lt;&gt;"",Categories!C25,"")</f>
        <v/>
      </c>
    </row>
    <row r="17" spans="1:2">
      <c r="A17" s="204" t="s">
        <v>19</v>
      </c>
      <c r="B17" s="209" t="str">
        <f>IF(Categories!C26&lt;&gt;"",Categories!C26,"")</f>
        <v/>
      </c>
    </row>
    <row r="18" spans="1:2">
      <c r="A18" s="204" t="s">
        <v>22</v>
      </c>
      <c r="B18" s="209" t="str">
        <f>IF(Categories!C28&lt;&gt;"",Categories!C28,"")</f>
        <v/>
      </c>
    </row>
    <row r="19" spans="1:2" ht="30">
      <c r="A19" s="204" t="s">
        <v>23</v>
      </c>
      <c r="B19" s="209" t="str">
        <f>IF(Categories!C29&lt;&gt;"",Categories!C29,"")</f>
        <v/>
      </c>
    </row>
    <row r="20" spans="1:2">
      <c r="A20" s="204" t="s">
        <v>749</v>
      </c>
      <c r="B20" s="209" t="str">
        <f>IF(Categories!C30&lt;&gt;"",Categories!C30,"")</f>
        <v>Secteur: Mwanza Ngoma, territoire: Demba, district: Lulua, province: Kasai Occidental.  La délimitation physique se décrit dans l'article 2(II).</v>
      </c>
    </row>
    <row r="21" spans="1:2">
      <c r="A21" s="204" t="s">
        <v>25</v>
      </c>
      <c r="B21" s="209" t="str">
        <f>IF(Categories!C31&lt;&gt;"",Categories!C31,"")</f>
        <v/>
      </c>
    </row>
    <row r="22" spans="1:2">
      <c r="A22" s="204" t="s">
        <v>27</v>
      </c>
      <c r="B22" s="209" t="str">
        <f>IF(Categories!C32&lt;&gt;"",Categories!C32,"")</f>
        <v/>
      </c>
    </row>
    <row r="23" spans="1:2">
      <c r="A23" s="204" t="s">
        <v>29</v>
      </c>
      <c r="B23" s="209" t="str">
        <f>IF(Categories!C33&lt;&gt;"",Categories!C33,"")</f>
        <v/>
      </c>
    </row>
    <row r="24" spans="1:2">
      <c r="A24" s="204" t="s">
        <v>31</v>
      </c>
      <c r="B24" s="209" t="str">
        <f>IF(Categories!C34&lt;&gt;"",Categories!C34,"")</f>
        <v/>
      </c>
    </row>
    <row r="25" spans="1:2">
      <c r="A25" s="204" t="s">
        <v>750</v>
      </c>
      <c r="B25" s="209" t="str">
        <f>IF(B24&lt;&gt;"",YEAR(B24),"")</f>
        <v/>
      </c>
    </row>
    <row r="26" spans="1:2">
      <c r="A26" s="204" t="s">
        <v>33</v>
      </c>
      <c r="B26" s="209" t="str">
        <f>IF(Categories!C35&lt;&gt;"",Categories!C35,"")</f>
        <v/>
      </c>
    </row>
    <row r="27" spans="1:2">
      <c r="A27" s="204" t="s">
        <v>35</v>
      </c>
      <c r="B27" s="209" t="str">
        <f>IF(Categories!C36&lt;&gt;"",Categories!C36,"")</f>
        <v/>
      </c>
    </row>
    <row r="28" spans="1:2" ht="45">
      <c r="A28" s="204" t="s">
        <v>41</v>
      </c>
      <c r="B28" s="209" t="str">
        <f>IF(Categories!C40&lt;&gt;"",Categories!C40,"")</f>
        <v>Maison NBK Service</v>
      </c>
    </row>
    <row r="29" spans="1:2">
      <c r="A29" s="204" t="s">
        <v>242</v>
      </c>
      <c r="B29" s="209" t="str">
        <f>IF(Categories!C41&lt;&gt;"",Categories!C41,"")</f>
        <v/>
      </c>
    </row>
    <row r="30" spans="1:2">
      <c r="A30" s="204" t="s">
        <v>43</v>
      </c>
      <c r="B30" s="209" t="str">
        <f>IF(Categories!C42&lt;&gt;"",Categories!C42,"")</f>
        <v>Victor Ngalamulume, Directeur Administratif</v>
      </c>
    </row>
    <row r="31" spans="1:2" ht="30">
      <c r="A31" s="204" t="s">
        <v>45</v>
      </c>
      <c r="B31" s="209" t="str">
        <f>IF(Categories!C43&lt;&gt;"",Categories!C43,"")</f>
        <v>Le Ministre de l'Environnement, Conservation de la Nature et Tourisme</v>
      </c>
    </row>
    <row r="32" spans="1:2">
      <c r="A32" s="204" t="s">
        <v>47</v>
      </c>
      <c r="B32" s="209" t="str">
        <f>IF(Categories!C44&lt;&gt;"",Categories!C44,"")</f>
        <v>José E.B. Endundo, Ministre de l'Environnement, Conservation de la Nature et Tourisme</v>
      </c>
    </row>
    <row r="33" spans="1:2" ht="30">
      <c r="A33" s="204" t="s">
        <v>49</v>
      </c>
      <c r="B33" s="209" t="str">
        <f>IF(Categories!C45&lt;&gt;"",Categories!C45,"")</f>
        <v/>
      </c>
    </row>
    <row r="34" spans="1:2" ht="30">
      <c r="A34" s="204" t="s">
        <v>169</v>
      </c>
      <c r="B34" s="209" t="str">
        <f>IF(Categories!C46&lt;&gt;"",Categories!C46,"")</f>
        <v/>
      </c>
    </row>
    <row r="35" spans="1:2">
      <c r="A35" s="204" t="s">
        <v>57</v>
      </c>
      <c r="B35" s="209" t="str">
        <f>IF(Categories!C50&lt;&gt;"",Categories!C50,"")</f>
        <v>A l'expiration du contrat de concession, ou un an avant la date d'expiration, Maison NBK Service peut demander le renouvellement du contrat dans les conditions déterminées par les règlements en vigueur et à condition que les obligations découlant du contrat et du cahier des charges aient été exécutées. Le renouvellement est cependant refusé par le Gouvernement en cas de violation de l'une des quelconques dispositions du contrat et notamment: (1) le non payement de la redevance de superficie et/ou de toutes autres taxes et redevances pertinents; (2) l'exploitation forestière illégale; (3) le commerce illégal des produits forestiers; (4) la violation des obligations sociales et environnementales et de celles relatives aux engagements d'investissements industriels imposées par le présent contrat en vertu des dispositions légales et règlementaires en vigueur; et (5) la corruption, le dol ou la violence ou leur tentative dûment constatés.</v>
      </c>
    </row>
    <row r="36" spans="1:2">
      <c r="A36" s="204" t="s">
        <v>217</v>
      </c>
      <c r="B36" s="209" t="str">
        <f>IF(Categories!C52&lt;&gt;"",Categories!C52,"")</f>
        <v>168.598 hectares</v>
      </c>
    </row>
    <row r="37" spans="1:2">
      <c r="A37" s="207" t="s">
        <v>160</v>
      </c>
      <c r="B37" s="209" t="str">
        <f>IF(Categories!C143&lt;&gt;"",Categories!C143,"")</f>
        <v/>
      </c>
    </row>
    <row r="38" spans="1:2">
      <c r="A38" s="207" t="s">
        <v>162</v>
      </c>
      <c r="B38" s="209" t="str">
        <f>IF(Categories!C144&lt;&gt;"",Categories!C144,"")</f>
        <v>Le cahier des charges</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baseColWidth="10" defaultColWidth="11" defaultRowHeight="15" x14ac:dyDescent="0"/>
  <cols>
    <col min="8" max="8" width="35.6640625" customWidth="1"/>
    <col min="9" max="9" width="23.5" bestFit="1" customWidth="1"/>
    <col min="10" max="10" width="17.83203125" customWidth="1"/>
  </cols>
  <sheetData>
    <row r="1" spans="1:13">
      <c r="A1" t="s">
        <v>245</v>
      </c>
      <c r="B1" t="s">
        <v>246</v>
      </c>
      <c r="D1" t="s">
        <v>738</v>
      </c>
      <c r="H1" t="s">
        <v>740</v>
      </c>
      <c r="I1" t="s">
        <v>740</v>
      </c>
      <c r="L1" t="s">
        <v>751</v>
      </c>
    </row>
    <row r="2" spans="1:13">
      <c r="A2" t="s">
        <v>247</v>
      </c>
      <c r="B2" t="s">
        <v>248</v>
      </c>
      <c r="D2" t="str">
        <f>IF(Metadata!B2="ENG",E2,F2)</f>
        <v>Alumine</v>
      </c>
      <c r="E2" t="s">
        <v>821</v>
      </c>
      <c r="F2" t="s">
        <v>822</v>
      </c>
      <c r="H2" t="str">
        <f>IF(Metadata!B2="ENG",I2,J2)</f>
        <v>Contrat d'amodiation</v>
      </c>
      <c r="I2" t="s">
        <v>816</v>
      </c>
      <c r="J2" t="s">
        <v>817</v>
      </c>
      <c r="L2" t="s">
        <v>758</v>
      </c>
      <c r="M2" t="s">
        <v>760</v>
      </c>
    </row>
    <row r="3" spans="1:13">
      <c r="A3" t="s">
        <v>249</v>
      </c>
      <c r="B3" t="s">
        <v>250</v>
      </c>
      <c r="D3" t="str">
        <f>IF(Metadata!B2="ENG",E3,F3)</f>
        <v>Les metaux de base</v>
      </c>
      <c r="E3" t="s">
        <v>771</v>
      </c>
      <c r="F3" t="s">
        <v>840</v>
      </c>
      <c r="H3" t="str">
        <f>IF(Metadata!B2="ENG",I3,J3)</f>
        <v>Concession</v>
      </c>
      <c r="I3" s="203" t="s">
        <v>742</v>
      </c>
      <c r="J3" s="203" t="s">
        <v>742</v>
      </c>
      <c r="L3" t="s">
        <v>759</v>
      </c>
      <c r="M3" t="s">
        <v>757</v>
      </c>
    </row>
    <row r="4" spans="1:13">
      <c r="A4" t="s">
        <v>251</v>
      </c>
      <c r="B4" t="s">
        <v>252</v>
      </c>
      <c r="D4" t="str">
        <f>IF(Metadata!B2="ENG",E4,F4)</f>
        <v>Bauxite</v>
      </c>
      <c r="E4" s="211" t="s">
        <v>772</v>
      </c>
      <c r="F4" s="211" t="s">
        <v>772</v>
      </c>
      <c r="H4" t="str">
        <f>IF(Metadata!B2="ENG",I4,J4)</f>
        <v>Convention</v>
      </c>
      <c r="I4" t="s">
        <v>761</v>
      </c>
      <c r="J4" t="s">
        <v>761</v>
      </c>
    </row>
    <row r="5" spans="1:13">
      <c r="A5" t="s">
        <v>253</v>
      </c>
      <c r="B5" t="s">
        <v>254</v>
      </c>
      <c r="D5" t="str">
        <f>IF(Metadata!B2="ENG",E5,F5)</f>
        <v>Charbon</v>
      </c>
      <c r="E5" t="s">
        <v>773</v>
      </c>
      <c r="F5" t="s">
        <v>774</v>
      </c>
      <c r="H5" t="str">
        <f>IF(Metadata!B2="ENG",I5,J5)</f>
        <v>Permis d'exploration</v>
      </c>
      <c r="I5" s="203" t="s">
        <v>741</v>
      </c>
      <c r="J5" t="s">
        <v>752</v>
      </c>
    </row>
    <row r="6" spans="1:13" ht="30">
      <c r="A6" t="s">
        <v>255</v>
      </c>
      <c r="B6" t="s">
        <v>256</v>
      </c>
      <c r="D6" t="str">
        <f>IF(Metadata!B2="ENG",E6,F6)</f>
        <v>Cobalt</v>
      </c>
      <c r="E6" t="s">
        <v>775</v>
      </c>
      <c r="F6" t="s">
        <v>775</v>
      </c>
      <c r="H6" t="str">
        <f>IF(Metadata!B2="ENG",I6,J6)</f>
        <v>Permis d'exploitation</v>
      </c>
      <c r="I6" s="203" t="s">
        <v>762</v>
      </c>
      <c r="J6" t="s">
        <v>763</v>
      </c>
    </row>
    <row r="7" spans="1:13" ht="30">
      <c r="A7" t="s">
        <v>257</v>
      </c>
      <c r="B7" t="s">
        <v>258</v>
      </c>
      <c r="D7" t="str">
        <f>IF(Metadata!B2="ENG",E7,F7)</f>
        <v>Cuivre</v>
      </c>
      <c r="E7" t="s">
        <v>776</v>
      </c>
      <c r="F7" t="s">
        <v>828</v>
      </c>
      <c r="H7" t="str">
        <f>IF(Metadata!B2="ENG",I7,J7)</f>
        <v>Contrat de Concession Forestière</v>
      </c>
      <c r="I7" s="203" t="s">
        <v>769</v>
      </c>
      <c r="J7" t="s">
        <v>770</v>
      </c>
    </row>
    <row r="8" spans="1:13">
      <c r="A8" t="s">
        <v>259</v>
      </c>
      <c r="B8" t="s">
        <v>260</v>
      </c>
      <c r="D8" t="str">
        <f>IF(Metadata!B2="ENG",E8,F8)</f>
        <v>Huile brute</v>
      </c>
      <c r="E8" t="s">
        <v>777</v>
      </c>
      <c r="F8" t="s">
        <v>778</v>
      </c>
      <c r="H8" t="str">
        <f>IF(Metadata!B2="ENG",I8,J8)</f>
        <v>Accord d'investissement</v>
      </c>
      <c r="I8" s="203" t="s">
        <v>764</v>
      </c>
      <c r="J8" t="s">
        <v>811</v>
      </c>
    </row>
    <row r="9" spans="1:13" ht="30">
      <c r="A9" t="s">
        <v>261</v>
      </c>
      <c r="B9" t="s">
        <v>262</v>
      </c>
      <c r="D9" t="str">
        <f>IF(Metadata!B2="ENG",E9,F9)</f>
        <v>Diamants</v>
      </c>
      <c r="E9" t="s">
        <v>779</v>
      </c>
      <c r="F9" t="s">
        <v>829</v>
      </c>
      <c r="H9" t="str">
        <f>IF(Metadata!B2="ENG",I9,J9)</f>
        <v>Contrat d'incitation à l'investissement</v>
      </c>
      <c r="I9" s="203" t="s">
        <v>765</v>
      </c>
      <c r="J9" t="s">
        <v>812</v>
      </c>
    </row>
    <row r="10" spans="1:13">
      <c r="A10" t="s">
        <v>263</v>
      </c>
      <c r="B10" t="s">
        <v>264</v>
      </c>
      <c r="D10" t="str">
        <f>IF(Metadata!B2="ENG",E10,F10)</f>
        <v>Gaz</v>
      </c>
      <c r="E10" t="s">
        <v>780</v>
      </c>
      <c r="F10" t="s">
        <v>781</v>
      </c>
      <c r="H10" t="str">
        <f>IF(Metadata!B2="ENG",I10,J10)</f>
        <v>Contrat de joint-venture</v>
      </c>
      <c r="I10" t="s">
        <v>766</v>
      </c>
      <c r="J10" t="s">
        <v>813</v>
      </c>
      <c r="K10" s="214"/>
    </row>
    <row r="11" spans="1:13">
      <c r="A11" t="s">
        <v>265</v>
      </c>
      <c r="B11" t="s">
        <v>266</v>
      </c>
      <c r="D11" t="str">
        <f>IF(Metadata!B2="ENG",E11,F11)</f>
        <v>Or</v>
      </c>
      <c r="E11" t="s">
        <v>782</v>
      </c>
      <c r="F11" t="s">
        <v>783</v>
      </c>
      <c r="H11" t="str">
        <f>IF(Metadata!B2="ENG",I11,J11)</f>
        <v>Bail</v>
      </c>
      <c r="I11" t="s">
        <v>745</v>
      </c>
      <c r="J11" t="s">
        <v>755</v>
      </c>
    </row>
    <row r="12" spans="1:13" ht="30">
      <c r="A12" t="s">
        <v>267</v>
      </c>
      <c r="B12" t="s">
        <v>268</v>
      </c>
      <c r="D12" t="str">
        <f>IF(Metadata!B2="ENG",E12,F12)</f>
        <v>Fer</v>
      </c>
      <c r="E12" t="s">
        <v>784</v>
      </c>
      <c r="F12" t="s">
        <v>820</v>
      </c>
      <c r="H12" t="str">
        <f>IF(Metadata!B2="ENG",I12,J12)</f>
        <v>Accord de partage</v>
      </c>
      <c r="I12" s="203" t="s">
        <v>746</v>
      </c>
      <c r="J12" t="s">
        <v>753</v>
      </c>
    </row>
    <row r="13" spans="1:13" ht="45">
      <c r="A13" t="s">
        <v>269</v>
      </c>
      <c r="B13" t="s">
        <v>270</v>
      </c>
      <c r="D13" t="str">
        <f>IF(Metadata!B2="ENG",E13,F13)</f>
        <v>Lapis-lazuli</v>
      </c>
      <c r="E13" t="s">
        <v>785</v>
      </c>
      <c r="F13" t="s">
        <v>825</v>
      </c>
      <c r="H13" t="str">
        <f>IF(Metadata!B2="ENG",I13,J13)</f>
        <v>Accord de fonctionnement entre les entreprises privées</v>
      </c>
      <c r="I13" s="203" t="s">
        <v>767</v>
      </c>
      <c r="J13" t="s">
        <v>814</v>
      </c>
    </row>
    <row r="14" spans="1:13">
      <c r="A14" t="s">
        <v>271</v>
      </c>
      <c r="B14" t="s">
        <v>272</v>
      </c>
      <c r="D14" t="str">
        <f>IF(Metadata!B2="ENG",E14,F14)</f>
        <v>Plomb</v>
      </c>
      <c r="E14" t="s">
        <v>786</v>
      </c>
      <c r="F14" t="s">
        <v>826</v>
      </c>
      <c r="H14" t="str">
        <f>IF(Metadata!B2="ENG",I14,J14)</f>
        <v>Contrat d'option</v>
      </c>
      <c r="I14" s="203" t="s">
        <v>818</v>
      </c>
      <c r="J14" t="s">
        <v>819</v>
      </c>
    </row>
    <row r="15" spans="1:13">
      <c r="A15" t="s">
        <v>273</v>
      </c>
      <c r="B15" t="s">
        <v>274</v>
      </c>
      <c r="D15" t="str">
        <f>IF(Metadata!B2="ENG",E15,F15)</f>
        <v>Lithium</v>
      </c>
      <c r="E15" t="s">
        <v>787</v>
      </c>
      <c r="F15" t="s">
        <v>787</v>
      </c>
      <c r="H15" t="str">
        <f>IF(Metadata!B2="ENG",I15,J15)</f>
        <v>Accord d'intéressement</v>
      </c>
      <c r="I15" s="203" t="s">
        <v>768</v>
      </c>
      <c r="J15" t="s">
        <v>815</v>
      </c>
    </row>
    <row r="16" spans="1:13">
      <c r="A16" t="s">
        <v>275</v>
      </c>
      <c r="B16" t="s">
        <v>276</v>
      </c>
      <c r="D16" t="str">
        <f>IF(Metadata!B2="ENG",E16,F16)</f>
        <v>Manganèse</v>
      </c>
      <c r="E16" t="s">
        <v>788</v>
      </c>
      <c r="F16" t="s">
        <v>827</v>
      </c>
      <c r="H16" t="str">
        <f>IF(Metadata!B2="ENG",I16,J16)</f>
        <v>Contrat de service</v>
      </c>
      <c r="I16" s="203" t="s">
        <v>743</v>
      </c>
      <c r="J16" t="s">
        <v>754</v>
      </c>
    </row>
    <row r="17" spans="1:10">
      <c r="A17" t="s">
        <v>277</v>
      </c>
      <c r="B17" t="s">
        <v>278</v>
      </c>
      <c r="D17" t="str">
        <f>IF(Metadata!B2="ENG",E17,F17)</f>
        <v>Molybdène</v>
      </c>
      <c r="E17" t="s">
        <v>823</v>
      </c>
      <c r="F17" t="s">
        <v>824</v>
      </c>
      <c r="H17" t="str">
        <f>IF(Metadata!B2="ENG",I17,J17)</f>
        <v>Autre</v>
      </c>
      <c r="I17" s="203" t="s">
        <v>744</v>
      </c>
      <c r="J17" t="s">
        <v>756</v>
      </c>
    </row>
    <row r="18" spans="1:10">
      <c r="A18" t="s">
        <v>279</v>
      </c>
      <c r="B18" t="s">
        <v>280</v>
      </c>
      <c r="D18" t="str">
        <f>IF(Metadata!B2="ENG",E18,F18)</f>
        <v>Nickel</v>
      </c>
      <c r="E18" t="s">
        <v>789</v>
      </c>
      <c r="F18" t="s">
        <v>789</v>
      </c>
      <c r="H18">
        <f>IF(Metadata!B2="ENG",I18,J18)</f>
        <v>0</v>
      </c>
    </row>
    <row r="19" spans="1:10">
      <c r="A19" t="s">
        <v>281</v>
      </c>
      <c r="B19" t="s">
        <v>282</v>
      </c>
      <c r="D19" t="str">
        <f>IF(Metadata!B2="ENG",E19,F19)</f>
        <v>Rroche phosphatée</v>
      </c>
      <c r="E19" t="s">
        <v>790</v>
      </c>
      <c r="F19" t="s">
        <v>830</v>
      </c>
      <c r="H19">
        <f>IF(Metadata!B2="ENG",I19,J19)</f>
        <v>0</v>
      </c>
    </row>
    <row r="20" spans="1:10">
      <c r="A20" t="s">
        <v>283</v>
      </c>
      <c r="B20" t="s">
        <v>284</v>
      </c>
      <c r="D20" t="str">
        <f>IF(Metadata!B2="ENG",E20,F20)</f>
        <v>Métaux du groupe du platine</v>
      </c>
      <c r="E20" t="s">
        <v>791</v>
      </c>
      <c r="F20" t="s">
        <v>831</v>
      </c>
      <c r="H20">
        <f>IF(Metadata!B2="ENG",I20,J20)</f>
        <v>0</v>
      </c>
    </row>
    <row r="21" spans="1:10">
      <c r="A21" t="s">
        <v>285</v>
      </c>
      <c r="B21" t="s">
        <v>286</v>
      </c>
      <c r="D21" t="str">
        <f>IF(Metadata!B2="ENG",E21,F21)</f>
        <v>Pierres précieuses</v>
      </c>
      <c r="E21" t="s">
        <v>792</v>
      </c>
      <c r="F21" t="s">
        <v>832</v>
      </c>
      <c r="H21">
        <f>IF(Metadata!B2="ENG",I21,J21)</f>
        <v>0</v>
      </c>
    </row>
    <row r="22" spans="1:10">
      <c r="A22" t="s">
        <v>287</v>
      </c>
      <c r="B22" t="s">
        <v>288</v>
      </c>
      <c r="D22" t="str">
        <f>IF(Metadata!B2="ENG",E22,F22)</f>
        <v>Quartz</v>
      </c>
      <c r="E22" t="s">
        <v>793</v>
      </c>
      <c r="F22" t="s">
        <v>793</v>
      </c>
      <c r="H22">
        <f>IF(Metadata!B2="ENG",I22,J22)</f>
        <v>0</v>
      </c>
    </row>
    <row r="23" spans="1:10">
      <c r="A23" t="s">
        <v>289</v>
      </c>
      <c r="B23" t="s">
        <v>290</v>
      </c>
      <c r="D23" t="str">
        <f>IF(Metadata!B2="ENG",E23,F23)</f>
        <v>Pierres semi précieuses</v>
      </c>
      <c r="E23" t="s">
        <v>794</v>
      </c>
      <c r="F23" t="s">
        <v>833</v>
      </c>
      <c r="H23">
        <f>IF(Metadata!B2="ENG",I23,J23)</f>
        <v>0</v>
      </c>
    </row>
    <row r="24" spans="1:10">
      <c r="A24" t="s">
        <v>291</v>
      </c>
      <c r="B24" t="s">
        <v>292</v>
      </c>
      <c r="D24" t="str">
        <f>IF(Metadata!B2="ENG",E24,F24)</f>
        <v>Argent</v>
      </c>
      <c r="E24" t="s">
        <v>795</v>
      </c>
      <c r="F24" t="s">
        <v>834</v>
      </c>
      <c r="H24">
        <f>IF(Metadata!B2="ENG",I24,J24)</f>
        <v>0</v>
      </c>
    </row>
    <row r="25" spans="1:10">
      <c r="A25" t="s">
        <v>293</v>
      </c>
      <c r="B25" t="s">
        <v>294</v>
      </c>
      <c r="D25" t="str">
        <f>IF(Metadata!B2="ENG",E25,F25)</f>
        <v>Titane</v>
      </c>
      <c r="E25" t="s">
        <v>796</v>
      </c>
      <c r="F25" t="s">
        <v>835</v>
      </c>
      <c r="H25">
        <f>IF(Metadata!B2="ENG",I25,J25)</f>
        <v>0</v>
      </c>
    </row>
    <row r="26" spans="1:10">
      <c r="A26" t="s">
        <v>295</v>
      </c>
      <c r="B26" t="s">
        <v>296</v>
      </c>
      <c r="D26" t="str">
        <f>IF(Metadata!B2="ENG",E26,F26)</f>
        <v>Uranium</v>
      </c>
      <c r="E26" t="s">
        <v>797</v>
      </c>
      <c r="F26" t="s">
        <v>797</v>
      </c>
      <c r="H26">
        <f>IF(Metadata!B2="ENG",I26,J26)</f>
        <v>0</v>
      </c>
    </row>
    <row r="27" spans="1:10">
      <c r="A27" t="s">
        <v>297</v>
      </c>
      <c r="B27" t="s">
        <v>298</v>
      </c>
      <c r="D27" t="str">
        <f>IF(Metadata!B2="ENG",E27,F27)</f>
        <v>Zinc</v>
      </c>
      <c r="E27" t="s">
        <v>798</v>
      </c>
      <c r="F27" t="s">
        <v>798</v>
      </c>
      <c r="H27">
        <f>IF(Metadata!B2="ENG",I27,J27)</f>
        <v>0</v>
      </c>
    </row>
    <row r="28" spans="1:10">
      <c r="A28" t="s">
        <v>299</v>
      </c>
      <c r="B28" t="s">
        <v>300</v>
      </c>
      <c r="D28" t="str">
        <f>IF(Metadata!B2="ENG",E28,F28)</f>
        <v>Citrus</v>
      </c>
      <c r="E28" t="s">
        <v>799</v>
      </c>
      <c r="F28" t="s">
        <v>799</v>
      </c>
      <c r="H28">
        <f>IF(Metadata!B2="ENG",I28,J28)</f>
        <v>0</v>
      </c>
    </row>
    <row r="29" spans="1:10">
      <c r="A29" t="s">
        <v>301</v>
      </c>
      <c r="B29" t="s">
        <v>302</v>
      </c>
      <c r="D29" t="str">
        <f>IF(Metadata!B2="ENG",E29,F29)</f>
        <v>Les cultures vivrières</v>
      </c>
      <c r="E29" t="s">
        <v>800</v>
      </c>
      <c r="F29" t="s">
        <v>801</v>
      </c>
      <c r="H29">
        <f>IF(Metadata!B2="ENG",I29,J29)</f>
        <v>0</v>
      </c>
    </row>
    <row r="30" spans="1:10">
      <c r="A30" t="s">
        <v>303</v>
      </c>
      <c r="B30" t="s">
        <v>304</v>
      </c>
      <c r="D30" t="str">
        <f>IF(Metadata!B2="ENG",E30,F30)</f>
        <v>Hydrocarbures</v>
      </c>
      <c r="E30" t="s">
        <v>802</v>
      </c>
      <c r="F30" t="s">
        <v>836</v>
      </c>
      <c r="H30">
        <f>IF(Metadata!B2="ENG",I30,J30)</f>
        <v>0</v>
      </c>
    </row>
    <row r="31" spans="1:10">
      <c r="A31" t="s">
        <v>305</v>
      </c>
      <c r="B31" t="s">
        <v>306</v>
      </c>
      <c r="D31" t="str">
        <f>IF(Metadata!B2="ENG",E31,F31)</f>
        <v>Huile de palme</v>
      </c>
      <c r="E31" t="s">
        <v>803</v>
      </c>
      <c r="F31" t="s">
        <v>804</v>
      </c>
      <c r="H31">
        <f>IF(Metadata!B2="ENG",I31,J31)</f>
        <v>0</v>
      </c>
    </row>
    <row r="32" spans="1:10">
      <c r="A32" t="s">
        <v>307</v>
      </c>
      <c r="B32" t="s">
        <v>308</v>
      </c>
      <c r="D32" t="str">
        <f>IF(Metadata!B2="ENG",E32,F32)</f>
        <v>Caoutchouc</v>
      </c>
      <c r="E32" t="s">
        <v>805</v>
      </c>
      <c r="F32" t="s">
        <v>837</v>
      </c>
      <c r="H32">
        <f>IF(Metadata!B2="ENG",I32,J32)</f>
        <v>0</v>
      </c>
    </row>
    <row r="33" spans="1:8">
      <c r="A33" t="s">
        <v>309</v>
      </c>
      <c r="B33" t="s">
        <v>310</v>
      </c>
      <c r="D33" t="str">
        <f>IF(Metadata!B2="ENG",E33,F33)</f>
        <v>Soja</v>
      </c>
      <c r="E33" t="s">
        <v>806</v>
      </c>
      <c r="F33" t="s">
        <v>838</v>
      </c>
      <c r="H33">
        <f>IF(Metadata!B2="ENG",I33,J33)</f>
        <v>0</v>
      </c>
    </row>
    <row r="34" spans="1:8">
      <c r="A34" t="s">
        <v>311</v>
      </c>
      <c r="B34" t="s">
        <v>312</v>
      </c>
      <c r="D34" t="str">
        <f>IF(Metadata!B2="ENG",E34,F34)</f>
        <v>Sucre</v>
      </c>
      <c r="E34" t="s">
        <v>807</v>
      </c>
      <c r="F34" t="s">
        <v>808</v>
      </c>
      <c r="H34">
        <f>IF(Metadata!B2="ENG",I34,J34)</f>
        <v>0</v>
      </c>
    </row>
    <row r="35" spans="1:8">
      <c r="A35" t="s">
        <v>313</v>
      </c>
      <c r="B35" t="s">
        <v>314</v>
      </c>
      <c r="D35" t="str">
        <f>IF(Metadata!B2="ENG",E35,F35)</f>
        <v>Bois d'œuvre</v>
      </c>
      <c r="E35" t="s">
        <v>809</v>
      </c>
      <c r="F35" t="s">
        <v>810</v>
      </c>
      <c r="H35">
        <f>IF(Metadata!B2="ENG",I35,J35)</f>
        <v>0</v>
      </c>
    </row>
    <row r="36" spans="1:8">
      <c r="A36" t="s">
        <v>315</v>
      </c>
      <c r="B36" t="s">
        <v>316</v>
      </c>
      <c r="D36">
        <f>IF(Metadata!B2="ENG",E36,F36)</f>
        <v>0</v>
      </c>
      <c r="H36">
        <f>IF(Metadata!B2="ENG",I36,J36)</f>
        <v>0</v>
      </c>
    </row>
    <row r="37" spans="1:8">
      <c r="A37" t="s">
        <v>317</v>
      </c>
      <c r="B37" t="s">
        <v>318</v>
      </c>
      <c r="D37">
        <f>IF(Metadata!B2="ENG",E37,F37)</f>
        <v>0</v>
      </c>
      <c r="H37">
        <f>IF(Metadata!B2="ENG",I37,J37)</f>
        <v>0</v>
      </c>
    </row>
    <row r="38" spans="1:8">
      <c r="A38" t="s">
        <v>319</v>
      </c>
      <c r="B38" t="s">
        <v>320</v>
      </c>
      <c r="D38">
        <f>IF(Metadata!B2="ENG",E38,F38)</f>
        <v>0</v>
      </c>
      <c r="H38">
        <f>IF(Metadata!B2="ENG",I38,J38)</f>
        <v>0</v>
      </c>
    </row>
    <row r="39" spans="1:8">
      <c r="A39" t="s">
        <v>321</v>
      </c>
      <c r="B39" t="s">
        <v>322</v>
      </c>
      <c r="D39">
        <f>IF(Metadata!B2="ENG",E39,F39)</f>
        <v>0</v>
      </c>
      <c r="H39">
        <f>IF(Metadata!B2="ENG",I39,J39)</f>
        <v>0</v>
      </c>
    </row>
    <row r="40" spans="1:8">
      <c r="A40" t="s">
        <v>323</v>
      </c>
      <c r="B40" t="s">
        <v>324</v>
      </c>
      <c r="D40">
        <f>IF(Metadata!B2="ENG",E40,F40)</f>
        <v>0</v>
      </c>
      <c r="H40">
        <f>IF(Metadata!B2="ENG",I40,J40)</f>
        <v>0</v>
      </c>
    </row>
    <row r="41" spans="1:8">
      <c r="A41" t="s">
        <v>325</v>
      </c>
      <c r="B41" t="s">
        <v>326</v>
      </c>
      <c r="D41">
        <f>IF(Metadata!B2="ENG",E41,F41)</f>
        <v>0</v>
      </c>
      <c r="H41">
        <f>IF(Metadata!B2="ENG",I41,J41)</f>
        <v>0</v>
      </c>
    </row>
    <row r="42" spans="1:8">
      <c r="A42" t="s">
        <v>327</v>
      </c>
      <c r="B42" t="s">
        <v>328</v>
      </c>
      <c r="D42">
        <f>IF(Metadata!B2="ENG",E42,F42)</f>
        <v>0</v>
      </c>
      <c r="H42">
        <f>IF(Metadata!B2="ENG",I42,J42)</f>
        <v>0</v>
      </c>
    </row>
    <row r="43" spans="1:8">
      <c r="A43" t="s">
        <v>329</v>
      </c>
      <c r="B43" t="s">
        <v>330</v>
      </c>
      <c r="D43">
        <f>IF(Metadata!B2="ENG",E43,F43)</f>
        <v>0</v>
      </c>
      <c r="H43">
        <f>IF(Metadata!B2="ENG",I43,J43)</f>
        <v>0</v>
      </c>
    </row>
    <row r="44" spans="1:8">
      <c r="A44" t="s">
        <v>331</v>
      </c>
      <c r="B44" t="s">
        <v>332</v>
      </c>
      <c r="D44">
        <f>IF(Metadata!B2="ENG",E44,F44)</f>
        <v>0</v>
      </c>
      <c r="H44">
        <f>IF(Metadata!B2="ENG",I44,J44)</f>
        <v>0</v>
      </c>
    </row>
    <row r="45" spans="1:8">
      <c r="A45" t="s">
        <v>333</v>
      </c>
      <c r="B45" t="s">
        <v>334</v>
      </c>
      <c r="D45">
        <f>IF(Metadata!B2="ENG",E45,F45)</f>
        <v>0</v>
      </c>
      <c r="H45">
        <f>IF(Metadata!B2="ENG",I45,J45)</f>
        <v>0</v>
      </c>
    </row>
    <row r="46" spans="1:8">
      <c r="A46" t="s">
        <v>335</v>
      </c>
      <c r="B46" t="s">
        <v>336</v>
      </c>
      <c r="D46">
        <f>IF(Metadata!B2="ENG",E46,F46)</f>
        <v>0</v>
      </c>
      <c r="H46">
        <f>IF(Metadata!B2="ENG",I46,J46)</f>
        <v>0</v>
      </c>
    </row>
    <row r="47" spans="1:8">
      <c r="A47" t="s">
        <v>337</v>
      </c>
      <c r="B47" t="s">
        <v>338</v>
      </c>
      <c r="D47">
        <f>IF(Metadata!B2="ENG",E47,F47)</f>
        <v>0</v>
      </c>
      <c r="H47">
        <f>IF(Metadata!B2="ENG",I47,J47)</f>
        <v>0</v>
      </c>
    </row>
    <row r="48" spans="1:8">
      <c r="A48" t="s">
        <v>339</v>
      </c>
      <c r="B48" t="s">
        <v>340</v>
      </c>
      <c r="D48">
        <f>IF(Metadata!B2="ENG",E48,F48)</f>
        <v>0</v>
      </c>
      <c r="H48">
        <f>IF(Metadata!B2="ENG",I48,J48)</f>
        <v>0</v>
      </c>
    </row>
    <row r="49" spans="1:8">
      <c r="A49" t="s">
        <v>341</v>
      </c>
      <c r="B49" t="s">
        <v>342</v>
      </c>
      <c r="D49">
        <f>IF(Metadata!B2="ENG",E49,F49)</f>
        <v>0</v>
      </c>
      <c r="H49">
        <f>IF(Metadata!B2="ENG",I49,J49)</f>
        <v>0</v>
      </c>
    </row>
    <row r="50" spans="1:8">
      <c r="A50" t="s">
        <v>343</v>
      </c>
      <c r="B50" t="s">
        <v>344</v>
      </c>
      <c r="D50">
        <f>IF(Metadata!B2="ENG",E50,F50)</f>
        <v>0</v>
      </c>
      <c r="H50">
        <f>IF(Metadata!B2="ENG",I50,J50)</f>
        <v>0</v>
      </c>
    </row>
    <row r="51" spans="1:8">
      <c r="A51" t="s">
        <v>345</v>
      </c>
      <c r="B51" t="s">
        <v>346</v>
      </c>
      <c r="D51">
        <f>IF(Metadata!B2="ENG",E51,F51)</f>
        <v>0</v>
      </c>
      <c r="H51">
        <f>IF(Metadata!B2="ENG",I51,J51)</f>
        <v>0</v>
      </c>
    </row>
    <row r="52" spans="1:8">
      <c r="A52" t="s">
        <v>347</v>
      </c>
      <c r="B52" t="s">
        <v>348</v>
      </c>
      <c r="D52">
        <f>IF(Metadata!B2="ENG",E52,F52)</f>
        <v>0</v>
      </c>
      <c r="H52">
        <f>IF(Metadata!B2="ENG",I52,J52)</f>
        <v>0</v>
      </c>
    </row>
    <row r="53" spans="1:8">
      <c r="A53" t="s">
        <v>349</v>
      </c>
      <c r="B53" t="s">
        <v>350</v>
      </c>
      <c r="D53">
        <f>IF(Metadata!B2="ENG",E53,F53)</f>
        <v>0</v>
      </c>
      <c r="H53">
        <f>IF(Metadata!B2="ENG",I53,J53)</f>
        <v>0</v>
      </c>
    </row>
    <row r="54" spans="1:8">
      <c r="A54" t="s">
        <v>351</v>
      </c>
      <c r="B54" t="s">
        <v>352</v>
      </c>
      <c r="D54">
        <f>IF(Metadata!B2="ENG",E54,F54)</f>
        <v>0</v>
      </c>
      <c r="H54">
        <f>IF(Metadata!B2="ENG",I54,J54)</f>
        <v>0</v>
      </c>
    </row>
    <row r="55" spans="1:8">
      <c r="A55" t="s">
        <v>353</v>
      </c>
      <c r="B55" t="s">
        <v>354</v>
      </c>
      <c r="D55">
        <f>IF(Metadata!B2="ENG",E55,F55)</f>
        <v>0</v>
      </c>
      <c r="H55">
        <f>IF(Metadata!B2="ENG",I55,J55)</f>
        <v>0</v>
      </c>
    </row>
    <row r="56" spans="1:8">
      <c r="A56" t="s">
        <v>355</v>
      </c>
      <c r="B56" t="s">
        <v>356</v>
      </c>
      <c r="D56">
        <f>IF(Metadata!B2="ENG",E56,F56)</f>
        <v>0</v>
      </c>
      <c r="H56">
        <f>IF(Metadata!B2="ENG",I56,J56)</f>
        <v>0</v>
      </c>
    </row>
    <row r="57" spans="1:8">
      <c r="A57" t="s">
        <v>357</v>
      </c>
      <c r="B57" t="s">
        <v>358</v>
      </c>
      <c r="D57">
        <f>IF(Metadata!B2="ENG",E57,F57)</f>
        <v>0</v>
      </c>
      <c r="H57">
        <f>IF(Metadata!B2="ENG",I57,J57)</f>
        <v>0</v>
      </c>
    </row>
    <row r="58" spans="1:8">
      <c r="A58" t="s">
        <v>359</v>
      </c>
      <c r="B58" t="s">
        <v>360</v>
      </c>
      <c r="D58">
        <f>IF(Metadata!B2="ENG",E58,F58)</f>
        <v>0</v>
      </c>
      <c r="H58">
        <f>IF(Metadata!B2="ENG",I58,J58)</f>
        <v>0</v>
      </c>
    </row>
    <row r="59" spans="1:8">
      <c r="A59" t="s">
        <v>361</v>
      </c>
      <c r="B59" t="s">
        <v>362</v>
      </c>
      <c r="D59">
        <f>IF(Metadata!B2="ENG",E59,F59)</f>
        <v>0</v>
      </c>
      <c r="H59">
        <f>IF(Metadata!B2="ENG",I59,J59)</f>
        <v>0</v>
      </c>
    </row>
    <row r="60" spans="1:8">
      <c r="A60" t="s">
        <v>363</v>
      </c>
      <c r="B60" t="s">
        <v>364</v>
      </c>
      <c r="D60">
        <f>IF(Metadata!B2="ENG",E60,F60)</f>
        <v>0</v>
      </c>
      <c r="H60">
        <f>IF(Metadata!B2="ENG",I60,J60)</f>
        <v>0</v>
      </c>
    </row>
    <row r="61" spans="1:8">
      <c r="A61" t="s">
        <v>365</v>
      </c>
      <c r="B61" t="s">
        <v>366</v>
      </c>
      <c r="D61">
        <f>IF(Metadata!B2="ENG",E61,F61)</f>
        <v>0</v>
      </c>
      <c r="H61">
        <f>IF(Metadata!B2="ENG",I61,J61)</f>
        <v>0</v>
      </c>
    </row>
    <row r="62" spans="1:8">
      <c r="A62" t="s">
        <v>367</v>
      </c>
      <c r="B62" t="s">
        <v>368</v>
      </c>
    </row>
    <row r="63" spans="1:8">
      <c r="A63" t="s">
        <v>369</v>
      </c>
      <c r="B63" t="s">
        <v>370</v>
      </c>
    </row>
    <row r="64" spans="1:8">
      <c r="A64" t="s">
        <v>371</v>
      </c>
      <c r="B64" t="s">
        <v>372</v>
      </c>
    </row>
    <row r="65" spans="1:2">
      <c r="A65" t="s">
        <v>373</v>
      </c>
      <c r="B65" t="s">
        <v>374</v>
      </c>
    </row>
    <row r="66" spans="1:2">
      <c r="A66" t="s">
        <v>375</v>
      </c>
      <c r="B66" t="s">
        <v>376</v>
      </c>
    </row>
    <row r="67" spans="1:2">
      <c r="A67" t="s">
        <v>377</v>
      </c>
      <c r="B67" t="s">
        <v>378</v>
      </c>
    </row>
    <row r="68" spans="1:2">
      <c r="A68" t="s">
        <v>379</v>
      </c>
      <c r="B68" t="s">
        <v>380</v>
      </c>
    </row>
    <row r="69" spans="1:2">
      <c r="A69" t="s">
        <v>381</v>
      </c>
      <c r="B69" t="s">
        <v>382</v>
      </c>
    </row>
    <row r="70" spans="1:2">
      <c r="A70" t="s">
        <v>383</v>
      </c>
      <c r="B70" t="s">
        <v>384</v>
      </c>
    </row>
    <row r="71" spans="1:2">
      <c r="A71" t="s">
        <v>385</v>
      </c>
      <c r="B71" t="s">
        <v>386</v>
      </c>
    </row>
    <row r="72" spans="1:2">
      <c r="A72" t="s">
        <v>387</v>
      </c>
      <c r="B72" t="s">
        <v>388</v>
      </c>
    </row>
    <row r="73" spans="1:2">
      <c r="A73" t="s">
        <v>389</v>
      </c>
      <c r="B73" t="s">
        <v>390</v>
      </c>
    </row>
    <row r="74" spans="1:2">
      <c r="A74" t="s">
        <v>391</v>
      </c>
      <c r="B74" t="s">
        <v>392</v>
      </c>
    </row>
    <row r="75" spans="1:2">
      <c r="A75" t="s">
        <v>393</v>
      </c>
      <c r="B75" t="s">
        <v>394</v>
      </c>
    </row>
    <row r="76" spans="1:2">
      <c r="A76" t="s">
        <v>395</v>
      </c>
      <c r="B76" t="s">
        <v>396</v>
      </c>
    </row>
    <row r="77" spans="1:2">
      <c r="A77" t="s">
        <v>397</v>
      </c>
      <c r="B77" t="s">
        <v>398</v>
      </c>
    </row>
    <row r="78" spans="1:2">
      <c r="A78" t="s">
        <v>399</v>
      </c>
      <c r="B78" t="s">
        <v>400</v>
      </c>
    </row>
    <row r="79" spans="1:2">
      <c r="A79" t="s">
        <v>401</v>
      </c>
      <c r="B79" t="s">
        <v>402</v>
      </c>
    </row>
    <row r="80" spans="1:2">
      <c r="A80" t="s">
        <v>403</v>
      </c>
      <c r="B80" t="s">
        <v>404</v>
      </c>
    </row>
    <row r="81" spans="1:2">
      <c r="A81" t="s">
        <v>405</v>
      </c>
      <c r="B81" t="s">
        <v>406</v>
      </c>
    </row>
    <row r="82" spans="1:2">
      <c r="A82" t="s">
        <v>407</v>
      </c>
      <c r="B82" t="s">
        <v>408</v>
      </c>
    </row>
    <row r="83" spans="1:2">
      <c r="A83" t="s">
        <v>409</v>
      </c>
      <c r="B83" t="s">
        <v>410</v>
      </c>
    </row>
    <row r="84" spans="1:2">
      <c r="A84" t="s">
        <v>411</v>
      </c>
      <c r="B84" t="s">
        <v>412</v>
      </c>
    </row>
    <row r="85" spans="1:2">
      <c r="A85" t="s">
        <v>413</v>
      </c>
      <c r="B85" t="s">
        <v>414</v>
      </c>
    </row>
    <row r="86" spans="1:2">
      <c r="A86" t="s">
        <v>415</v>
      </c>
      <c r="B86" t="s">
        <v>416</v>
      </c>
    </row>
    <row r="87" spans="1:2">
      <c r="A87" t="s">
        <v>417</v>
      </c>
      <c r="B87" t="s">
        <v>418</v>
      </c>
    </row>
    <row r="88" spans="1:2">
      <c r="A88" t="s">
        <v>419</v>
      </c>
      <c r="B88" t="s">
        <v>420</v>
      </c>
    </row>
    <row r="89" spans="1:2">
      <c r="A89" t="s">
        <v>421</v>
      </c>
      <c r="B89" t="s">
        <v>422</v>
      </c>
    </row>
    <row r="90" spans="1:2">
      <c r="A90" t="s">
        <v>423</v>
      </c>
      <c r="B90" t="s">
        <v>424</v>
      </c>
    </row>
    <row r="91" spans="1:2">
      <c r="A91" t="s">
        <v>425</v>
      </c>
      <c r="B91" t="s">
        <v>426</v>
      </c>
    </row>
    <row r="92" spans="1:2">
      <c r="A92" t="s">
        <v>427</v>
      </c>
      <c r="B92" t="s">
        <v>428</v>
      </c>
    </row>
    <row r="93" spans="1:2">
      <c r="A93" t="s">
        <v>429</v>
      </c>
      <c r="B93" t="s">
        <v>430</v>
      </c>
    </row>
    <row r="94" spans="1:2">
      <c r="A94" t="s">
        <v>431</v>
      </c>
      <c r="B94" t="s">
        <v>432</v>
      </c>
    </row>
    <row r="95" spans="1:2">
      <c r="A95" t="s">
        <v>433</v>
      </c>
      <c r="B95" t="s">
        <v>434</v>
      </c>
    </row>
    <row r="96" spans="1:2">
      <c r="A96" t="s">
        <v>435</v>
      </c>
      <c r="B96" t="s">
        <v>108</v>
      </c>
    </row>
    <row r="97" spans="1:2">
      <c r="A97" t="s">
        <v>436</v>
      </c>
      <c r="B97" t="s">
        <v>437</v>
      </c>
    </row>
    <row r="98" spans="1:2">
      <c r="A98" t="s">
        <v>438</v>
      </c>
      <c r="B98" t="s">
        <v>439</v>
      </c>
    </row>
    <row r="99" spans="1:2">
      <c r="A99" t="s">
        <v>440</v>
      </c>
      <c r="B99" t="s">
        <v>441</v>
      </c>
    </row>
    <row r="100" spans="1:2">
      <c r="A100" t="s">
        <v>442</v>
      </c>
      <c r="B100" t="s">
        <v>443</v>
      </c>
    </row>
    <row r="101" spans="1:2">
      <c r="A101" t="s">
        <v>444</v>
      </c>
      <c r="B101" t="s">
        <v>445</v>
      </c>
    </row>
    <row r="102" spans="1:2">
      <c r="A102" t="s">
        <v>446</v>
      </c>
      <c r="B102" t="s">
        <v>447</v>
      </c>
    </row>
    <row r="103" spans="1:2">
      <c r="A103" t="s">
        <v>448</v>
      </c>
      <c r="B103" t="s">
        <v>449</v>
      </c>
    </row>
    <row r="104" spans="1:2">
      <c r="A104" t="s">
        <v>450</v>
      </c>
      <c r="B104" t="s">
        <v>451</v>
      </c>
    </row>
    <row r="105" spans="1:2">
      <c r="A105" t="s">
        <v>452</v>
      </c>
      <c r="B105" t="s">
        <v>453</v>
      </c>
    </row>
    <row r="106" spans="1:2">
      <c r="A106" t="s">
        <v>454</v>
      </c>
      <c r="B106" t="s">
        <v>455</v>
      </c>
    </row>
    <row r="107" spans="1:2">
      <c r="A107" t="s">
        <v>456</v>
      </c>
      <c r="B107" t="s">
        <v>457</v>
      </c>
    </row>
    <row r="108" spans="1:2">
      <c r="A108" t="s">
        <v>458</v>
      </c>
      <c r="B108" t="s">
        <v>459</v>
      </c>
    </row>
    <row r="109" spans="1:2">
      <c r="A109" t="s">
        <v>460</v>
      </c>
      <c r="B109" t="s">
        <v>461</v>
      </c>
    </row>
    <row r="110" spans="1:2">
      <c r="A110" t="s">
        <v>462</v>
      </c>
      <c r="B110" t="s">
        <v>463</v>
      </c>
    </row>
    <row r="111" spans="1:2">
      <c r="A111" t="s">
        <v>464</v>
      </c>
      <c r="B111" t="s">
        <v>465</v>
      </c>
    </row>
    <row r="112" spans="1:2">
      <c r="A112" t="s">
        <v>466</v>
      </c>
      <c r="B112" t="s">
        <v>467</v>
      </c>
    </row>
    <row r="113" spans="1:2">
      <c r="A113" t="s">
        <v>468</v>
      </c>
      <c r="B113" t="s">
        <v>469</v>
      </c>
    </row>
    <row r="114" spans="1:2">
      <c r="A114" t="s">
        <v>470</v>
      </c>
      <c r="B114" t="s">
        <v>471</v>
      </c>
    </row>
    <row r="115" spans="1:2">
      <c r="A115" t="s">
        <v>472</v>
      </c>
      <c r="B115" t="s">
        <v>473</v>
      </c>
    </row>
    <row r="116" spans="1:2">
      <c r="A116" t="s">
        <v>474</v>
      </c>
      <c r="B116" t="s">
        <v>475</v>
      </c>
    </row>
    <row r="117" spans="1:2">
      <c r="A117" t="s">
        <v>476</v>
      </c>
      <c r="B117" t="s">
        <v>477</v>
      </c>
    </row>
    <row r="118" spans="1:2">
      <c r="A118" t="s">
        <v>478</v>
      </c>
      <c r="B118" t="s">
        <v>479</v>
      </c>
    </row>
    <row r="119" spans="1:2">
      <c r="A119" t="s">
        <v>480</v>
      </c>
      <c r="B119" t="s">
        <v>481</v>
      </c>
    </row>
    <row r="120" spans="1:2">
      <c r="A120" t="s">
        <v>482</v>
      </c>
      <c r="B120" t="s">
        <v>483</v>
      </c>
    </row>
    <row r="121" spans="1:2">
      <c r="A121" t="s">
        <v>484</v>
      </c>
      <c r="B121" t="s">
        <v>485</v>
      </c>
    </row>
    <row r="122" spans="1:2">
      <c r="A122" t="s">
        <v>486</v>
      </c>
      <c r="B122" t="s">
        <v>487</v>
      </c>
    </row>
    <row r="123" spans="1:2">
      <c r="A123" t="s">
        <v>488</v>
      </c>
      <c r="B123" t="s">
        <v>489</v>
      </c>
    </row>
    <row r="124" spans="1:2">
      <c r="A124" t="s">
        <v>490</v>
      </c>
      <c r="B124" t="s">
        <v>491</v>
      </c>
    </row>
    <row r="125" spans="1:2">
      <c r="A125" t="s">
        <v>492</v>
      </c>
      <c r="B125" t="s">
        <v>493</v>
      </c>
    </row>
    <row r="126" spans="1:2">
      <c r="A126" t="s">
        <v>494</v>
      </c>
      <c r="B126" t="s">
        <v>495</v>
      </c>
    </row>
    <row r="127" spans="1:2">
      <c r="A127" t="s">
        <v>496</v>
      </c>
      <c r="B127" t="s">
        <v>497</v>
      </c>
    </row>
    <row r="128" spans="1:2">
      <c r="A128" t="s">
        <v>498</v>
      </c>
      <c r="B128" t="s">
        <v>499</v>
      </c>
    </row>
    <row r="129" spans="1:2">
      <c r="A129" t="s">
        <v>500</v>
      </c>
      <c r="B129" t="s">
        <v>501</v>
      </c>
    </row>
    <row r="130" spans="1:2">
      <c r="A130" t="s">
        <v>502</v>
      </c>
      <c r="B130" t="s">
        <v>503</v>
      </c>
    </row>
    <row r="131" spans="1:2">
      <c r="A131" t="s">
        <v>504</v>
      </c>
      <c r="B131" t="s">
        <v>505</v>
      </c>
    </row>
    <row r="132" spans="1:2">
      <c r="A132" t="s">
        <v>506</v>
      </c>
      <c r="B132" t="s">
        <v>507</v>
      </c>
    </row>
    <row r="133" spans="1:2">
      <c r="A133" t="s">
        <v>508</v>
      </c>
      <c r="B133" t="s">
        <v>509</v>
      </c>
    </row>
    <row r="134" spans="1:2">
      <c r="A134" t="s">
        <v>510</v>
      </c>
      <c r="B134" t="s">
        <v>511</v>
      </c>
    </row>
    <row r="135" spans="1:2">
      <c r="A135" t="s">
        <v>512</v>
      </c>
      <c r="B135" t="s">
        <v>513</v>
      </c>
    </row>
    <row r="136" spans="1:2">
      <c r="A136" t="s">
        <v>514</v>
      </c>
      <c r="B136" t="s">
        <v>515</v>
      </c>
    </row>
    <row r="137" spans="1:2">
      <c r="A137" t="s">
        <v>516</v>
      </c>
      <c r="B137" t="s">
        <v>517</v>
      </c>
    </row>
    <row r="138" spans="1:2">
      <c r="A138" t="s">
        <v>518</v>
      </c>
      <c r="B138" t="s">
        <v>519</v>
      </c>
    </row>
    <row r="139" spans="1:2">
      <c r="A139" t="s">
        <v>520</v>
      </c>
      <c r="B139" t="s">
        <v>521</v>
      </c>
    </row>
    <row r="140" spans="1:2">
      <c r="A140" t="s">
        <v>522</v>
      </c>
      <c r="B140" t="s">
        <v>523</v>
      </c>
    </row>
    <row r="141" spans="1:2">
      <c r="A141" t="s">
        <v>524</v>
      </c>
      <c r="B141" t="s">
        <v>525</v>
      </c>
    </row>
    <row r="142" spans="1:2">
      <c r="A142" t="s">
        <v>526</v>
      </c>
      <c r="B142" t="s">
        <v>527</v>
      </c>
    </row>
    <row r="143" spans="1:2">
      <c r="A143" t="s">
        <v>528</v>
      </c>
      <c r="B143" t="s">
        <v>529</v>
      </c>
    </row>
    <row r="144" spans="1:2">
      <c r="A144" t="s">
        <v>530</v>
      </c>
      <c r="B144" t="s">
        <v>531</v>
      </c>
    </row>
    <row r="145" spans="1:2">
      <c r="A145" t="s">
        <v>532</v>
      </c>
      <c r="B145" t="s">
        <v>533</v>
      </c>
    </row>
    <row r="146" spans="1:2">
      <c r="A146" t="s">
        <v>534</v>
      </c>
      <c r="B146" t="s">
        <v>535</v>
      </c>
    </row>
    <row r="147" spans="1:2">
      <c r="A147" t="s">
        <v>536</v>
      </c>
      <c r="B147" t="s">
        <v>537</v>
      </c>
    </row>
    <row r="148" spans="1:2">
      <c r="A148" t="s">
        <v>538</v>
      </c>
      <c r="B148" t="s">
        <v>539</v>
      </c>
    </row>
    <row r="149" spans="1:2">
      <c r="A149" t="s">
        <v>540</v>
      </c>
      <c r="B149" t="s">
        <v>541</v>
      </c>
    </row>
    <row r="150" spans="1:2">
      <c r="A150" t="s">
        <v>542</v>
      </c>
      <c r="B150" t="s">
        <v>543</v>
      </c>
    </row>
    <row r="151" spans="1:2">
      <c r="A151" t="s">
        <v>544</v>
      </c>
      <c r="B151" t="s">
        <v>545</v>
      </c>
    </row>
    <row r="152" spans="1:2">
      <c r="A152" t="s">
        <v>546</v>
      </c>
      <c r="B152" t="s">
        <v>547</v>
      </c>
    </row>
    <row r="153" spans="1:2">
      <c r="A153" t="s">
        <v>548</v>
      </c>
      <c r="B153" t="s">
        <v>549</v>
      </c>
    </row>
    <row r="154" spans="1:2">
      <c r="A154" t="s">
        <v>550</v>
      </c>
      <c r="B154" t="s">
        <v>551</v>
      </c>
    </row>
    <row r="155" spans="1:2">
      <c r="A155" t="s">
        <v>552</v>
      </c>
      <c r="B155" t="s">
        <v>553</v>
      </c>
    </row>
    <row r="156" spans="1:2">
      <c r="A156" t="s">
        <v>554</v>
      </c>
      <c r="B156" t="s">
        <v>555</v>
      </c>
    </row>
    <row r="157" spans="1:2">
      <c r="A157" t="s">
        <v>556</v>
      </c>
      <c r="B157" t="s">
        <v>557</v>
      </c>
    </row>
    <row r="158" spans="1:2">
      <c r="A158" t="s">
        <v>558</v>
      </c>
      <c r="B158" t="s">
        <v>559</v>
      </c>
    </row>
    <row r="159" spans="1:2">
      <c r="A159" t="s">
        <v>560</v>
      </c>
      <c r="B159" t="s">
        <v>561</v>
      </c>
    </row>
    <row r="160" spans="1:2">
      <c r="A160" t="s">
        <v>562</v>
      </c>
      <c r="B160" t="s">
        <v>563</v>
      </c>
    </row>
    <row r="161" spans="1:2">
      <c r="A161" t="s">
        <v>564</v>
      </c>
      <c r="B161" t="s">
        <v>565</v>
      </c>
    </row>
    <row r="162" spans="1:2">
      <c r="A162" t="s">
        <v>566</v>
      </c>
      <c r="B162" t="s">
        <v>567</v>
      </c>
    </row>
    <row r="163" spans="1:2">
      <c r="A163" t="s">
        <v>568</v>
      </c>
      <c r="B163" t="s">
        <v>569</v>
      </c>
    </row>
    <row r="164" spans="1:2">
      <c r="A164" t="s">
        <v>570</v>
      </c>
      <c r="B164" t="s">
        <v>571</v>
      </c>
    </row>
    <row r="165" spans="1:2">
      <c r="A165" t="s">
        <v>572</v>
      </c>
      <c r="B165" t="s">
        <v>573</v>
      </c>
    </row>
    <row r="166" spans="1:2">
      <c r="A166" t="s">
        <v>574</v>
      </c>
      <c r="B166" t="s">
        <v>575</v>
      </c>
    </row>
    <row r="167" spans="1:2">
      <c r="A167" t="s">
        <v>576</v>
      </c>
      <c r="B167" t="s">
        <v>577</v>
      </c>
    </row>
    <row r="168" spans="1:2">
      <c r="A168" t="s">
        <v>578</v>
      </c>
      <c r="B168" t="s">
        <v>579</v>
      </c>
    </row>
    <row r="169" spans="1:2">
      <c r="A169" t="s">
        <v>580</v>
      </c>
      <c r="B169" t="s">
        <v>581</v>
      </c>
    </row>
    <row r="170" spans="1:2">
      <c r="A170" t="s">
        <v>582</v>
      </c>
      <c r="B170" t="s">
        <v>583</v>
      </c>
    </row>
    <row r="171" spans="1:2">
      <c r="A171" t="s">
        <v>584</v>
      </c>
      <c r="B171" t="s">
        <v>585</v>
      </c>
    </row>
    <row r="172" spans="1:2">
      <c r="A172" t="s">
        <v>586</v>
      </c>
      <c r="B172" t="s">
        <v>587</v>
      </c>
    </row>
    <row r="173" spans="1:2">
      <c r="A173" t="s">
        <v>588</v>
      </c>
      <c r="B173" t="s">
        <v>589</v>
      </c>
    </row>
    <row r="174" spans="1:2">
      <c r="A174" t="s">
        <v>590</v>
      </c>
      <c r="B174" t="s">
        <v>591</v>
      </c>
    </row>
    <row r="175" spans="1:2">
      <c r="A175" t="s">
        <v>592</v>
      </c>
      <c r="B175" t="s">
        <v>593</v>
      </c>
    </row>
    <row r="176" spans="1:2">
      <c r="A176" t="s">
        <v>594</v>
      </c>
      <c r="B176" t="s">
        <v>595</v>
      </c>
    </row>
    <row r="177" spans="1:2">
      <c r="A177" t="s">
        <v>596</v>
      </c>
      <c r="B177" t="s">
        <v>597</v>
      </c>
    </row>
    <row r="178" spans="1:2">
      <c r="A178" t="s">
        <v>598</v>
      </c>
      <c r="B178" t="s">
        <v>599</v>
      </c>
    </row>
    <row r="179" spans="1:2">
      <c r="A179" t="s">
        <v>600</v>
      </c>
      <c r="B179" t="s">
        <v>601</v>
      </c>
    </row>
    <row r="180" spans="1:2">
      <c r="A180" t="s">
        <v>602</v>
      </c>
      <c r="B180" t="s">
        <v>603</v>
      </c>
    </row>
    <row r="181" spans="1:2">
      <c r="A181" t="s">
        <v>604</v>
      </c>
      <c r="B181" t="s">
        <v>605</v>
      </c>
    </row>
    <row r="182" spans="1:2">
      <c r="A182" t="s">
        <v>606</v>
      </c>
      <c r="B182" t="s">
        <v>607</v>
      </c>
    </row>
    <row r="183" spans="1:2">
      <c r="A183" t="s">
        <v>608</v>
      </c>
      <c r="B183" t="s">
        <v>609</v>
      </c>
    </row>
    <row r="184" spans="1:2">
      <c r="A184" t="s">
        <v>610</v>
      </c>
      <c r="B184" t="s">
        <v>298</v>
      </c>
    </row>
    <row r="185" spans="1:2">
      <c r="A185" t="s">
        <v>611</v>
      </c>
      <c r="B185" t="s">
        <v>612</v>
      </c>
    </row>
    <row r="186" spans="1:2">
      <c r="A186" t="s">
        <v>613</v>
      </c>
      <c r="B186" t="s">
        <v>614</v>
      </c>
    </row>
    <row r="187" spans="1:2">
      <c r="A187" t="s">
        <v>615</v>
      </c>
      <c r="B187" t="s">
        <v>616</v>
      </c>
    </row>
    <row r="188" spans="1:2">
      <c r="A188" t="s">
        <v>617</v>
      </c>
      <c r="B188" t="s">
        <v>618</v>
      </c>
    </row>
    <row r="189" spans="1:2">
      <c r="A189" t="s">
        <v>619</v>
      </c>
      <c r="B189" t="s">
        <v>620</v>
      </c>
    </row>
    <row r="190" spans="1:2">
      <c r="A190" t="s">
        <v>621</v>
      </c>
      <c r="B190" t="s">
        <v>622</v>
      </c>
    </row>
    <row r="191" spans="1:2">
      <c r="A191" t="s">
        <v>623</v>
      </c>
      <c r="B191" t="s">
        <v>624</v>
      </c>
    </row>
    <row r="192" spans="1:2">
      <c r="A192" t="s">
        <v>625</v>
      </c>
      <c r="B192" t="s">
        <v>626</v>
      </c>
    </row>
    <row r="193" spans="1:2">
      <c r="A193" t="s">
        <v>627</v>
      </c>
      <c r="B193" t="s">
        <v>628</v>
      </c>
    </row>
    <row r="194" spans="1:2">
      <c r="A194" t="s">
        <v>629</v>
      </c>
      <c r="B194" t="s">
        <v>630</v>
      </c>
    </row>
    <row r="195" spans="1:2">
      <c r="A195" t="s">
        <v>631</v>
      </c>
      <c r="B195" t="s">
        <v>632</v>
      </c>
    </row>
    <row r="196" spans="1:2">
      <c r="A196" t="s">
        <v>633</v>
      </c>
      <c r="B196" t="s">
        <v>634</v>
      </c>
    </row>
    <row r="197" spans="1:2">
      <c r="A197" t="s">
        <v>635</v>
      </c>
      <c r="B197" t="s">
        <v>636</v>
      </c>
    </row>
    <row r="198" spans="1:2">
      <c r="A198" t="s">
        <v>637</v>
      </c>
      <c r="B198" t="s">
        <v>638</v>
      </c>
    </row>
    <row r="199" spans="1:2">
      <c r="A199" t="s">
        <v>639</v>
      </c>
      <c r="B199" t="s">
        <v>640</v>
      </c>
    </row>
    <row r="200" spans="1:2">
      <c r="A200" t="s">
        <v>641</v>
      </c>
      <c r="B200" t="s">
        <v>642</v>
      </c>
    </row>
    <row r="201" spans="1:2">
      <c r="A201" t="s">
        <v>643</v>
      </c>
      <c r="B201" t="s">
        <v>298</v>
      </c>
    </row>
    <row r="202" spans="1:2">
      <c r="A202" t="s">
        <v>644</v>
      </c>
      <c r="B202" t="s">
        <v>645</v>
      </c>
    </row>
    <row r="203" spans="1:2">
      <c r="A203" t="s">
        <v>646</v>
      </c>
      <c r="B203" t="s">
        <v>647</v>
      </c>
    </row>
    <row r="204" spans="1:2">
      <c r="A204" t="s">
        <v>648</v>
      </c>
      <c r="B204" t="s">
        <v>649</v>
      </c>
    </row>
    <row r="205" spans="1:2">
      <c r="A205" t="s">
        <v>650</v>
      </c>
      <c r="B205" t="s">
        <v>651</v>
      </c>
    </row>
    <row r="206" spans="1:2">
      <c r="A206" t="s">
        <v>652</v>
      </c>
      <c r="B206" t="s">
        <v>653</v>
      </c>
    </row>
    <row r="207" spans="1:2">
      <c r="A207" t="s">
        <v>654</v>
      </c>
      <c r="B207" t="s">
        <v>653</v>
      </c>
    </row>
    <row r="208" spans="1:2">
      <c r="A208" t="s">
        <v>655</v>
      </c>
      <c r="B208" t="s">
        <v>656</v>
      </c>
    </row>
    <row r="209" spans="1:2">
      <c r="A209" t="s">
        <v>657</v>
      </c>
      <c r="B209" t="s">
        <v>658</v>
      </c>
    </row>
    <row r="210" spans="1:2">
      <c r="A210" t="s">
        <v>659</v>
      </c>
      <c r="B210" t="s">
        <v>660</v>
      </c>
    </row>
    <row r="211" spans="1:2">
      <c r="A211" t="s">
        <v>661</v>
      </c>
      <c r="B211" t="s">
        <v>662</v>
      </c>
    </row>
    <row r="212" spans="1:2">
      <c r="A212" t="s">
        <v>663</v>
      </c>
      <c r="B212" t="s">
        <v>664</v>
      </c>
    </row>
    <row r="213" spans="1:2">
      <c r="A213" t="s">
        <v>665</v>
      </c>
      <c r="B213" t="s">
        <v>666</v>
      </c>
    </row>
    <row r="214" spans="1:2">
      <c r="A214" t="s">
        <v>667</v>
      </c>
      <c r="B214" t="s">
        <v>668</v>
      </c>
    </row>
    <row r="215" spans="1:2">
      <c r="A215" t="s">
        <v>669</v>
      </c>
      <c r="B215" t="s">
        <v>670</v>
      </c>
    </row>
    <row r="216" spans="1:2">
      <c r="A216" t="s">
        <v>671</v>
      </c>
      <c r="B216" t="s">
        <v>672</v>
      </c>
    </row>
    <row r="217" spans="1:2">
      <c r="A217" t="s">
        <v>673</v>
      </c>
      <c r="B217" t="s">
        <v>674</v>
      </c>
    </row>
    <row r="218" spans="1:2">
      <c r="A218" t="s">
        <v>675</v>
      </c>
      <c r="B218" t="s">
        <v>676</v>
      </c>
    </row>
    <row r="219" spans="1:2">
      <c r="A219" t="s">
        <v>677</v>
      </c>
      <c r="B219" t="s">
        <v>678</v>
      </c>
    </row>
    <row r="220" spans="1:2">
      <c r="A220" t="s">
        <v>679</v>
      </c>
      <c r="B220" t="s">
        <v>680</v>
      </c>
    </row>
    <row r="221" spans="1:2">
      <c r="A221" t="s">
        <v>681</v>
      </c>
      <c r="B221" t="s">
        <v>682</v>
      </c>
    </row>
    <row r="222" spans="1:2">
      <c r="A222" t="s">
        <v>683</v>
      </c>
      <c r="B222" t="s">
        <v>684</v>
      </c>
    </row>
    <row r="223" spans="1:2">
      <c r="A223" t="s">
        <v>685</v>
      </c>
      <c r="B223" t="s">
        <v>686</v>
      </c>
    </row>
    <row r="224" spans="1:2">
      <c r="A224" t="s">
        <v>687</v>
      </c>
      <c r="B224" t="s">
        <v>688</v>
      </c>
    </row>
    <row r="225" spans="1:2">
      <c r="A225" t="s">
        <v>689</v>
      </c>
      <c r="B225" t="s">
        <v>690</v>
      </c>
    </row>
    <row r="226" spans="1:2">
      <c r="A226" t="s">
        <v>691</v>
      </c>
      <c r="B226" t="s">
        <v>692</v>
      </c>
    </row>
    <row r="227" spans="1:2">
      <c r="A227" t="s">
        <v>693</v>
      </c>
      <c r="B227" t="s">
        <v>694</v>
      </c>
    </row>
    <row r="228" spans="1:2">
      <c r="A228" t="s">
        <v>695</v>
      </c>
      <c r="B228" t="s">
        <v>696</v>
      </c>
    </row>
    <row r="229" spans="1:2">
      <c r="A229" t="s">
        <v>697</v>
      </c>
      <c r="B229" t="s">
        <v>698</v>
      </c>
    </row>
    <row r="230" spans="1:2">
      <c r="A230" t="s">
        <v>699</v>
      </c>
      <c r="B230" t="s">
        <v>700</v>
      </c>
    </row>
    <row r="231" spans="1:2">
      <c r="A231" t="s">
        <v>701</v>
      </c>
      <c r="B231" t="s">
        <v>702</v>
      </c>
    </row>
    <row r="232" spans="1:2">
      <c r="A232" t="s">
        <v>703</v>
      </c>
      <c r="B232" t="s">
        <v>704</v>
      </c>
    </row>
    <row r="233" spans="1:2">
      <c r="A233" t="s">
        <v>705</v>
      </c>
      <c r="B233" t="s">
        <v>706</v>
      </c>
    </row>
    <row r="234" spans="1:2">
      <c r="A234" t="s">
        <v>707</v>
      </c>
      <c r="B234" t="s">
        <v>708</v>
      </c>
    </row>
    <row r="235" spans="1:2">
      <c r="A235" t="s">
        <v>709</v>
      </c>
      <c r="B235" t="s">
        <v>710</v>
      </c>
    </row>
    <row r="236" spans="1:2">
      <c r="A236" t="s">
        <v>711</v>
      </c>
      <c r="B236" t="s">
        <v>712</v>
      </c>
    </row>
    <row r="237" spans="1:2">
      <c r="A237" t="s">
        <v>713</v>
      </c>
      <c r="B237" t="s">
        <v>714</v>
      </c>
    </row>
    <row r="238" spans="1:2">
      <c r="A238" t="s">
        <v>715</v>
      </c>
      <c r="B238" t="s">
        <v>716</v>
      </c>
    </row>
    <row r="239" spans="1:2">
      <c r="A239" t="s">
        <v>717</v>
      </c>
      <c r="B239" t="s">
        <v>718</v>
      </c>
    </row>
    <row r="240" spans="1:2">
      <c r="A240" t="s">
        <v>719</v>
      </c>
      <c r="B240" t="s">
        <v>720</v>
      </c>
    </row>
    <row r="241" spans="1:2">
      <c r="A241" t="s">
        <v>721</v>
      </c>
      <c r="B241" t="s">
        <v>722</v>
      </c>
    </row>
    <row r="242" spans="1:2">
      <c r="A242" t="s">
        <v>723</v>
      </c>
      <c r="B242" t="s">
        <v>724</v>
      </c>
    </row>
    <row r="243" spans="1:2">
      <c r="A243" t="s">
        <v>725</v>
      </c>
      <c r="B243" t="s">
        <v>726</v>
      </c>
    </row>
    <row r="244" spans="1:2">
      <c r="A244" t="s">
        <v>727</v>
      </c>
      <c r="B244" t="s">
        <v>728</v>
      </c>
    </row>
    <row r="245" spans="1:2">
      <c r="A245" t="s">
        <v>729</v>
      </c>
      <c r="B245" t="s">
        <v>730</v>
      </c>
    </row>
    <row r="246" spans="1:2">
      <c r="A246" t="s">
        <v>731</v>
      </c>
      <c r="B246" t="s">
        <v>732</v>
      </c>
    </row>
    <row r="247" spans="1:2">
      <c r="A247" t="s">
        <v>733</v>
      </c>
      <c r="B247" t="s">
        <v>734</v>
      </c>
    </row>
    <row r="248" spans="1:2">
      <c r="A248" t="s">
        <v>735</v>
      </c>
      <c r="B248" t="s">
        <v>736</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Sam Burke</cp:lastModifiedBy>
  <cp:lastPrinted>2014-02-01T19:00:50Z</cp:lastPrinted>
  <dcterms:created xsi:type="dcterms:W3CDTF">2013-09-30T16:43:43Z</dcterms:created>
  <dcterms:modified xsi:type="dcterms:W3CDTF">2015-09-27T19:05:54Z</dcterms:modified>
</cp:coreProperties>
</file>