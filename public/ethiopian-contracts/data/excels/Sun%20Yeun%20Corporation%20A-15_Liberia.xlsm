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1940" yWindow="0" windowWidth="25600" windowHeight="1594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6"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<sst xmlns="http://schemas.openxmlformats.org/spreadsheetml/2006/main" count="1025" uniqueCount="954">
  <si>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</si>
  <si>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</si>
  <si>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</si>
  <si>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</si>
  <si>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</si>
  <si>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</si>
  <si>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</si>
  <si>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</si>
  <si>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</si>
  <si>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</si>
  <si>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</si>
  <si>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</si>
  <si>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</si>
  <si>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</si>
  <si>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</si>
  <si>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</si>
  <si>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</si>
  <si>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</si>
  <si>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</si>
  <si>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</si>
  <si>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</si>
  <si>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</si>
  <si>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</si>
  <si>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</si>
  <si>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</si>
  <si>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</si>
  <si>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</si>
  <si>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</si>
  <si>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</si>
  <si>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</si>
  <si>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</si>
  <si>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</si>
  <si>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</si>
  <si>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</si>
  <si>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</si>
  <si>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</si>
  <si>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</si>
  <si>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</si>
  <si>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</si>
  <si>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</si>
  <si>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</si>
  <si>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</si>
  <si>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</si>
  <si>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</si>
  <si>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</si>
  <si>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</si>
  <si>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</si>
  <si>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</si>
  <si>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</si>
  <si>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</si>
  <si>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</si>
  <si>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</si>
  <si>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</si>
  <si>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</si>
  <si>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</si>
  <si>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</si>
  <si>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</si>
  <si>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</si>
  <si>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</si>
  <si>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</si>
  <si>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</si>
  <si>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</si>
  <si>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</si>
  <si>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</si>
  <si>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</si>
  <si>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</si>
  <si>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</si>
  <si>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</si>
  <si>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</si>
  <si>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</si>
  <si>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</si>
  <si>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</si>
  <si>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</si>
  <si>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</si>
  <si>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</si>
  <si>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</si>
  <si>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</si>
  <si>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</si>
  <si>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</si>
  <si>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</si>
  <si>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</si>
  <si>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</si>
  <si>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</si>
  <si>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</si>
  <si>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</si>
  <si>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</si>
  <si>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</si>
  <si>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</si>
  <si>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</si>
  <si>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</si>
  <si>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</si>
  <si>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</si>
  <si>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</si>
  <si>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</si>
  <si>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</si>
  <si>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</si>
  <si>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</si>
  <si>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</si>
  <si>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</si>
  <si>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</si>
  <si>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</si>
  <si>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</si>
  <si>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</si>
  <si>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</si>
  <si>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</si>
  <si>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</si>
  <si>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</si>
  <si>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</si>
  <si>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</si>
  <si>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</si>
  <si>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</si>
  <si>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</si>
  <si>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</si>
  <si>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</si>
  <si>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</si>
  <si>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</si>
  <si>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</si>
  <si>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</si>
  <si>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</si>
  <si>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</si>
  <si>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</si>
  <si>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</si>
  <si>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</si>
  <si>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</si>
  <si>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</si>
  <si>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</si>
  <si>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</si>
  <si>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</si>
  <si>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</si>
  <si>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</si>
  <si>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</si>
  <si>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</si>
  <si>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</si>
  <si>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</si>
  <si>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</si>
  <si>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</si>
  <si>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</si>
  <si>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</si>
  <si>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</si>
  <si>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</si>
  <si>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</si>
  <si>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</si>
  <si>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</si>
  <si>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</si>
  <si>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</si>
  <si>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</si>
  <si>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</si>
  <si>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</si>
  <si>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</si>
  <si>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</si>
  <si>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</si>
  <si>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</si>
  <si>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</si>
  <si>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</si>
  <si>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</si>
  <si>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</si>
  <si>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</si>
  <si>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</si>
  <si>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</si>
  <si>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</si>
  <si>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</si>
  <si>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</si>
  <si>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</si>
  <si>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</si>
  <si>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</si>
  <si>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</si>
  <si>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</si>
  <si>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</si>
  <si>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</si>
  <si>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</si>
  <si>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</si>
  <si>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</si>
  <si>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</si>
  <si>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</si>
  <si>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</si>
  <si>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</si>
  <si>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</si>
  <si>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</si>
  <si>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</si>
  <si>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</si>
  <si>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</si>
  <si>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</si>
  <si>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</si>
  <si>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</si>
  <si>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</si>
  <si>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</si>
  <si>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</si>
  <si>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</si>
  <si>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</si>
  <si>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</si>
  <si>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</si>
  <si>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</si>
  <si>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</si>
  <si>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</si>
  <si>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</si>
  <si>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</si>
  <si>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</si>
  <si>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</si>
  <si>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</si>
  <si>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</si>
  <si>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</si>
  <si>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</si>
  <si>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</si>
  <si>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</si>
  <si>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</si>
  <si>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</si>
  <si>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</si>
  <si>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</si>
  <si>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</si>
  <si>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</si>
  <si>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</si>
  <si>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</si>
  <si>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</si>
  <si>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</si>
  <si>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</si>
  <si>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</si>
  <si>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</si>
  <si>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</si>
  <si>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</si>
  <si>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</si>
  <si>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</si>
  <si>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</si>
  <si>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</si>
  <si>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</si>
  <si>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</si>
  <si>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</si>
  <si>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</si>
  <si>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</si>
  <si>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</si>
  <si>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</si>
  <si>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</si>
  <si>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</si>
  <si>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</si>
  <si>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</si>
  <si>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</si>
  <si>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</si>
  <si>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</si>
  <si>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</si>
  <si>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</si>
  <si>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</si>
  <si>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</si>
  <si>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</si>
  <si>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</si>
  <si>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</si>
  <si>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</si>
  <si>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</si>
  <si>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</si>
  <si>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</si>
  <si>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</si>
  <si>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</si>
  <si>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</si>
  <si>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</si>
  <si>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</si>
  <si>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</si>
  <si>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</si>
  <si>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</si>
  <si>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</si>
  <si>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</si>
  <si>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</si>
  <si>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</si>
  <si>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</si>
  <si>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</si>
  <si>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</si>
  <si>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</si>
  <si>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</si>
  <si>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</si>
  <si>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</si>
  <si>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</si>
  <si>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</si>
  <si>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</si>
  <si>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</si>
  <si>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</si>
  <si>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</si>
  <si>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</si>
  <si>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</si>
  <si>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</si>
  <si>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</si>
  <si>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</si>
  <si>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</si>
  <si>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</si>
  <si>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</si>
  <si>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</si>
  <si>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</si>
  <si>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</si>
  <si>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</si>
  <si>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</si>
  <si>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</si>
  <si>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</si>
  <si>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</si>
  <si>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</si>
  <si>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</si>
  <si>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</si>
  <si>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</si>
  <si>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</si>
  <si>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</si>
  <si>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</si>
  <si>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</si>
  <si>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</si>
  <si>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</si>
  <si>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</si>
  <si>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</si>
  <si>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</si>
  <si>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</si>
  <si>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</si>
  <si>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</si>
  <si>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</si>
  <si>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</si>
  <si>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</si>
  <si>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</si>
  <si>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</si>
  <si>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</si>
  <si>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</si>
  <si>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</si>
  <si>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</si>
  <si>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</si>
  <si>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</si>
  <si>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</si>
  <si>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</si>
  <si>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</si>
  <si>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</si>
  <si>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</si>
  <si>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</si>
  <si>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</si>
  <si>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</si>
  <si>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</si>
  <si>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</si>
  <si>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</si>
  <si>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</si>
  <si>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</si>
  <si>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</si>
  <si>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</si>
  <si>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</si>
  <si>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</si>
  <si>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</si>
  <si>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</si>
  <si>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</si>
  <si>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</si>
  <si>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</si>
  <si>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</si>
  <si>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</si>
  <si>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</si>
  <si>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</si>
  <si>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</si>
  <si>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</si>
  <si>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</si>
  <si>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</si>
  <si>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</si>
  <si>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</si>
  <si>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</si>
  <si>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</si>
  <si>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</si>
  <si>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</si>
  <si>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</si>
  <si>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</si>
  <si>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</si>
  <si>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</si>
  <si>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</si>
  <si>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</si>
  <si>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</si>
  <si>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</si>
  <si>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</si>
  <si>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</si>
  <si>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</si>
  <si>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</si>
  <si>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</si>
  <si>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</si>
  <si>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</si>
  <si>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</si>
  <si>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</si>
  <si>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</si>
  <si>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</si>
  <si>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</si>
  <si>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</si>
  <si>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</si>
  <si>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</si>
  <si>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</si>
  <si>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</si>
  <si>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</si>
  <si>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</si>
  <si>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</si>
  <si>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</si>
  <si>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</si>
  <si>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</si>
  <si>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</si>
  <si>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</si>
  <si>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</si>
  <si>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</si>
  <si>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</si>
  <si>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</si>
  <si>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</si>
  <si>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</si>
  <si>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</si>
  <si>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</si>
  <si>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</si>
  <si>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</si>
  <si>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</si>
  <si>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</si>
  <si>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</si>
  <si>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</si>
  <si>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</si>
  <si>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</si>
  <si>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</si>
  <si>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</si>
  <si>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</si>
  <si>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</si>
  <si>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</si>
  <si>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</si>
  <si>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</si>
  <si>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</si>
  <si>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</si>
  <si>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</si>
  <si>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</si>
  <si>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</si>
  <si>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</si>
  <si>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</si>
  <si>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</si>
  <si>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</si>
  <si>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</si>
  <si>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</si>
  <si>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</si>
  <si>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</si>
  <si>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</si>
  <si>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</si>
  <si>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</si>
  <si>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</si>
  <si>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</si>
  <si>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</si>
  <si>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</si>
  <si>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</si>
  <si>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</si>
  <si>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</si>
  <si>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</si>
  <si>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</si>
  <si>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</si>
  <si>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</si>
  <si>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</si>
  <si>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</si>
  <si>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</si>
  <si>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</si>
  <si>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</si>
  <si>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</si>
  <si>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</si>
  <si>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</si>
  <si>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</si>
  <si>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</si>
  <si>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</si>
  <si>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</si>
  <si>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</si>
  <si>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</si>
  <si>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</si>
  <si>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</si>
  <si>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</si>
  <si>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</si>
  <si>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</si>
  <si>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</si>
  <si>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</si>
  <si>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</si>
  <si>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</si>
  <si>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</si>
  <si>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</si>
  <si>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</si>
  <si>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</si>
  <si>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</si>
  <si>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</si>
  <si>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</si>
  <si>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</si>
  <si>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</si>
  <si>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</si>
  <si>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</si>
  <si>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</si>
  <si>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</si>
  <si>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</si>
  <si>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</si>
  <si>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</si>
  <si>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</si>
  <si>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</si>
  <si>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</si>
  <si>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</si>
  <si>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</si>
  <si>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</si>
  <si>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</si>
  <si>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</si>
  <si>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</si>
  <si>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</si>
  <si>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</si>
  <si>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</si>
  <si>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</si>
  <si>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</si>
  <si>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</si>
  <si>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</si>
  <si>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</si>
  <si>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</si>
  <si>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</si>
  <si>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</si>
  <si>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</si>
  <si>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</si>
  <si>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</si>
  <si>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</si>
  <si>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</si>
  <si>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</si>
  <si>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</si>
  <si>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</si>
  <si>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</si>
  <si>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</si>
  <si>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</si>
  <si>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</si>
  <si>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</si>
  <si>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</si>
  <si>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</si>
  <si>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</si>
  <si>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</si>
  <si>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</si>
  <si>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</si>
  <si>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</si>
  <si>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</si>
  <si>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</si>
  <si>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</si>
  <si>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</si>
  <si>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</si>
  <si>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</si>
  <si>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</si>
  <si>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</si>
  <si>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</si>
  <si>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</si>
  <si>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</si>
  <si>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</si>
  <si>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</si>
  <si>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</si>
  <si>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</si>
  <si>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</si>
  <si>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</si>
  <si>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</si>
  <si>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</si>
  <si>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</si>
  <si>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</si>
  <si>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</si>
  <si>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</si>
  <si>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</si>
  <si>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</si>
  <si>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</si>
  <si>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</si>
  <si>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</si>
  <si>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</si>
  <si>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</si>
  <si>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</si>
  <si>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</si>
  <si>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</si>
  <si>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</si>
  <si>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</si>
  <si>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</si>
  <si>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</si>
  <si>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</si>
  <si>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</si>
  <si>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</si>
  <si>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</si>
  <si>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</si>
  <si>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</si>
  <si>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</si>
  <si>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</si>
  <si>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</si>
  <si>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</si>
  <si>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</si>
  <si>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</si>
  <si>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</si>
  <si>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</si>
  <si>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</si>
  <si>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</si>
  <si>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</si>
  <si>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</si>
  <si>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</si>
  <si>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</si>
  <si>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</si>
  <si>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</si>
  <si>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</si>
  <si>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</si>
  <si>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</si>
  <si>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</si>
  <si>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</si>
  <si>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</si>
  <si>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</si>
  <si>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</si>
  <si>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</si>
  <si>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</si>
  <si>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</si>
  <si>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</si>
  <si>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</si>
  <si>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</si>
  <si>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</si>
  <si>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</si>
  <si>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</si>
  <si>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</si>
  <si>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</si>
  <si>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</si>
  <si>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</si>
  <si>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</si>
  <si>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</si>
  <si>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</si>
  <si>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</si>
  <si>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</si>
  <si>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</si>
  <si>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</si>
  <si>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</si>
  <si>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</si>
  <si>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</si>
  <si>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</si>
  <si>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</si>
  <si>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</si>
  <si>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</si>
  <si>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</si>
  <si>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</si>
  <si>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</si>
  <si>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</si>
  <si>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</si>
  <si>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</si>
  <si>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</si>
  <si>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</si>
  <si>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</si>
  <si>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</si>
  <si>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</si>
  <si>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</si>
  <si>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</si>
  <si>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</si>
  <si>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</si>
  <si>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</si>
  <si>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</si>
  <si>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</si>
  <si>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</si>
  <si>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</si>
  <si>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</si>
  <si>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</si>
  <si>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</si>
  <si>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</si>
  <si>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</si>
  <si>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</si>
  <si>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</si>
  <si>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</si>
  <si>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</si>
  <si>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</si>
  <si>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</si>
  <si>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</si>
  <si>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</si>
  <si>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</si>
  <si>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</si>
  <si>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</si>
  <si>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</si>
  <si>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</si>
  <si>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</si>
  <si>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</si>
  <si>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</si>
  <si>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</si>
  <si>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</si>
  <si>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</si>
  <si>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</si>
  <si>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</si>
  <si>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</si>
  <si>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</si>
  <si>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</si>
  <si>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</si>
  <si>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</si>
  <si>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</si>
  <si>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</si>
  <si>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</si>
  <si>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</si>
  <si>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</si>
  <si>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</si>
  <si>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</si>
  <si>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</si>
  <si>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</si>
  <si>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</si>
  <si>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</si>
  <si>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</si>
  <si>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</si>
  <si>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</si>
  <si>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</si>
  <si>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</si>
  <si>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</si>
  <si>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</si>
  <si>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</si>
  <si>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</si>
  <si>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</si>
  <si>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</si>
  <si>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</si>
  <si>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</si>
  <si>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</si>
  <si>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</si>
  <si>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</si>
  <si>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</si>
  <si>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</si>
  <si>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</si>
  <si>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</si>
  <si>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</si>
  <si>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</si>
  <si>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</si>
  <si>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</si>
  <si>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</si>
  <si>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</si>
  <si>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</si>
  <si>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</si>
  <si>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</si>
  <si>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</si>
  <si>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</si>
  <si>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</si>
  <si>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</si>
  <si>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</si>
  <si>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</si>
  <si>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</si>
  <si>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</si>
  <si>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</si>
  <si>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</si>
  <si>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</si>
  <si>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</si>
  <si>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</si>
  <si>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</si>
  <si>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</si>
  <si>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</si>
  <si>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</si>
  <si>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</si>
  <si>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</si>
  <si>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</si>
  <si>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</si>
  <si>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</si>
  <si>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</si>
  <si>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</si>
  <si>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</si>
  <si>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</si>
  <si>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</si>
  <si>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</si>
  <si>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</si>
  <si>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</si>
  <si>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</si>
  <si>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</si>
  <si>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</si>
  <si>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</si>
  <si>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</si>
  <si>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</si>
  <si>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</si>
  <si>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</si>
  <si>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</si>
  <si>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</si>
  <si>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</si>
  <si>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</si>
  <si>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</si>
  <si>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</si>
  <si>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</si>
  <si>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</si>
  <si>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</si>
  <si>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</si>
  <si>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</si>
  <si>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</si>
  <si>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</si>
  <si>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</si>
  <si>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</si>
  <si>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</si>
  <si>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</si>
  <si>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</si>
  <si>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</si>
  <si>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</si>
  <si>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</si>
  <si>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</si>
  <si>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</si>
  <si>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</si>
  <si>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</si>
  <si>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</si>
  <si>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</si>
  <si>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</si>
  <si>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</si>
  <si>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</si>
  <si>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</si>
  <si>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</si>
  <si>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</si>
  <si>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</si>
  <si>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</si>
  <si>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</si>
  <si>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</si>
  <si>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</si>
  <si>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</si>
  <si>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</si>
  <si>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</si>
  <si>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</si>
  <si>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</si>
  <si>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</si>
  <si>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</si>
  <si>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</si>
  <si>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</si>
  <si>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</si>
  <si>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</si>
  <si>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</si>
  <si>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</si>
  <si>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</si>
  <si>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</si>
  <si>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</si>
  <si>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</si>
  <si>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</si>
  <si>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</si>
  <si>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</si>
  <si>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</si>
  <si>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</si>
  <si>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</si>
  <si>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</si>
  <si>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</si>
  <si>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</si>
  <si>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</si>
  <si>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</si>
  <si>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</si>
  <si>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</si>
  <si>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</si>
  <si>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</si>
  <si>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</si>
  <si>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</si>
  <si>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</si>
  <si>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</si>
  <si>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</si>
  <si>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</si>
  <si>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</si>
  <si>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</si>
  <si>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</si>
  <si>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</si>
  <si>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</si>
  <si>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</si>
  <si>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</si>
  <si>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</si>
  <si>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</si>
  <si>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</si>
  <si>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</si>
  <si>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</si>
  <si>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</si>
  <si>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</si>
  <si>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</si>
  <si>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</si>
  <si>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</si>
  <si>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</si>
  <si>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</si>
  <si>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</si>
  <si>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</si>
  <si>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</si>
  <si>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</si>
  <si>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</si>
  <si>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</si>
  <si>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</si>
  <si>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</si>
  <si>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Timber Sale Contract</t>
  </si>
  <si>
    <t>Cover page</t>
  </si>
  <si>
    <t>1 (top)</t>
  </si>
  <si>
    <t xml:space="preserve">1 (bottom), 2 (top) </t>
  </si>
  <si>
    <t>1 (middle), 2 (top)</t>
  </si>
  <si>
    <t>Cover page 2</t>
  </si>
  <si>
    <t>2 (top)</t>
  </si>
  <si>
    <t>Signature page</t>
  </si>
  <si>
    <t>Forestry Development Authority</t>
  </si>
  <si>
    <t>Cover page, cover page 2</t>
  </si>
  <si>
    <t>1 (top), 2 (top)</t>
  </si>
  <si>
    <t>1 (bottom), 2 (middle)</t>
  </si>
  <si>
    <t>3 years</t>
  </si>
  <si>
    <t>5,000 ha</t>
  </si>
  <si>
    <t>Art. A1</t>
  </si>
  <si>
    <t>7 (top)</t>
  </si>
  <si>
    <t>Preamble, Art. B2.1</t>
  </si>
  <si>
    <t>6 (middle), 13 (top)</t>
  </si>
  <si>
    <t>Art. B3.12</t>
  </si>
  <si>
    <t>14 (bottom)</t>
  </si>
  <si>
    <t>15 (bottom)</t>
  </si>
  <si>
    <t>Arts. B3.21 - B3.22</t>
  </si>
  <si>
    <t>15 (middle)</t>
  </si>
  <si>
    <t>Art. B6.31</t>
  </si>
  <si>
    <t>Art. B2.11</t>
  </si>
  <si>
    <t>13 (middle)</t>
  </si>
  <si>
    <t>Art. B10.27</t>
  </si>
  <si>
    <t>Other - Termination for violation of human rights</t>
  </si>
  <si>
    <t>Art. B8.0</t>
  </si>
  <si>
    <t>Arts. A4, B8.11 - B8.14</t>
  </si>
  <si>
    <t>Art. B10.24</t>
  </si>
  <si>
    <t>Art. B3.13</t>
  </si>
  <si>
    <t>29 (middle)</t>
  </si>
  <si>
    <t>Art. B3.41</t>
  </si>
  <si>
    <t>16 (top)</t>
  </si>
  <si>
    <t>Art. B1.0(iii)</t>
  </si>
  <si>
    <t>9 (bottom)</t>
  </si>
  <si>
    <t>Art. B2.3</t>
  </si>
  <si>
    <t>14 (top)</t>
  </si>
  <si>
    <t>Art. B10.23</t>
  </si>
  <si>
    <t>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 terms and conditions of the contract as a result of force majeure is not a breach of the contract. Any party who fails to perform obligations as a result of force majeure shall take all reasonable steps to make good, and resume compliance with, those obligations.</t>
  </si>
  <si>
    <t>The contract may be interrupted by the Forestry Development Authority of Liberia to prevent environmental degradation or resource damage and to conduct environmental analysis</t>
  </si>
  <si>
    <t>Sun Yeun Corporation</t>
  </si>
  <si>
    <t>Old Road, Congo Town, Monrovia, Liberia</t>
  </si>
  <si>
    <t>President/CEO, Sun Yeun Corporation</t>
  </si>
  <si>
    <t>43 (middle)</t>
  </si>
  <si>
    <t>43 (top)</t>
  </si>
  <si>
    <t>The contract is not renewable</t>
  </si>
  <si>
    <t>Art. B2.2</t>
  </si>
  <si>
    <t>14 (middle)</t>
  </si>
  <si>
    <t xml:space="preserve">Sun Yeun Corporation shall give preference to competent and qualified individuals living in and near the contract area, particularly to individuals from communities benefiting from the Social Agreements. Sun Yeun Corporation shall not import unskilled labor from outside Liberia. </t>
  </si>
  <si>
    <t>Sun Yeun Corporation shall follow internationally recognized, modern safety precautions in all activities and shall comply with written safety instructions supplied by the Government. Sun Yeun Corporation shall follow internationally recognized, modern measures for the protection of general health and safety of its employees and shall comply with written public health instructions given in writing by the Government.</t>
  </si>
  <si>
    <t>28 (bottom)</t>
  </si>
  <si>
    <t>39 (bottom)</t>
  </si>
  <si>
    <t>Art. B10.27(s)(v)</t>
  </si>
  <si>
    <t>The contract shall be terminated if Sun Yeun Corporation or its senior officers are convicted for human rights violations and is unable to or fails to satisfactorily remedy them</t>
  </si>
  <si>
    <t>Sun Yeun Corporation shall be subject to income tax under the Revenue Code of Liberia</t>
  </si>
  <si>
    <t>8 (bottom), 32 (middle)</t>
  </si>
  <si>
    <t>38 (top)</t>
  </si>
  <si>
    <t>Art. B10.24(a)(ii)</t>
  </si>
  <si>
    <t>18 (middle), 27 (top), 31 (middle)</t>
  </si>
  <si>
    <t>19 (middle)</t>
  </si>
  <si>
    <t>Sun Yeun Corporation shall allow third party use of any roads constructed or maintained by it as long as such use does not unduly prejudice or interfere with its operations. Sun Yeun Corporation shall also allow use of communication lines, subject to fair compensation.</t>
  </si>
  <si>
    <t>All infrastructures revert to the Government upon termination of the contract and shall be left in safe running order</t>
  </si>
  <si>
    <t>Art. B4.24</t>
  </si>
  <si>
    <t>19 (bottom)</t>
  </si>
  <si>
    <t>39 (top)</t>
  </si>
  <si>
    <t>22 (bottom)</t>
  </si>
  <si>
    <t>37 (top)</t>
  </si>
  <si>
    <t>Art. B4.3</t>
  </si>
  <si>
    <t>20 (top)</t>
  </si>
  <si>
    <t>Contract to Manage Timber Sale Area: A-15</t>
  </si>
  <si>
    <t>Region: #1; Forest Area: TSC Area "A-15"</t>
  </si>
  <si>
    <r>
      <t>Timber Sale Contract A-15 lies within Latitudes 7</t>
    </r>
    <r>
      <rPr>
        <sz val="12"/>
        <color theme="1"/>
        <rFont val="Calibri"/>
        <family val="2"/>
        <scheme val="minor"/>
      </rPr>
      <t>°21'0'' - 7°26'24'' North of the equator and Longitudes 11°1'12'' - 11°7'12'' West of the Greenwich meridian and is located in Grand Cape Mount County-Liberia</t>
    </r>
  </si>
  <si>
    <t>32 (top)</t>
  </si>
  <si>
    <t>13 (top), 16 (top), 28 (middle)</t>
  </si>
  <si>
    <t>36 (top)</t>
  </si>
  <si>
    <t xml:space="preserve">Cover page 2, art. 8.11 (c) </t>
  </si>
  <si>
    <t>2 (middle), 32 (middle)</t>
  </si>
  <si>
    <t>Arts. B4.12(a) and (b)</t>
  </si>
  <si>
    <t xml:space="preserve">Sun Yeun Corporation shall not use public land outside the contract area unless it has express, written permission from the Forestry Development Authority. Before requesting permission, Sun Yeun Corporation shall consult with all potentially affected communities that are party to social agreements with it. Sun Yeun Corporation shall make a written record of the time, place, and general content of those consultations. </t>
  </si>
  <si>
    <t>Arts. B2.1, B3.3, B6.3, B6.32, B6.34, B6.35, B6.36, B6.37, B6.38</t>
  </si>
  <si>
    <t>Arts. B4.21, B4.22(a), (b) and (c), B6.18, B6.5</t>
  </si>
  <si>
    <t xml:space="preserve">Art. B4.23(a) and (c) </t>
  </si>
  <si>
    <t>The rights of private land owners and the public are governed by Chapters 11 and 12 of the National Forestry Reform Law of 2006, and Sun Yeun Corporation agrees to respect those rights. In addition, the Government reserves the right to, among other things, access or allow others to access the contract area for the purpose of exploring for or exploiting minerals or other substances or any reasonable investigation, provided Sun Yeun Corporation's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Sun Yeun Corporation's operations and activities shall not be unduly interfered with or its rights prejudiced.</t>
  </si>
  <si>
    <t>Sun Yeun Corporation shall not use public land outside the contract area unless it has express, written permission from the Forestry Development Authority. The Forestry Development Authority shall not unreasonably deny permission to use such land. Sun Yeun Corporation may use private land with the express, written permission of the land owner. If Sun Yeun Corporation is unable to obtain the permission of the land owner for such use, then use is limited to rights of way, and any compensation is governed by Chapter 11 of the Forestry Reform Law of 2006 and the Forestry Development Authority Regulation 110-07. With or without permission of the land owner, Sun Yeun Corporation shall not seek a use, lease, right-of-way, or easement that substantially interferes with the operations of another previously issued forest management contract or timber sale contract. Sun Yeun Corporation also shall not interfere with any good faith exercise of third-party rights to timber or forest products, including customary rights, without permission of the third party.</t>
  </si>
  <si>
    <t>Arts. B4.12, B4.13</t>
  </si>
  <si>
    <t>17 (top)</t>
  </si>
  <si>
    <t>The parties understand that section 18.15 of the National Forestry Reform Law guarantees to the public free access to all documents and information related to this contract and its administration, subject only to limited exceptions</t>
  </si>
  <si>
    <t>Art. B5.55</t>
  </si>
  <si>
    <t>24 (middle)</t>
  </si>
  <si>
    <t>Arts. B5.3, B5.51 - B5.53</t>
  </si>
  <si>
    <t>17 (middle)</t>
  </si>
  <si>
    <t>Arts. B1.0, B10.13</t>
  </si>
  <si>
    <t>Managing Director, Forestry Development Authority; In-House Lawyer, Forestry Development Authority</t>
  </si>
  <si>
    <t>Sun Yeun Corporation shall execute the Social Agreements required under Forestry Development Authority Regulation 105-07 before the first annual operating season</t>
  </si>
  <si>
    <t>Art. B3.23(a) and (b)</t>
  </si>
  <si>
    <t>Sun Yeun Corporation shall use all reasonable means to prevent encroachment by unauthorized persons in to the contract area, but it shall not employ or in any way use armed security guards for any purpose</t>
  </si>
  <si>
    <t>The land rental bid is US$ 16.00 per hectare per year. The land rental bid payment is based on the bid provided in the bid opening ceremony multiplied by the surface area in hectares of the contract area. Sun Yeun Corporation shall pay the fee annually to the Government within 30 days after the 'contract effective date (the date upon which the contract satisfies the requirements of Section 5.3(f) of the National Forestry Law of 2006 that the contract be both signed by the President and ratified by the legislature). Sun Yeun Corporation shall pay log stumpage, annual contract administration, area, coupe inspection, and forest product fees to the Government under Forestry Development Authority Regulation 107-07, on Certain Forest Fees.</t>
  </si>
  <si>
    <t>The contract may be interrupted by the Forestry Development Authority to ensure consistency with the Environmental Impact Assessment and related documents</t>
  </si>
  <si>
    <t>Subject to the written approval of the Government and the Social Agreement (as called for under Forestry Development Authority Regulation 105-07) and such conditions as the Government or Social Agreement may impose, Sun Yeun Corporation may use free of charge any water found within the contract area and in the public domain within 5 kilometers of the contract area provided that it does not deprive any lands, tribes, villages, towns, houses, or watering places for animals of a reasonable supply of water, or does not interfere with the rights of water enjoyed by persons under the Land and Native Right Ordinance. Sun Yeun Corporation shall ensure that its use of water in no way results in environmental damage or creates other hazards.</t>
  </si>
  <si>
    <t>Sun Yeun Corporation's harvests must be consistent with sustainable management of forest resources. Sun Yeun Corporation shall conduct its operations in a manner that promotes sustainable development of forest resources and environmental protection for the common good of the people of Liberia.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Sun Yeun Corporation shall conduct all operations and activities so as to avoid waste and loss of natural resources and to protect natural resources from damage. It shall conduct all operations and activities so as to prevent pollution and contamination of the environment. Sun Yeun Corporation shall harvest trees in a manner that avoids unnecessary damage and waste, and unnecessary damage to young growth and other trees. It shall identify in the annual operational plan areas requiring special measures for the protection of plants and animals, and it shall protect these areas from damage or removal during operations. Sun Yeun Corporation shall comply with the Liberia Code of Forest Harvesting Practices for the protection of wildlife in the contract area, as well as for watercourse protection and erosion prevention and control. It shall provide for the proper disposal of sawdust, mill, and other wastes to prevent pollution or contamination.</t>
  </si>
  <si>
    <t xml:space="preserve">Other </t>
  </si>
  <si>
    <t>Sun Yeun Corporation must include an up-to-date business plan demonstrating it has the technical and financial capacity to manage the contract area sustainably. The business plan must conform to the Forestry Development Authority Guidelines for Forest Management Planning.</t>
  </si>
  <si>
    <t>Sun Yeun Corporation has rights under section 18.8 of the National Forestry Reform Law of 2006 concerning construction of infrastructure and agrees to exercise those rights subject to this contract. It shall comply with all laws governing construction, maintenance and use of improvements. Sun Yeun Corporation shall ensure that all infrastructure and works installed in relation to the contract comply with the Liberia Code of Forest Harvesting Practices and other applicable laws, including laws requiring authorization from government agencies other than the Forestry Development Authority. It shall design, construct, and maintain infrastructure in a manner that avoids unreasonable risk to safety, health, welfare, and the environment. Sun Yeun Corporation shall carry out road construction and maintenance activities in compliance with the Liberia Code of Forest Harvesting Practices.</t>
  </si>
  <si>
    <t>Sun Yeun Corporation shall identify areas requiring special measures for the protection of cultural resources, and describe those special measures, in the annual operational plan. It shall protect these areas from damage or removal during its operations. With or without the permission of the owner of private land, Sun Yeun Corporation also shall not interfere with any good faith exercise of third-party rights to timber or forest products on private land, including customary rights, without permission of the third party.</t>
  </si>
  <si>
    <t xml:space="preserve">Arts. B6.34, B4.13(c) </t>
  </si>
  <si>
    <t>The laws of the Republic of Liberia govern this contract</t>
  </si>
  <si>
    <t>Failure by Sun Yeun Corporation to submit a claim (a written demand seeking the payment of money, adjustment or interpretation of contract terms, or other relief, under or relating to this contract) for resolution within 60 days of the disputed action by the Forestry Development Authority shall relinquish the Forestry Development Authority of any and all obligations related to the dispute. Claims arising under the contract shall be decided by the 'contracting officer' (the officer of the Forestry Development Authority who has been delegated authority to administer the contract). The decision of the contracting officer shall be final and conclusive if within 45 days from receipt, Sun Yeun Corporation fails to appeal the decision to an appropriate Liberian court.</t>
  </si>
  <si>
    <t>If any statute or regulation referred to in the contract is repealed or amended, the contract shall be taken to refer to the newly amended statute or regulation, or the statute or regulation that replaces the repealed one, as determined by the Forestry Development Authority</t>
  </si>
  <si>
    <t>Sun Yeun Corporation shall not assign or transfer this contract or any interests, rights, privileges or obligations under the contract without prior written approval from the from the Forestry Development Authority of Liberia. The Forestry Development Authority shall not consent to any assignment or transfer, except in compliance with Forestry Development Authority Regulation 104-07, Section 71.</t>
  </si>
  <si>
    <t>The contract may be terminated if Sun Yeun Corporation commits a number of breaches, including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of Liberia,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Forestry Development Authority, (q) being convicted for violation of criminal statutes or civil standards, or other regulations for environmental protection, (r) failing to comply with a Social Agreement, and (s) if it or its senior official are convicted for violation of criminal statutes and civil standards, or any other offense indicating a lack of business integrity or honesty that seriously and directly affects the responsibility of Sun Yeun Corporation including payment of a bribe, and human rights violations</t>
  </si>
  <si>
    <t>Sun Yeun Corporation consents to the Government or a designated representative conducting reasonable inspections of the contract area and premises. Sun Yeun Corporation shall keep records to demonstrate compliance with the contract during the duration of the contract and for 5 years after the contract terminates. It shall provide a written report within 90 days after completing operations under each annual operation plan, and keep the Forestry Development Authority's contracting officer (who has been delegated authority to administer the contract) informed as to its operations and other contractual activities.</t>
  </si>
  <si>
    <t>Liberia, Sun Yeun Corporation, Timber Sale Contract, Timber, TSC Area A-15, 21 July 2010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</si>
</sst>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rgb="FFFF0000"/>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7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0">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3"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3" fillId="13" borderId="0" xfId="0" applyFont="1" applyFill="1" applyAlignment="1">
      <alignment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14" fontId="0" fillId="4" borderId="9" xfId="0" applyNumberFormat="1" applyFont="1" applyFill="1" applyBorder="1" applyAlignment="1">
      <alignment vertical="top"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0" fillId="0" borderId="9" xfId="0" applyBorder="1" applyAlignment="1">
      <alignment wrapText="1"/>
    </xf>
    <xf numFmtId="0" fontId="21" fillId="2" borderId="5" xfId="0" applyFont="1" applyFill="1" applyBorder="1" applyAlignment="1">
      <alignment wrapText="1"/>
    </xf>
    <xf numFmtId="0" fontId="21" fillId="2" borderId="0" xfId="0" applyFont="1" applyFill="1" applyAlignment="1">
      <alignment wrapText="1"/>
    </xf>
    <xf numFmtId="0" fontId="20"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cellXfs>
  <cellStyles count="27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2</xdr:col>
      <xdr:colOff>1954440</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abSelected="1" topLeftCell="B15" zoomScale="150" zoomScaleNormal="150" zoomScalePageLayoutView="150" workbookViewId="0">
      <selection activeCell="B17" sqref="B17"/>
    </sheetView>
  </sheetViews>
  <sheetFormatPr baseColWidth="10" defaultColWidth="8.6640625" defaultRowHeight="15" x14ac:dyDescent="0"/>
  <cols>
    <col min="1" max="1" width="52.5" style="1" customWidth="1"/>
    <col min="2" max="2" width="19.83203125" style="1" customWidth="1"/>
    <col min="3" max="3" width="69"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8" t="s">
        <v>838</v>
      </c>
      <c r="B10" s="218"/>
      <c r="C10" s="217"/>
    </row>
    <row r="12" spans="1:8" ht="25">
      <c r="C12" s="227">
        <v>42125</v>
      </c>
      <c r="D12" s="228"/>
    </row>
    <row r="16" spans="1:8" ht="30" customHeight="1">
      <c r="B16" s="224" t="s">
        <v>953</v>
      </c>
      <c r="C16" s="224"/>
      <c r="G16" s="225" t="s">
        <v>0</v>
      </c>
      <c r="H16" s="226"/>
    </row>
    <row r="17" spans="1:8" ht="30">
      <c r="A17" s="2" t="s">
        <v>1</v>
      </c>
      <c r="B17" s="2" t="s">
        <v>2</v>
      </c>
      <c r="C17" s="207" t="s">
        <v>242</v>
      </c>
      <c r="D17" s="3" t="s">
        <v>3</v>
      </c>
      <c r="E17" s="207" t="s">
        <v>243</v>
      </c>
      <c r="F17" s="2" t="s">
        <v>4</v>
      </c>
      <c r="G17" s="4" t="s">
        <v>5</v>
      </c>
      <c r="H17" s="5" t="s">
        <v>6</v>
      </c>
    </row>
    <row r="18" spans="1:8" ht="30">
      <c r="A18" s="6" t="s">
        <v>7</v>
      </c>
      <c r="B18" s="7" t="s">
        <v>8</v>
      </c>
      <c r="C18" s="163"/>
      <c r="D18" s="154"/>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64" t="s">
        <v>487</v>
      </c>
      <c r="D19" s="71" t="s">
        <v>841</v>
      </c>
      <c r="E19" s="71" t="s">
        <v>842</v>
      </c>
      <c r="F19" s="68"/>
      <c r="G19" s="69" t="str">
        <f>IF(OR(Table1[[#This Row],[English]]&lt;&gt;"",Table1[[#This Row],[Français]]&lt;&gt;""),Table1[[#This Row],[Français]]&amp;"//"&amp;Table1[[#This Row],[English]],"")</f>
        <v>Pays//Country</v>
      </c>
      <c r="H19" s="70" t="str">
        <f t="shared" si="0"/>
        <v>Liberia--Cover page</v>
      </c>
    </row>
    <row r="20" spans="1:8" ht="45">
      <c r="A20" s="67" t="s">
        <v>11</v>
      </c>
      <c r="B20" s="71" t="s">
        <v>12</v>
      </c>
      <c r="C20" s="164" t="s">
        <v>882</v>
      </c>
      <c r="D20" s="71" t="s">
        <v>849</v>
      </c>
      <c r="E20" s="71" t="s">
        <v>843</v>
      </c>
      <c r="F20" s="68"/>
      <c r="G20" s="69" t="str">
        <f>IF(OR(Table1[[#This Row],[English]]&lt;&gt;"",Table1[[#This Row],[Français]]&lt;&gt;""),Table1[[#This Row],[Français]]&amp;"//"&amp;Table1[[#This Row],[English]],"")</f>
        <v>Nom de la société locale//Local company name</v>
      </c>
      <c r="H20" s="70" t="str">
        <f t="shared" si="0"/>
        <v>Sun Yeun Corporation--Cover page, cover page 2</v>
      </c>
    </row>
    <row r="21" spans="1:8" ht="30">
      <c r="A21" s="71" t="s">
        <v>240</v>
      </c>
      <c r="B21" s="71" t="s">
        <v>241</v>
      </c>
      <c r="C21" s="164"/>
      <c r="D21" s="71"/>
      <c r="E21" s="71"/>
      <c r="F21" s="204"/>
      <c r="G21" s="16" t="str">
        <f>IF(OR(Table1[[#This Row],[English]]&lt;&gt;"",Table1[[#This Row],[Français]]&lt;&gt;""),Table1[[#This Row],[Français]]&amp;"//"&amp;Table1[[#This Row],[English]],"")</f>
        <v>Numéro d'entreprise légal//Legal Enterprise Identifier</v>
      </c>
      <c r="H21" s="205" t="str">
        <f>IF(C21&lt;&gt;"",IF(D21&lt;&gt;"",C21&amp;"--"&amp;D21,C21),"")</f>
        <v/>
      </c>
    </row>
    <row r="22" spans="1:8" ht="60">
      <c r="A22" s="10" t="s">
        <v>13</v>
      </c>
      <c r="B22" s="10" t="s">
        <v>14</v>
      </c>
      <c r="C22" s="165" t="s">
        <v>883</v>
      </c>
      <c r="D22" s="10" t="s">
        <v>849</v>
      </c>
      <c r="E22" s="10" t="s">
        <v>843</v>
      </c>
      <c r="F22" s="11"/>
      <c r="G22" s="12" t="str">
        <f>IF(OR(Table1[[#This Row],[English]]&lt;&gt;"",Table1[[#This Row],[Français]]&lt;&gt;""),Table1[[#This Row],[Français]]&amp;"//"&amp;Table1[[#This Row],[English]],"")</f>
        <v xml:space="preserve">Siège social //Corporate headquarters </v>
      </c>
      <c r="H22" s="13" t="str">
        <f t="shared" si="0"/>
        <v>Old Road, Congo Town, Monrovia, Liberia--Cover page, cover page 2</v>
      </c>
    </row>
    <row r="23" spans="1:8">
      <c r="A23" s="10" t="s">
        <v>15</v>
      </c>
      <c r="B23" s="10" t="s">
        <v>16</v>
      </c>
      <c r="C23" s="165"/>
      <c r="D23" s="10"/>
      <c r="E23" s="10"/>
      <c r="F23" s="11"/>
      <c r="G23" s="12" t="str">
        <f>IF(OR(Table1[[#This Row],[English]]&lt;&gt;"",Table1[[#This Row],[Français]]&lt;&gt;""),Table1[[#This Row],[Français]]&amp;"//"&amp;Table1[[#This Row],[English]],"")</f>
        <v>Structure du Capital//Company structure</v>
      </c>
      <c r="H23" s="13" t="str">
        <f t="shared" si="0"/>
        <v/>
      </c>
    </row>
    <row r="24" spans="1:8" ht="33.75" customHeight="1">
      <c r="A24" s="67" t="s">
        <v>17</v>
      </c>
      <c r="B24" s="71" t="s">
        <v>193</v>
      </c>
      <c r="C24" s="164"/>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ht="30">
      <c r="A25" s="71" t="s">
        <v>240</v>
      </c>
      <c r="B25" s="71" t="s">
        <v>241</v>
      </c>
      <c r="C25" s="164"/>
      <c r="D25" s="71"/>
      <c r="E25" s="71"/>
      <c r="F25" s="204"/>
      <c r="G25" s="16" t="str">
        <f>IF(OR(Table1[[#This Row],[English]]&lt;&gt;"",Table1[[#This Row],[Français]]&lt;&gt;""),Table1[[#This Row],[Français]]&amp;"//"&amp;Table1[[#This Row],[English]],"")</f>
        <v>Numéro d'entreprise légal//Legal Enterprise Identifier</v>
      </c>
      <c r="H25" s="205" t="str">
        <f>IF(C25&lt;&gt;"",IF(D25&lt;&gt;"",C25&amp;"--"&amp;D25,C25),"")</f>
        <v/>
      </c>
    </row>
    <row r="26" spans="1:8">
      <c r="A26" s="67" t="s">
        <v>18</v>
      </c>
      <c r="B26" s="67" t="s">
        <v>19</v>
      </c>
      <c r="C26" s="166"/>
      <c r="D26" s="155"/>
      <c r="E26" s="155"/>
      <c r="F26" s="68"/>
      <c r="G26" s="69" t="str">
        <f>IF(OR(Table1[[#This Row],[English]]&lt;&gt;"",Table1[[#This Row],[Français]]&lt;&gt;""),Table1[[#This Row],[Français]]&amp;"//"&amp;Table1[[#This Row],[English]],"")</f>
        <v>Site web de l’entreprise//Company website</v>
      </c>
      <c r="H26" s="70" t="str">
        <f t="shared" si="0"/>
        <v/>
      </c>
    </row>
    <row r="27" spans="1:8" ht="90">
      <c r="A27" s="71" t="s">
        <v>204</v>
      </c>
      <c r="B27" s="72" t="s">
        <v>20</v>
      </c>
      <c r="C27" s="164" t="s">
        <v>840</v>
      </c>
      <c r="D27" s="71" t="s">
        <v>849</v>
      </c>
      <c r="E27" s="71" t="s">
        <v>843</v>
      </c>
      <c r="F27" s="6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Timber Sale Contract--Cover page, cover page 2</v>
      </c>
    </row>
    <row r="28" spans="1:8" ht="75">
      <c r="A28" s="67" t="s">
        <v>21</v>
      </c>
      <c r="B28" s="67" t="s">
        <v>22</v>
      </c>
      <c r="C28" s="164" t="s">
        <v>911</v>
      </c>
      <c r="D28" s="71" t="s">
        <v>849</v>
      </c>
      <c r="E28" s="155" t="s">
        <v>844</v>
      </c>
      <c r="F28" s="68"/>
      <c r="G28" s="69" t="str">
        <f>IF(OR(Table1[[#This Row],[English]]&lt;&gt;"",Table1[[#This Row],[Français]]&lt;&gt;""),Table1[[#This Row],[Français]]&amp;"//"&amp;Table1[[#This Row],[English]],"")</f>
        <v>Nom du projet//Project title</v>
      </c>
      <c r="H28" s="70" t="str">
        <f>IF(C28&lt;&gt;"",IF(D28&lt;&gt;"",C28&amp;"--"&amp;D28,C28),"")</f>
        <v>Contract to Manage Timber Sale Area: A-15--Cover page, cover page 2</v>
      </c>
    </row>
    <row r="29" spans="1:8" ht="45">
      <c r="A29" s="71" t="s">
        <v>201</v>
      </c>
      <c r="B29" s="72" t="s">
        <v>23</v>
      </c>
      <c r="C29" s="164" t="s">
        <v>912</v>
      </c>
      <c r="D29" s="71" t="s">
        <v>845</v>
      </c>
      <c r="E29" s="71" t="s">
        <v>846</v>
      </c>
      <c r="F29" s="68"/>
      <c r="G29" s="69" t="str">
        <f>IF(OR(Table1[[#This Row],[English]]&lt;&gt;"",Table1[[#This Row],[Français]]&lt;&gt;""),Table1[[#This Row],[Français]]&amp;"//"&amp;Table1[[#This Row],[English]],"")</f>
        <v>Nom du gisement/ champ de pétrole/ gas//Name and/or number of field, block or deposit</v>
      </c>
      <c r="H29" s="70" t="str">
        <f>IF(C29&lt;&gt;"",IF(D29&lt;&gt;"",C29&amp;"--"&amp;D29,C29),"")</f>
        <v>Region: #1; Forest Area: TSC Area "A-15"--Cover page 2</v>
      </c>
    </row>
    <row r="30" spans="1:8" ht="80.25" customHeight="1">
      <c r="A30" s="76" t="s">
        <v>206</v>
      </c>
      <c r="B30" s="111" t="s">
        <v>205</v>
      </c>
      <c r="C30" s="164" t="s">
        <v>913</v>
      </c>
      <c r="D30" s="76" t="s">
        <v>854</v>
      </c>
      <c r="E30" s="71" t="s">
        <v>855</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Timber Sale Contract A-15 lies within Latitudes 7°21'0'' - 7°26'24'' North of the equator and Longitudes 11°1'12'' - 11°7'12'' West of the Greenwich meridian and is located in Grand Cape Mount County-Liberia--Art. A1</v>
      </c>
    </row>
    <row r="31" spans="1:8">
      <c r="A31" s="67" t="s">
        <v>24</v>
      </c>
      <c r="B31" s="67" t="s">
        <v>25</v>
      </c>
      <c r="C31" s="166"/>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4"/>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6"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5"/>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5"/>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5"/>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7"/>
      <c r="D37" s="156"/>
      <c r="E37" s="156"/>
      <c r="F37" s="15"/>
      <c r="G37" s="16" t="str">
        <f>IF(OR(Table1[[#This Row],[English]]&lt;&gt;"",Table1[[#This Row],[Français]]&lt;&gt;""),Table1[[#This Row],[Français]]&amp;"//"&amp;Table1[[#This Row],[English]],"")</f>
        <v/>
      </c>
      <c r="H37" s="17" t="str">
        <f t="shared" si="0"/>
        <v/>
      </c>
    </row>
    <row r="38" spans="1:8" ht="30">
      <c r="A38" s="206" t="s">
        <v>36</v>
      </c>
      <c r="B38" s="206" t="s">
        <v>37</v>
      </c>
      <c r="C38" s="168"/>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8"/>
      <c r="D39" s="157"/>
      <c r="E39" s="157"/>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4" t="s">
        <v>882</v>
      </c>
      <c r="D40" s="71" t="s">
        <v>849</v>
      </c>
      <c r="E40" s="71" t="s">
        <v>843</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Sun Yeun Corporation--Cover page, cover page 2</v>
      </c>
    </row>
    <row r="41" spans="1:8" ht="30">
      <c r="A41" s="71" t="s">
        <v>240</v>
      </c>
      <c r="B41" s="71" t="s">
        <v>241</v>
      </c>
      <c r="C41" s="164"/>
      <c r="D41" s="71"/>
      <c r="E41" s="71"/>
      <c r="F41" s="204"/>
      <c r="G41" s="16" t="str">
        <f>IF(OR(Table1[[#This Row],[English]]&lt;&gt;"",Table1[[#This Row],[Français]]&lt;&gt;""),Table1[[#This Row],[Français]]&amp;"//"&amp;Table1[[#This Row],[English]],"")</f>
        <v>Numéro d'entreprise légal//Legal Enterprise Identifier</v>
      </c>
      <c r="H41" s="205" t="str">
        <f>IF(C41&lt;&gt;"",IF(D41&lt;&gt;"",C41&amp;"--"&amp;D41,C41),"")</f>
        <v/>
      </c>
    </row>
    <row r="42" spans="1:8" ht="45">
      <c r="A42" s="10" t="s">
        <v>42</v>
      </c>
      <c r="B42" s="10" t="s">
        <v>43</v>
      </c>
      <c r="C42" s="165" t="s">
        <v>884</v>
      </c>
      <c r="D42" s="105" t="s">
        <v>847</v>
      </c>
      <c r="E42" s="105" t="s">
        <v>885</v>
      </c>
      <c r="F42" s="222"/>
      <c r="G42" s="23" t="str">
        <f>IF(OR(Table1[[#This Row],[English]]&lt;&gt;"",Table1[[#This Row],[Français]]&lt;&gt;""),Table1[[#This Row],[Français]]&amp;"//"&amp;Table1[[#This Row],[English]],"")</f>
        <v>Signataire(s), société //Signatories, company</v>
      </c>
      <c r="H42" s="13" t="str">
        <f t="shared" si="0"/>
        <v>President/CEO, Sun Yeun Corporation--Signature page</v>
      </c>
    </row>
    <row r="43" spans="1:8" ht="42" customHeight="1">
      <c r="A43" s="67" t="s">
        <v>44</v>
      </c>
      <c r="B43" s="67" t="s">
        <v>45</v>
      </c>
      <c r="C43" s="164" t="s">
        <v>848</v>
      </c>
      <c r="D43" s="76" t="s">
        <v>849</v>
      </c>
      <c r="E43" s="76" t="s">
        <v>850</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Forestry Development Authority--Cover page, cover page 2</v>
      </c>
    </row>
    <row r="44" spans="1:8" ht="70.5" customHeight="1">
      <c r="A44" s="10" t="s">
        <v>46</v>
      </c>
      <c r="B44" s="10" t="s">
        <v>47</v>
      </c>
      <c r="C44" s="165" t="s">
        <v>934</v>
      </c>
      <c r="D44" s="10" t="s">
        <v>847</v>
      </c>
      <c r="E44" s="10" t="s">
        <v>886</v>
      </c>
      <c r="F44" s="222"/>
      <c r="G44" s="23" t="str">
        <f>IF(OR(Table1[[#This Row],[English]]&lt;&gt;"",Table1[[#This Row],[Français]]&lt;&gt;""),Table1[[#This Row],[Français]]&amp;"//"&amp;Table1[[#This Row],[English]],"")</f>
        <v>Signataire(s), Etat//Signatories, State</v>
      </c>
      <c r="H44" s="13" t="str">
        <f t="shared" si="0"/>
        <v>Managing Director, Forestry Development Authority; In-House Lawyer, Forestry Development Authority--Signature page</v>
      </c>
    </row>
    <row r="45" spans="1:8" ht="47" customHeight="1">
      <c r="A45" s="67" t="s">
        <v>48</v>
      </c>
      <c r="B45" s="67" t="s">
        <v>49</v>
      </c>
      <c r="C45" s="166"/>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178</v>
      </c>
      <c r="B46" s="61" t="s">
        <v>169</v>
      </c>
      <c r="C46" s="169"/>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60">
      <c r="A47" s="67" t="s">
        <v>50</v>
      </c>
      <c r="B47" s="67" t="s">
        <v>51</v>
      </c>
      <c r="C47" s="210">
        <v>40380</v>
      </c>
      <c r="D47" s="220" t="s">
        <v>849</v>
      </c>
      <c r="E47" s="220" t="s">
        <v>851</v>
      </c>
      <c r="F47" s="73"/>
      <c r="G47" s="74" t="str">
        <f>IF(OR(Table1[[#This Row],[English]]&lt;&gt;"",Table1[[#This Row],[Français]]&lt;&gt;""),Table1[[#This Row],[Français]]&amp;"//"&amp;Table1[[#This Row],[English]],"")</f>
        <v>Date de signature du contrat//Date of contract signature</v>
      </c>
      <c r="H47" s="70" t="str">
        <f t="shared" si="0"/>
        <v>40380--Cover page, cover page 2</v>
      </c>
    </row>
    <row r="48" spans="1:8" ht="60">
      <c r="A48" s="71" t="s">
        <v>52</v>
      </c>
      <c r="B48" s="67" t="s">
        <v>53</v>
      </c>
      <c r="C48" s="166">
        <f>IF(C47&lt;&gt;"",YEAR(C47),"")</f>
        <v>2010</v>
      </c>
      <c r="D48" s="220" t="s">
        <v>849</v>
      </c>
      <c r="E48" s="220" t="s">
        <v>851</v>
      </c>
      <c r="F48" s="73"/>
      <c r="G48" s="74" t="str">
        <f>IF(OR(Table1[[#This Row],[English]]&lt;&gt;"",Table1[[#This Row],[Français]]&lt;&gt;""),Table1[[#This Row],[Français]]&amp;"//"&amp;Table1[[#This Row],[English]],"")</f>
        <v>Année de signature du contrat//Year of contract signature</v>
      </c>
      <c r="H48" s="70" t="str">
        <f t="shared" si="0"/>
        <v>2010--Cover page, cover page 2</v>
      </c>
    </row>
    <row r="49" spans="1:8" ht="52.5" customHeight="1">
      <c r="A49" s="67" t="s">
        <v>54</v>
      </c>
      <c r="B49" s="67" t="s">
        <v>55</v>
      </c>
      <c r="C49" s="164" t="s">
        <v>852</v>
      </c>
      <c r="D49" s="76" t="s">
        <v>917</v>
      </c>
      <c r="E49" s="71" t="s">
        <v>918</v>
      </c>
      <c r="F49" s="73"/>
      <c r="G49" s="74" t="str">
        <f>IF(OR(Table1[[#This Row],[English]]&lt;&gt;"",Table1[[#This Row],[Français]]&lt;&gt;""),Table1[[#This Row],[Français]]&amp;"//"&amp;Table1[[#This Row],[English]],"")</f>
        <v>Durée//Term</v>
      </c>
      <c r="H49" s="70" t="str">
        <f t="shared" si="0"/>
        <v xml:space="preserve">3 years--Cover page 2, art. 8.11 (c) </v>
      </c>
    </row>
    <row r="50" spans="1:8" ht="45">
      <c r="A50" s="10" t="s">
        <v>56</v>
      </c>
      <c r="B50" s="10" t="s">
        <v>57</v>
      </c>
      <c r="C50" s="165" t="s">
        <v>887</v>
      </c>
      <c r="D50" s="10" t="s">
        <v>888</v>
      </c>
      <c r="E50" s="10" t="s">
        <v>878</v>
      </c>
      <c r="F50" s="22"/>
      <c r="G50" s="23" t="str">
        <f>IF(OR(Table1[[#This Row],[English]]&lt;&gt;"",Table1[[#This Row],[Français]]&lt;&gt;""),Table1[[#This Row],[Français]]&amp;"//"&amp;Table1[[#This Row],[English]],"")</f>
        <v xml:space="preserve">Conditions de renouvellement//Conditions for renewal </v>
      </c>
      <c r="H50" s="13" t="str">
        <f t="shared" si="0"/>
        <v>The contract is not renewable--Art. B2.2</v>
      </c>
    </row>
    <row r="51" spans="1:8" ht="54" customHeight="1">
      <c r="A51" s="71" t="s">
        <v>229</v>
      </c>
      <c r="B51" s="72" t="s">
        <v>177</v>
      </c>
      <c r="C51" s="164" t="s">
        <v>808</v>
      </c>
      <c r="D51" s="71" t="s">
        <v>856</v>
      </c>
      <c r="E51" s="71" t="s">
        <v>857</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Timber--Preamble, Art. B2.1</v>
      </c>
    </row>
    <row r="52" spans="1:8" ht="42" customHeight="1">
      <c r="A52" s="119" t="s">
        <v>218</v>
      </c>
      <c r="B52" s="119" t="s">
        <v>217</v>
      </c>
      <c r="C52" s="181" t="s">
        <v>853</v>
      </c>
      <c r="D52" s="56" t="s">
        <v>854</v>
      </c>
      <c r="E52" s="56" t="s">
        <v>855</v>
      </c>
      <c r="F52" s="119"/>
      <c r="G52" s="126" t="str">
        <f>IF(OR(Table1[[#This Row],[English]]&lt;&gt;"",Table1[[#This Row],[Français]]&lt;&gt;""),Table1[[#This Row],[Français]]&amp;"//"&amp;Table1[[#This Row],[English]],"")</f>
        <v>Superficie de la concession//Size of the concession area</v>
      </c>
      <c r="H52" s="127" t="str">
        <f>IF(C52&lt;&gt;"",IF(D52&lt;&gt;"",C52&amp;"--"&amp;D52,C52),"")</f>
        <v>5,000 ha--Art. A1</v>
      </c>
    </row>
    <row r="53" spans="1:8">
      <c r="A53" s="14"/>
      <c r="B53" s="14"/>
      <c r="C53" s="167"/>
      <c r="D53" s="156"/>
      <c r="E53" s="156"/>
      <c r="F53" s="15"/>
      <c r="G53" s="16" t="str">
        <f>IF(OR(Table1[[#This Row],[English]]&lt;&gt;"",Table1[[#This Row],[Français]]&lt;&gt;""),Table1[[#This Row],[Français]]&amp;"//"&amp;Table1[[#This Row],[English]],"")</f>
        <v/>
      </c>
      <c r="H53" s="17" t="str">
        <f t="shared" si="0"/>
        <v/>
      </c>
    </row>
    <row r="54" spans="1:8" ht="49.5" customHeight="1">
      <c r="A54" s="62" t="s">
        <v>58</v>
      </c>
      <c r="B54" s="63" t="s">
        <v>192</v>
      </c>
      <c r="C54" s="168"/>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93" customHeight="1">
      <c r="A55" s="75" t="s">
        <v>59</v>
      </c>
      <c r="B55" s="67" t="s">
        <v>60</v>
      </c>
      <c r="C55" s="164" t="s">
        <v>935</v>
      </c>
      <c r="D55" s="155" t="s">
        <v>858</v>
      </c>
      <c r="E55" s="155" t="s">
        <v>889</v>
      </c>
      <c r="F55" s="68"/>
      <c r="G55" s="69" t="str">
        <f>IF(OR(Table1[[#This Row],[English]]&lt;&gt;"",Table1[[#This Row],[Français]]&lt;&gt;""),Table1[[#This Row],[Français]]&amp;"//"&amp;Table1[[#This Row],[English]],"")</f>
        <v>Convention de développement local//Local development agreement</v>
      </c>
      <c r="H55" s="70" t="str">
        <f t="shared" si="0"/>
        <v>Sun Yeun Corporation shall execute the Social Agreements required under Forestry Development Authority Regulation 105-07 before the first annual operating season--Art. B3.12</v>
      </c>
    </row>
    <row r="56" spans="1:8" ht="82.5" customHeight="1">
      <c r="A56" s="10" t="s">
        <v>230</v>
      </c>
      <c r="B56" s="10" t="s">
        <v>61</v>
      </c>
      <c r="C56" s="165" t="s">
        <v>945</v>
      </c>
      <c r="D56" s="10" t="s">
        <v>946</v>
      </c>
      <c r="E56" s="10" t="s">
        <v>872</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 xml:space="preserve">Sun Yeun Corporation shall identify areas requiring special measures for the protection of cultural resources, and describe those special measures, in the annual operational plan. It shall protect these areas from damage or removal during its operations. With or without the permission of the owner of private land, Sun Yeun Corporation also shall not interfere with any good faith exercise of third-party rights to timber or forest products on private land, including customary rights, without permission of the third party.--Arts. B6.34, B4.13(c) </v>
      </c>
    </row>
    <row r="57" spans="1:8" ht="162.75" customHeight="1">
      <c r="A57" s="71" t="s">
        <v>235</v>
      </c>
      <c r="B57" s="67" t="s">
        <v>62</v>
      </c>
      <c r="C57" s="164" t="s">
        <v>920</v>
      </c>
      <c r="D57" s="155" t="s">
        <v>919</v>
      </c>
      <c r="E57" s="155" t="s">
        <v>932</v>
      </c>
      <c r="F57" s="73"/>
      <c r="G57" s="74" t="str">
        <f>IF(OR(Table1[[#This Row],[English]]&lt;&gt;"",Table1[[#This Row],[Français]]&lt;&gt;""),Table1[[#This Row],[Français]]&amp;"//"&amp;Table1[[#This Row],[English]],"")</f>
        <v xml:space="preserve">Consultations communautaires requises//Requirements for community consultation </v>
      </c>
      <c r="H57" s="70" t="str">
        <f t="shared" si="0"/>
        <v>Sun Yeun Corporation shall not use public land outside the contract area unless it has express, written permission from the Forestry Development Authority. Before requesting permission, Sun Yeun Corporation shall consult with all potentially affected communities that are party to social agreements with it. Sun Yeun Corporation shall make a written record of the time, place, and general content of those consultations. --Arts. B4.12(a) and (b)</v>
      </c>
    </row>
    <row r="58" spans="1:8" ht="58.5" customHeight="1">
      <c r="A58" s="10" t="s">
        <v>236</v>
      </c>
      <c r="B58" s="10" t="s">
        <v>63</v>
      </c>
      <c r="C58" s="165"/>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122.25" customHeight="1">
      <c r="A59" s="71" t="s">
        <v>231</v>
      </c>
      <c r="B59" s="67" t="s">
        <v>64</v>
      </c>
      <c r="C59" s="171" t="s">
        <v>890</v>
      </c>
      <c r="D59" s="71" t="s">
        <v>936</v>
      </c>
      <c r="E59" s="71" t="s">
        <v>860</v>
      </c>
      <c r="F59" s="73"/>
      <c r="G59" s="74" t="str">
        <f>IF(OR(Table1[[#This Row],[English]]&lt;&gt;"",Table1[[#This Row],[Français]]&lt;&gt;""),Table1[[#This Row],[Français]]&amp;"//"&amp;Table1[[#This Row],[English]],"")</f>
        <v>Obligations liées à l'emploi du personnel local//Local employment requirements</v>
      </c>
      <c r="H59" s="70" t="str">
        <f t="shared" si="0"/>
        <v>Sun Yeun Corporation shall give preference to competent and qualified individuals living in and near the contract area, particularly to individuals from communities benefiting from the Social Agreements. Sun Yeun Corporation shall not import unskilled labor from outside Liberia. --Art. B3.23(a) and (b)</v>
      </c>
    </row>
    <row r="60" spans="1:8" ht="29.25" customHeight="1">
      <c r="A60" s="71" t="s">
        <v>233</v>
      </c>
      <c r="B60" s="67" t="s">
        <v>65</v>
      </c>
      <c r="C60" s="166"/>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5"/>
      <c r="D61" s="10"/>
      <c r="E61" s="10"/>
      <c r="F61" s="22"/>
      <c r="G61" s="23" t="str">
        <f>IF(OR(Table1[[#This Row],[English]]&lt;&gt;"",Table1[[#This Row],[Français]]&lt;&gt;""),Table1[[#This Row],[Français]]&amp;"//"&amp;Table1[[#This Row],[English]],"")</f>
        <v>Assurance//Insurance</v>
      </c>
      <c r="H61" s="13" t="str">
        <f t="shared" si="0"/>
        <v/>
      </c>
    </row>
    <row r="62" spans="1:8" ht="20.25" customHeight="1">
      <c r="A62" s="76" t="s">
        <v>207</v>
      </c>
      <c r="B62" s="76" t="s">
        <v>208</v>
      </c>
      <c r="C62" s="171"/>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2" t="s">
        <v>232</v>
      </c>
      <c r="B63" s="132" t="s">
        <v>223</v>
      </c>
      <c r="C63" s="172"/>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173.25" customHeight="1">
      <c r="A64" s="124" t="s">
        <v>185</v>
      </c>
      <c r="B64" s="10" t="s">
        <v>184</v>
      </c>
      <c r="C64" s="165" t="s">
        <v>891</v>
      </c>
      <c r="D64" s="10" t="s">
        <v>861</v>
      </c>
      <c r="E64" s="10" t="s">
        <v>862</v>
      </c>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Sun Yeun Corporation shall follow internationally recognized, modern safety precautions in all activities and shall comply with written safety instructions supplied by the Government. Sun Yeun Corporation shall follow internationally recognized, modern measures for the protection of general health and safety of its employees and shall comply with written public health instructions given in writing by the Government.--Arts. B3.21 - B3.22</v>
      </c>
    </row>
    <row r="65" spans="1:8" ht="79.5" customHeight="1">
      <c r="A65" s="83" t="s">
        <v>187</v>
      </c>
      <c r="B65" s="82" t="s">
        <v>186</v>
      </c>
      <c r="C65" s="174" t="s">
        <v>937</v>
      </c>
      <c r="D65" s="76" t="s">
        <v>863</v>
      </c>
      <c r="E65" s="76" t="s">
        <v>892</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Sun Yeun Corporation shall use all reasonable means to prevent encroachment by unauthorized persons in to the contract area, but it shall not employ or in any way use armed security guards for any purpose--Art. B6.31</v>
      </c>
    </row>
    <row r="66" spans="1:8" ht="34" customHeight="1">
      <c r="A66" s="145" t="s">
        <v>189</v>
      </c>
      <c r="B66" s="146" t="s">
        <v>190</v>
      </c>
      <c r="C66" s="175"/>
      <c r="D66" s="159"/>
      <c r="E66" s="147"/>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
      </c>
    </row>
    <row r="67" spans="1:8" ht="261" customHeight="1">
      <c r="A67" s="123" t="s">
        <v>216</v>
      </c>
      <c r="B67" s="119" t="s">
        <v>215</v>
      </c>
      <c r="C67" s="181" t="s">
        <v>924</v>
      </c>
      <c r="D67" s="10" t="s">
        <v>864</v>
      </c>
      <c r="E67" s="10" t="s">
        <v>865</v>
      </c>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The rights of private land owners and the public are governed by Chapters 11 and 12 of the National Forestry Reform Law of 2006, and Sun Yeun Corporation agrees to respect those rights. In addition, the Government reserves the right to, among other things, access or allow others to access the contract area for the purpose of exploring for or exploiting minerals or other substances or any reasonable investigation, provided Sun Yeun Corporation's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Sun Yeun Corporation's operations and activities shall not be unduly interfered with or its rights prejudiced.--Art. B2.11</v>
      </c>
    </row>
    <row r="68" spans="1:8" ht="67.5" customHeight="1">
      <c r="A68" s="83" t="s">
        <v>176</v>
      </c>
      <c r="B68" s="82" t="s">
        <v>867</v>
      </c>
      <c r="C68" s="164" t="s">
        <v>895</v>
      </c>
      <c r="D68" s="155" t="s">
        <v>894</v>
      </c>
      <c r="E68" s="155" t="s">
        <v>893</v>
      </c>
      <c r="F68" s="73"/>
      <c r="G68" s="74" t="str">
        <f>IF(OR(Table1[[#This Row],[English]]&lt;&gt;"",Table1[[#This Row],[Français]]&lt;&gt;""),Table1[[#This Row],[Français]]&amp;"//"&amp;Table1[[#This Row],[English]],"")</f>
        <v>Autre - [le nom de catégorie]//Other - Termination for violation of human rights</v>
      </c>
      <c r="H68" s="70" t="str">
        <f t="shared" si="0"/>
        <v>The contract shall be terminated if Sun Yeun Corporation or its senior officers are convicted for human rights violations and is unable to or fails to satisfactorily remedy them--Art. B10.27(s)(v)</v>
      </c>
    </row>
    <row r="69" spans="1:8">
      <c r="A69" s="24"/>
      <c r="B69" s="24"/>
      <c r="C69" s="182"/>
      <c r="D69" s="193"/>
      <c r="E69" s="193"/>
      <c r="F69" s="15"/>
      <c r="G69" s="16" t="str">
        <f>IF(OR(Table1[[#This Row],[English]]&lt;&gt;"",Table1[[#This Row],[Français]]&lt;&gt;""),Table1[[#This Row],[Français]]&amp;"//"&amp;Table1[[#This Row],[English]],"")</f>
        <v/>
      </c>
      <c r="H69" s="25" t="str">
        <f t="shared" si="0"/>
        <v/>
      </c>
    </row>
    <row r="70" spans="1:8" ht="29" customHeight="1">
      <c r="A70" s="62" t="s">
        <v>68</v>
      </c>
      <c r="B70" s="26" t="s">
        <v>69</v>
      </c>
      <c r="C70" s="168"/>
      <c r="D70" s="157"/>
      <c r="E70" s="157"/>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4" t="s">
        <v>70</v>
      </c>
      <c r="B71" s="85" t="s">
        <v>71</v>
      </c>
      <c r="C71" s="85"/>
      <c r="D71" s="151"/>
      <c r="E71" s="151"/>
      <c r="F71" s="86"/>
      <c r="G71" s="87" t="str">
        <f>IF(OR(Table1[[#This Row],[English]]&lt;&gt;"",Table1[[#This Row],[Français]]&lt;&gt;""),Table1[[#This Row],[Français]]&amp;"//"&amp;Table1[[#This Row],[English]],"")</f>
        <v>Taxe minière / redevance//Mining tax / royalty tax</v>
      </c>
      <c r="H71" s="88" t="str">
        <f t="shared" si="0"/>
        <v/>
      </c>
    </row>
    <row r="72" spans="1:8" ht="36" customHeight="1">
      <c r="A72" s="84" t="s">
        <v>72</v>
      </c>
      <c r="B72" s="85" t="s">
        <v>73</v>
      </c>
      <c r="C72" s="176" t="s">
        <v>896</v>
      </c>
      <c r="D72" s="151" t="s">
        <v>868</v>
      </c>
      <c r="E72" s="151" t="s">
        <v>914</v>
      </c>
      <c r="F72" s="86"/>
      <c r="G72" s="87" t="str">
        <f>IF(OR(Table1[[#This Row],[English]]&lt;&gt;"",Table1[[#This Row],[Français]]&lt;&gt;""),Table1[[#This Row],[Français]]&amp;"//"&amp;Table1[[#This Row],[English]],"")</f>
        <v>Impôt sur les bénéfices: taux//Income tax: rate</v>
      </c>
      <c r="H72" s="88" t="str">
        <f t="shared" si="0"/>
        <v>Sun Yeun Corporation shall be subject to income tax under the Revenue Code of Liberia--Art. B8.0</v>
      </c>
    </row>
    <row r="73" spans="1:8" ht="30">
      <c r="A73" s="85" t="s">
        <v>224</v>
      </c>
      <c r="B73" s="85" t="s">
        <v>74</v>
      </c>
      <c r="C73" s="177"/>
      <c r="D73" s="160"/>
      <c r="E73" s="160"/>
      <c r="F73" s="86"/>
      <c r="G73" s="87" t="str">
        <f>IF(OR(Table1[[#This Row],[English]]&lt;&gt;"",Table1[[#This Row],[Français]]&lt;&gt;""),Table1[[#This Row],[Français]]&amp;"//"&amp;Table1[[#This Row],[English]],"")</f>
        <v>Impôt sur les bénéfices: exonération//Income tax: exemptions</v>
      </c>
      <c r="H73" s="88" t="str">
        <f t="shared" si="0"/>
        <v/>
      </c>
    </row>
    <row r="74" spans="1:8" ht="90">
      <c r="A74" s="85" t="s">
        <v>225</v>
      </c>
      <c r="B74" s="85" t="s">
        <v>75</v>
      </c>
      <c r="C74" s="177"/>
      <c r="D74" s="160"/>
      <c r="E74" s="160"/>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6" t="s">
        <v>199</v>
      </c>
      <c r="B75" s="106" t="s">
        <v>76</v>
      </c>
      <c r="C75" s="178"/>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200</v>
      </c>
      <c r="B76" s="106" t="s">
        <v>77</v>
      </c>
      <c r="C76" s="178"/>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60">
      <c r="A77" s="106" t="s">
        <v>234</v>
      </c>
      <c r="B77" s="106" t="s">
        <v>78</v>
      </c>
      <c r="C77" s="178"/>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 customHeight="1">
      <c r="A78" s="89" t="s">
        <v>237</v>
      </c>
      <c r="B78" s="89" t="s">
        <v>79</v>
      </c>
      <c r="C78" s="174"/>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 customHeight="1">
      <c r="A79" s="128" t="s">
        <v>202</v>
      </c>
      <c r="B79" s="128" t="s">
        <v>209</v>
      </c>
      <c r="C79" s="170"/>
      <c r="D79" s="27"/>
      <c r="E79" s="27"/>
      <c r="F79" s="129"/>
      <c r="G79" s="130" t="str">
        <f>IF(OR(Table1[[#This Row],[English]]&lt;&gt;"",Table1[[#This Row],[Français]]&lt;&gt;""),Table1[[#This Row],[Français]]&amp;"//"&amp;Table1[[#This Row],[English]],"")</f>
        <v>Retenue à la source sur les intérêts et/ou dividendes//Withholding tax on payment of interest and/or dividends</v>
      </c>
      <c r="H79" s="131" t="str">
        <f>IF(C79&lt;&gt;"",IF(D79&lt;&gt;"",C79&amp;"--"&amp;D79,C79),"")</f>
        <v/>
      </c>
    </row>
    <row r="80" spans="1:8" ht="30">
      <c r="A80" s="27" t="s">
        <v>80</v>
      </c>
      <c r="B80" s="27" t="s">
        <v>81</v>
      </c>
      <c r="C80" s="173"/>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ht="30">
      <c r="A81" s="27" t="s">
        <v>82</v>
      </c>
      <c r="B81" s="27" t="s">
        <v>83</v>
      </c>
      <c r="C81" s="190"/>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45">
      <c r="A82" s="27" t="s">
        <v>84</v>
      </c>
      <c r="B82" s="27" t="s">
        <v>85</v>
      </c>
      <c r="C82" s="190"/>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8" t="s">
        <v>86</v>
      </c>
      <c r="B83" s="27" t="s">
        <v>87</v>
      </c>
      <c r="C83" s="190"/>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ht="30">
      <c r="A84" s="27" t="s">
        <v>88</v>
      </c>
      <c r="B84" s="27" t="s">
        <v>89</v>
      </c>
      <c r="C84" s="179"/>
      <c r="D84" s="27"/>
      <c r="E84" s="27"/>
      <c r="F84" s="29"/>
      <c r="G84" s="30" t="str">
        <f>IF(OR(Table1[[#This Row],[English]]&lt;&gt;"",Table1[[#This Row],[Français]]&lt;&gt;""),Table1[[#This Row],[Français]]&amp;"//"&amp;Table1[[#This Row],[English]],"")</f>
        <v>Déductibilité des frais financiers//Deductibility of expenses</v>
      </c>
      <c r="H84" s="31" t="str">
        <f t="shared" si="0"/>
        <v/>
      </c>
    </row>
    <row r="85" spans="1:8" ht="30">
      <c r="A85" s="33" t="s">
        <v>90</v>
      </c>
      <c r="B85" s="27" t="s">
        <v>91</v>
      </c>
      <c r="C85" s="179"/>
      <c r="D85" s="27"/>
      <c r="E85" s="27"/>
      <c r="F85" s="29"/>
      <c r="G85" s="30" t="str">
        <f>IF(OR(Table1[[#This Row],[English]]&lt;&gt;"",Table1[[#This Row],[Français]]&lt;&gt;""),Table1[[#This Row],[Français]]&amp;"//"&amp;Table1[[#This Row],[English]],"")</f>
        <v>Méthode d’évaluation de prix //Method for evaluating price</v>
      </c>
      <c r="H85" s="31" t="str">
        <f t="shared" si="0"/>
        <v/>
      </c>
    </row>
    <row r="86" spans="1:8" ht="30">
      <c r="A86" s="27" t="s">
        <v>92</v>
      </c>
      <c r="B86" s="27" t="s">
        <v>93</v>
      </c>
      <c r="C86" s="179"/>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79"/>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80"/>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ht="30">
      <c r="A89" s="27" t="s">
        <v>98</v>
      </c>
      <c r="B89" s="27" t="s">
        <v>99</v>
      </c>
      <c r="C89" s="179"/>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ht="30">
      <c r="A90" s="27" t="s">
        <v>100</v>
      </c>
      <c r="B90" s="27" t="s">
        <v>219</v>
      </c>
      <c r="C90" s="179"/>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ht="30">
      <c r="A91" s="27" t="s">
        <v>101</v>
      </c>
      <c r="B91" s="27" t="s">
        <v>102</v>
      </c>
      <c r="C91" s="179"/>
      <c r="D91" s="27"/>
      <c r="E91" s="27"/>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ht="45">
      <c r="A92" s="27" t="s">
        <v>103</v>
      </c>
      <c r="B92" s="27" t="s">
        <v>104</v>
      </c>
      <c r="C92" s="179"/>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ht="45">
      <c r="A93" s="27" t="s">
        <v>105</v>
      </c>
      <c r="B93" s="27" t="s">
        <v>106</v>
      </c>
      <c r="C93" s="179"/>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79"/>
      <c r="D94" s="27"/>
      <c r="E94" s="27"/>
      <c r="F94" s="29"/>
      <c r="G94" s="30" t="str">
        <f>IF(OR(Table1[[#This Row],[English]]&lt;&gt;"",Table1[[#This Row],[Français]]&lt;&gt;""),Table1[[#This Row],[Français]]&amp;"//"&amp;Table1[[#This Row],[English]],"")</f>
        <v>TVA//VAT</v>
      </c>
      <c r="H94" s="31" t="str">
        <f t="shared" si="0"/>
        <v/>
      </c>
    </row>
    <row r="95" spans="1:8" ht="50" customHeight="1">
      <c r="A95" s="27" t="s">
        <v>109</v>
      </c>
      <c r="B95" s="27" t="s">
        <v>110</v>
      </c>
      <c r="C95" s="179"/>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ht="45">
      <c r="A96" s="27" t="s">
        <v>111</v>
      </c>
      <c r="B96" s="27" t="s">
        <v>112</v>
      </c>
      <c r="C96" s="179"/>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238.5" customHeight="1">
      <c r="A97" s="128" t="s">
        <v>113</v>
      </c>
      <c r="B97" s="128" t="s">
        <v>114</v>
      </c>
      <c r="C97" s="181" t="s">
        <v>938</v>
      </c>
      <c r="D97" s="27" t="s">
        <v>869</v>
      </c>
      <c r="E97" s="27" t="s">
        <v>897</v>
      </c>
      <c r="F97" s="129"/>
      <c r="G97" s="130" t="str">
        <f>IF(OR(Table1[[#This Row],[English]]&lt;&gt;"",Table1[[#This Row],[Français]]&lt;&gt;""),Table1[[#This Row],[Français]]&amp;"//"&amp;Table1[[#This Row],[English]],"")</f>
        <v>Redevances superficiaires//Surface fees</v>
      </c>
      <c r="H97" s="131" t="str">
        <f t="shared" si="2"/>
        <v>The land rental bid is US$ 16.00 per hectare per year. The land rental bid payment is based on the bid provided in the bid opening ceremony multiplied by the surface area in hectares of the contract area. Sun Yeun Corporation shall pay the fee annually to the Government within 30 days after the 'contract effective date (the date upon which the contract satisfies the requirements of Section 5.3(f) of the National Forestry Law of 2006 that the contract be both signed by the President and ratified by the legislature). Sun Yeun Corporation shall pay log stumpage, annual contract administration, area, coupe inspection, and forest product fees to the Government under Forestry Development Authority Regulation 107-07, on Certain Forest Fees.--Arts. A4, B8.11 - B8.14</v>
      </c>
    </row>
    <row r="98" spans="1:8" ht="30">
      <c r="A98" s="27" t="s">
        <v>115</v>
      </c>
      <c r="B98" s="27" t="s">
        <v>116</v>
      </c>
      <c r="C98" s="179"/>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198</v>
      </c>
      <c r="B99" s="27" t="s">
        <v>170</v>
      </c>
      <c r="C99" s="181"/>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117</v>
      </c>
      <c r="B100" s="89" t="s">
        <v>118</v>
      </c>
      <c r="C100" s="177"/>
      <c r="D100" s="160"/>
      <c r="E100" s="160"/>
      <c r="F100" s="86"/>
      <c r="G100" s="87" t="str">
        <f>IF(OR(Table1[[#This Row],[English]]&lt;&gt;"",Table1[[#This Row],[Français]]&lt;&gt;""),Table1[[#This Row],[Français]]&amp;"//"&amp;Table1[[#This Row],[English]],"")</f>
        <v>Primes//Bonuses</v>
      </c>
      <c r="H100" s="88" t="str">
        <f t="shared" si="2"/>
        <v/>
      </c>
    </row>
    <row r="101" spans="1:8" ht="31.5" customHeight="1">
      <c r="A101" s="85" t="s">
        <v>119</v>
      </c>
      <c r="B101" s="89" t="s">
        <v>120</v>
      </c>
      <c r="C101" s="176"/>
      <c r="D101" s="151"/>
      <c r="E101" s="151"/>
      <c r="F101" s="86"/>
      <c r="G101" s="87" t="str">
        <f>IF(OR(Table1[[#This Row],[English]]&lt;&gt;"",Table1[[#This Row],[Français]]&lt;&gt;""),Table1[[#This Row],[Français]]&amp;"//"&amp;Table1[[#This Row],[English]],"")</f>
        <v>Participation de l'Etat//State participation</v>
      </c>
      <c r="H101" s="88" t="str">
        <f t="shared" si="2"/>
        <v/>
      </c>
    </row>
    <row r="102" spans="1:8">
      <c r="A102" s="85" t="s">
        <v>121</v>
      </c>
      <c r="B102" s="85" t="s">
        <v>122</v>
      </c>
      <c r="C102" s="177"/>
      <c r="D102" s="160"/>
      <c r="E102" s="160"/>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196</v>
      </c>
      <c r="B103" s="104" t="s">
        <v>195</v>
      </c>
      <c r="C103" s="176"/>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21.75" customHeight="1">
      <c r="A104" s="85" t="s">
        <v>123</v>
      </c>
      <c r="B104" s="85" t="s">
        <v>124</v>
      </c>
      <c r="C104" s="202"/>
      <c r="D104" s="151"/>
      <c r="E104" s="151"/>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
      </c>
    </row>
    <row r="105" spans="1:8" ht="27.75" customHeight="1">
      <c r="A105" s="83" t="s">
        <v>176</v>
      </c>
      <c r="B105" s="82" t="s">
        <v>174</v>
      </c>
      <c r="C105" s="176"/>
      <c r="D105" s="89"/>
      <c r="E105" s="151"/>
      <c r="F105" s="86"/>
      <c r="G105" s="87" t="str">
        <f>IF(OR(Table1[[#This Row],[English]]&lt;&gt;"",Table1[[#This Row],[Français]]&lt;&gt;""),Table1[[#This Row],[Français]]&amp;"//"&amp;Table1[[#This Row],[English]],"")</f>
        <v>Autre - [le nom de catégorie]//Other - [Name of Category]</v>
      </c>
      <c r="H105" s="88" t="str">
        <f t="shared" si="2"/>
        <v/>
      </c>
    </row>
    <row r="106" spans="1:8">
      <c r="A106" s="153"/>
      <c r="B106" s="34"/>
      <c r="C106" s="195"/>
      <c r="D106" s="152"/>
      <c r="E106" s="152"/>
      <c r="F106" s="15"/>
      <c r="G106" s="16" t="str">
        <f>IF(OR(Table1[[#This Row],[English]]&lt;&gt;"",Table1[[#This Row],[Français]]&lt;&gt;""),Table1[[#This Row],[Français]]&amp;"//"&amp;Table1[[#This Row],[English]],"")</f>
        <v/>
      </c>
      <c r="H106" s="35" t="str">
        <f t="shared" si="2"/>
        <v/>
      </c>
    </row>
    <row r="107" spans="1:8" ht="30">
      <c r="A107" s="62" t="s">
        <v>191</v>
      </c>
      <c r="B107" s="63" t="s">
        <v>125</v>
      </c>
      <c r="C107" s="168"/>
      <c r="D107" s="157"/>
      <c r="E107" s="157"/>
      <c r="F107" s="18"/>
      <c r="G107" s="19" t="str">
        <f>IF(OR(Table1[[#This Row],[English]]&lt;&gt;"",Table1[[#This Row],[Français]]&lt;&gt;""),Table1[[#This Row],[Français]]&amp;"//"&amp;Table1[[#This Row],[English]],"")</f>
        <v>4. Dispositions environnementales //4. Environmental provisions</v>
      </c>
      <c r="H107" s="20" t="str">
        <f t="shared" si="2"/>
        <v/>
      </c>
    </row>
    <row r="108" spans="1:8" ht="71" customHeight="1">
      <c r="A108" s="93" t="s">
        <v>212</v>
      </c>
      <c r="B108" s="93" t="s">
        <v>220</v>
      </c>
      <c r="C108" s="164" t="s">
        <v>939</v>
      </c>
      <c r="D108" s="71" t="s">
        <v>899</v>
      </c>
      <c r="E108" s="71" t="s">
        <v>898</v>
      </c>
      <c r="F108" s="68"/>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The contract may be interrupted by the Forestry Development Authority to ensure consistency with the Environmental Impact Assessment and related documents--Art. B10.24(a)(ii)</v>
      </c>
    </row>
    <row r="109" spans="1:8" ht="79.5" customHeight="1">
      <c r="A109" s="124" t="s">
        <v>214</v>
      </c>
      <c r="B109" s="124" t="s">
        <v>213</v>
      </c>
      <c r="C109" s="165" t="s">
        <v>881</v>
      </c>
      <c r="D109" s="10" t="s">
        <v>870</v>
      </c>
      <c r="E109" s="10" t="s">
        <v>898</v>
      </c>
      <c r="F109" s="142"/>
      <c r="G109"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4" t="str">
        <f t="shared" si="2"/>
        <v>The contract may be interrupted by the Forestry Development Authority of Liberia to prevent environmental degradation or resource damage and to conduct environmental analysis--Art. B10.24</v>
      </c>
    </row>
    <row r="110" spans="1:8" ht="174" customHeight="1">
      <c r="A110" s="94" t="s">
        <v>226</v>
      </c>
      <c r="B110" s="95" t="s">
        <v>180</v>
      </c>
      <c r="C110" s="174" t="s">
        <v>940</v>
      </c>
      <c r="D110" s="82" t="s">
        <v>909</v>
      </c>
      <c r="E110" s="94" t="s">
        <v>910</v>
      </c>
      <c r="F110" s="96"/>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Subject to the written approval of the Government and the Social Agreement (as called for under Forestry Development Authority Regulation 105-07) and such conditions as the Government or Social Agreement may impose, Sun Yeun Corporation may use free of charge any water found within the contract area and in the public domain within 5 kilometers of the contract area provided that it does not deprive any lands, tribes, villages, towns, houses, or watering places for animals of a reasonable supply of water, or does not interfere with the rights of water enjoyed by persons under the Land and Native Right Ordinance. Sun Yeun Corporation shall ensure that its use of water in no way results in environmental damage or creates other hazards.--Art. B4.3</v>
      </c>
    </row>
    <row r="111" spans="1:8" ht="322" customHeight="1">
      <c r="A111" s="118" t="s">
        <v>211</v>
      </c>
      <c r="B111" s="118" t="s">
        <v>210</v>
      </c>
      <c r="C111" s="181" t="s">
        <v>941</v>
      </c>
      <c r="D111" s="56" t="s">
        <v>921</v>
      </c>
      <c r="E111" s="194" t="s">
        <v>915</v>
      </c>
      <c r="F111" s="120"/>
      <c r="G111"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2" t="str">
        <f>IF(C111&lt;&gt;"",IF(D111&lt;&gt;"",C111&amp;"--"&amp;D111,C111),"")</f>
        <v>Sun Yeun Corporation's harvests must be consistent with sustainable management of forest resources. Sun Yeun Corporation shall conduct its operations in a manner that promotes sustainable development of forest resources and environmental protection for the common good of the people of Liberia.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Sun Yeun Corporation shall conduct all operations and activities so as to avoid waste and loss of natural resources and to protect natural resources from damage. It shall conduct all operations and activities so as to prevent pollution and contamination of the environment. Sun Yeun Corporation shall harvest trees in a manner that avoids unnecessary damage and waste, and unnecessary damage to young growth and other trees. It shall identify in the annual operational plan areas requiring special measures for the protection of plants and animals, and it shall protect these areas from damage or removal during operations. Sun Yeun Corporation shall comply with the Liberia Code of Forest Harvesting Practices for the protection of wildlife in the contract area, as well as for watercourse protection and erosion prevention and control. It shall provide for the proper disposal of sawdust, mill, and other wastes to prevent pollution or contamination.--Arts. B2.1, B3.3, B6.3, B6.32, B6.34, B6.35, B6.36, B6.37, B6.38</v>
      </c>
    </row>
    <row r="112" spans="1:8" ht="45" customHeight="1">
      <c r="A112" s="83" t="s">
        <v>239</v>
      </c>
      <c r="B112" s="82" t="s">
        <v>942</v>
      </c>
      <c r="C112" s="164"/>
      <c r="D112" s="76"/>
      <c r="E112" s="76"/>
      <c r="F112" s="68"/>
      <c r="G112" s="69" t="str">
        <f>IF(OR(Table1[[#This Row],[English]]&lt;&gt;"",Table1[[#This Row],[Français]]&lt;&gt;""),Table1[[#This Row],[Français]]&amp;"//"&amp;Table1[[#This Row],[English]],"")</f>
        <v xml:space="preserve">Autre - [Responsabilité environnementale]//Other </v>
      </c>
      <c r="H112" s="70" t="str">
        <f t="shared" si="2"/>
        <v/>
      </c>
    </row>
    <row r="113" spans="1:8">
      <c r="A113" s="37"/>
      <c r="B113" s="38"/>
      <c r="C113" s="183"/>
      <c r="D113" s="198"/>
      <c r="E113" s="198"/>
      <c r="F113" s="15"/>
      <c r="G113" s="16" t="str">
        <f>IF(OR(Table1[[#This Row],[English]]&lt;&gt;"",Table1[[#This Row],[Français]]&lt;&gt;""),Table1[[#This Row],[Français]]&amp;"//"&amp;Table1[[#This Row],[English]],"")</f>
        <v/>
      </c>
      <c r="H113" s="17" t="str">
        <f t="shared" si="2"/>
        <v/>
      </c>
    </row>
    <row r="114" spans="1:8" ht="45">
      <c r="A114" s="62" t="s">
        <v>183</v>
      </c>
      <c r="B114" s="18" t="s">
        <v>126</v>
      </c>
      <c r="C114" s="168"/>
      <c r="D114" s="157"/>
      <c r="E114" s="157"/>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94.5" customHeight="1">
      <c r="A115" s="55" t="s">
        <v>181</v>
      </c>
      <c r="B115" s="64" t="s">
        <v>182</v>
      </c>
      <c r="C115" s="184" t="s">
        <v>943</v>
      </c>
      <c r="D115" s="65" t="s">
        <v>871</v>
      </c>
      <c r="E115" s="64" t="s">
        <v>859</v>
      </c>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Sun Yeun Corporation must include an up-to-date business plan demonstrating it has the technical and financial capacity to manage the contract area sustainably. The business plan must conform to the Forestry Development Authority Guidelines for Forest Management Planning.--Art. B3.13</v>
      </c>
    </row>
    <row r="116" spans="1:8" ht="27.75" customHeight="1">
      <c r="A116" s="93" t="s">
        <v>127</v>
      </c>
      <c r="B116" s="99" t="s">
        <v>128</v>
      </c>
      <c r="C116" s="164"/>
      <c r="D116" s="76"/>
      <c r="E116" s="76"/>
      <c r="F116" s="68"/>
      <c r="G116" s="69" t="str">
        <f>IF(OR(Table1[[#This Row],[English]]&lt;&gt;"",Table1[[#This Row],[Français]]&lt;&gt;""),Table1[[#This Row],[Français]]&amp;"//"&amp;Table1[[#This Row],[English]],"")</f>
        <v>Obligations de travaux, d'investissements//Work and investment commitments</v>
      </c>
      <c r="H116" s="70" t="str">
        <f t="shared" si="2"/>
        <v/>
      </c>
    </row>
    <row r="117" spans="1:8">
      <c r="A117" s="36" t="s">
        <v>129</v>
      </c>
      <c r="B117" s="36" t="s">
        <v>130</v>
      </c>
      <c r="C117" s="185"/>
      <c r="D117" s="10"/>
      <c r="E117" s="10"/>
      <c r="F117" s="11"/>
      <c r="G117" s="12" t="str">
        <f>IF(OR(Table1[[#This Row],[English]]&lt;&gt;"",Table1[[#This Row],[Français]]&lt;&gt;""),Table1[[#This Row],[Français]]&amp;"//"&amp;Table1[[#This Row],[English]],"")</f>
        <v>Rétrocession//Transfer of risk</v>
      </c>
      <c r="H117" s="13" t="str">
        <f t="shared" si="2"/>
        <v/>
      </c>
    </row>
    <row r="118" spans="1:8" ht="316.5" customHeight="1">
      <c r="A118" s="67" t="s">
        <v>131</v>
      </c>
      <c r="B118" s="67" t="s">
        <v>132</v>
      </c>
      <c r="C118" s="164" t="s">
        <v>944</v>
      </c>
      <c r="D118" s="155" t="s">
        <v>922</v>
      </c>
      <c r="E118" s="155" t="s">
        <v>900</v>
      </c>
      <c r="F118" s="68"/>
      <c r="G118" s="69" t="str">
        <f>IF(OR(Table1[[#This Row],[English]]&lt;&gt;"",Table1[[#This Row],[Français]]&lt;&gt;""),Table1[[#This Row],[Français]]&amp;"//"&amp;Table1[[#This Row],[English]],"")</f>
        <v>Construction et entretien d'infrastructure//Construction and maintenance of infrastructure</v>
      </c>
      <c r="H118" s="70" t="str">
        <f t="shared" si="2"/>
        <v>Sun Yeun Corporation has rights under section 18.8 of the National Forestry Reform Law of 2006 concerning construction of infrastructure and agrees to exercise those rights subject to this contract. It shall comply with all laws governing construction, maintenance and use of improvements. Sun Yeun Corporation shall ensure that all infrastructure and works installed in relation to the contract comply with the Liberia Code of Forest Harvesting Practices and other applicable laws, including laws requiring authorization from government agencies other than the Forestry Development Authority. It shall design, construct, and maintain infrastructure in a manner that avoids unreasonable risk to safety, health, welfare, and the environment. Sun Yeun Corporation shall carry out road construction and maintenance activities in compliance with the Liberia Code of Forest Harvesting Practices.--Arts. B4.21, B4.22(a), (b) and (c), B6.18, B6.5</v>
      </c>
    </row>
    <row r="119" spans="1:8" ht="15" customHeight="1">
      <c r="A119" s="10" t="s">
        <v>203</v>
      </c>
      <c r="B119" s="10" t="s">
        <v>133</v>
      </c>
      <c r="C119" s="173"/>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ht="108" customHeight="1">
      <c r="A120" s="113" t="s">
        <v>134</v>
      </c>
      <c r="B120" s="114" t="s">
        <v>135</v>
      </c>
      <c r="C120" s="186" t="s">
        <v>902</v>
      </c>
      <c r="D120" s="112" t="s">
        <v>923</v>
      </c>
      <c r="E120" s="112" t="s">
        <v>901</v>
      </c>
      <c r="F120" s="115"/>
      <c r="G120" s="116" t="str">
        <f>IF(OR(Table1[[#This Row],[English]]&lt;&gt;"",Table1[[#This Row],[Français]]&lt;&gt;""),Table1[[#This Row],[Français]]&amp;"//"&amp;Table1[[#This Row],[English]],"")</f>
        <v>Utilisation d’infrastructure par les tiers//Third party use of infrastructure</v>
      </c>
      <c r="H120" s="117" t="str">
        <f t="shared" si="2"/>
        <v xml:space="preserve">Sun Yeun Corporation shall allow third party use of any roads constructed or maintained by it as long as such use does not unduly prejudice or interfere with its operations. Sun Yeun Corporation shall also allow use of communication lines, subject to fair compensation.--Art. B4.23(a) and (c) </v>
      </c>
    </row>
    <row r="121" spans="1:8" ht="30">
      <c r="A121" s="39" t="s">
        <v>136</v>
      </c>
      <c r="B121" s="33" t="s">
        <v>137</v>
      </c>
      <c r="C121" s="165"/>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120">
      <c r="A122" s="39" t="s">
        <v>138</v>
      </c>
      <c r="B122" s="33" t="s">
        <v>139</v>
      </c>
      <c r="C122" s="165" t="s">
        <v>903</v>
      </c>
      <c r="D122" s="10" t="s">
        <v>904</v>
      </c>
      <c r="E122" s="10" t="s">
        <v>905</v>
      </c>
      <c r="F122" s="11"/>
      <c r="G122" s="12" t="str">
        <f>IF(OR(Table1[[#This Row],[English]]&lt;&gt;"",Table1[[#This Row],[Français]]&lt;&gt;""),Table1[[#This Row],[Français]]&amp;"//"&amp;Table1[[#This Row],[English]],"")</f>
        <v>Propriété d’infrastructure//Ownership of infrastructure</v>
      </c>
      <c r="H122" s="13" t="str">
        <f t="shared" si="2"/>
        <v>All infrastructures revert to the Government upon termination of the contract and shall be left in safe running order--Art. B4.24</v>
      </c>
    </row>
    <row r="123" spans="1:8" ht="45">
      <c r="A123" s="28" t="s">
        <v>197</v>
      </c>
      <c r="B123" s="27" t="s">
        <v>194</v>
      </c>
      <c r="C123" s="179"/>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ht="45">
      <c r="A124" s="54" t="s">
        <v>179</v>
      </c>
      <c r="B124" s="55" t="s">
        <v>171</v>
      </c>
      <c r="C124" s="181"/>
      <c r="D124" s="56"/>
      <c r="E124" s="194"/>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236" customHeight="1">
      <c r="A125" s="137" t="s">
        <v>227</v>
      </c>
      <c r="B125" s="138" t="s">
        <v>172</v>
      </c>
      <c r="C125" s="187" t="s">
        <v>925</v>
      </c>
      <c r="D125" s="136" t="s">
        <v>926</v>
      </c>
      <c r="E125" s="137" t="s">
        <v>927</v>
      </c>
      <c r="F125" s="139"/>
      <c r="G125"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41" t="str">
        <f>IF(C125&lt;&gt;"",IF(D125&lt;&gt;"",C125&amp;"--"&amp;D125,C125),"")</f>
        <v>Sun Yeun Corporation shall not use public land outside the contract area unless it has express, written permission from the Forestry Development Authority. The Forestry Development Authority shall not unreasonably deny permission to use such land. Sun Yeun Corporation may use private land with the express, written permission of the land owner. If Sun Yeun Corporation is unable to obtain the permission of the land owner for such use, then use is limited to rights of way, and any compensation is governed by Chapter 11 of the Forestry Reform Law of 2006 and the Forestry Development Authority Regulation 110-07. With or without permission of the land owner, Sun Yeun Corporation shall not seek a use, lease, right-of-way, or easement that substantially interferes with the operations of another previously issued forest management contract or timber sale contract. Sun Yeun Corporation also shall not interfere with any good faith exercise of third-party rights to timber or forest products, including customary rights, without permission of the third party.--Arts. B4.12, B4.13</v>
      </c>
    </row>
    <row r="126" spans="1:8" ht="24.75" customHeight="1">
      <c r="A126" s="83" t="s">
        <v>176</v>
      </c>
      <c r="B126" s="203" t="s">
        <v>174</v>
      </c>
      <c r="C126" s="174"/>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199"/>
      <c r="B127" s="40"/>
      <c r="C127" s="200"/>
      <c r="D127" s="201"/>
      <c r="E127" s="201"/>
      <c r="F127" s="15"/>
      <c r="G127" s="16" t="str">
        <f>IF(OR(Table1[[#This Row],[English]]&lt;&gt;"",Table1[[#This Row],[Français]]&lt;&gt;""),Table1[[#This Row],[Français]]&amp;"//"&amp;Table1[[#This Row],[English]],"")</f>
        <v/>
      </c>
      <c r="H127" s="17" t="str">
        <f t="shared" si="2"/>
        <v/>
      </c>
    </row>
    <row r="128" spans="1:8" ht="30">
      <c r="A128" s="21" t="s">
        <v>140</v>
      </c>
      <c r="B128" s="21" t="s">
        <v>141</v>
      </c>
      <c r="C128" s="168"/>
      <c r="D128" s="157"/>
      <c r="E128" s="157"/>
      <c r="F128" s="18"/>
      <c r="G128" s="19" t="str">
        <f>IF(OR(Table1[[#This Row],[English]]&lt;&gt;"",Table1[[#This Row],[Français]]&lt;&gt;""),Table1[[#This Row],[Français]]&amp;"//"&amp;Table1[[#This Row],[English]],"")</f>
        <v>6. Dispositions diverses//6. Miscellaneous provisions</v>
      </c>
      <c r="H128" s="20" t="str">
        <f t="shared" si="2"/>
        <v/>
      </c>
    </row>
    <row r="129" spans="1:8" ht="37" customHeight="1">
      <c r="A129" s="99" t="s">
        <v>142</v>
      </c>
      <c r="B129" s="93" t="s">
        <v>143</v>
      </c>
      <c r="C129" s="164" t="s">
        <v>947</v>
      </c>
      <c r="D129" s="71" t="s">
        <v>873</v>
      </c>
      <c r="E129" s="71" t="s">
        <v>874</v>
      </c>
      <c r="F129" s="68"/>
      <c r="G129" s="69" t="str">
        <f>IF(OR(Table1[[#This Row],[English]]&lt;&gt;"",Table1[[#This Row],[Français]]&lt;&gt;""),Table1[[#This Row],[Français]]&amp;"//"&amp;Table1[[#This Row],[English]],"")</f>
        <v>Loi applicable en cas des différends//Governing law in case of dispute</v>
      </c>
      <c r="H129" s="70" t="str">
        <f t="shared" si="2"/>
        <v>The laws of the Republic of Liberia govern this contract--Art. B3.41</v>
      </c>
    </row>
    <row r="130" spans="1:8" ht="169" customHeight="1">
      <c r="A130" s="99" t="s">
        <v>144</v>
      </c>
      <c r="B130" s="85" t="s">
        <v>145</v>
      </c>
      <c r="C130" s="164" t="s">
        <v>948</v>
      </c>
      <c r="D130" s="76" t="s">
        <v>933</v>
      </c>
      <c r="E130" s="76" t="s">
        <v>916</v>
      </c>
      <c r="F130" s="68"/>
      <c r="G130" s="69" t="str">
        <f>IF(OR(Table1[[#This Row],[English]]&lt;&gt;"",Table1[[#This Row],[Français]]&lt;&gt;""),Table1[[#This Row],[Français]]&amp;"//"&amp;Table1[[#This Row],[English]],"")</f>
        <v>Arbitrage et règlement des différends//Arbitration and dispute resolution</v>
      </c>
      <c r="H130" s="70" t="str">
        <f t="shared" si="2"/>
        <v>Failure by Sun Yeun Corporation to submit a claim (a written demand seeking the payment of money, adjustment or interpretation of contract terms, or other relief, under or relating to this contract) for resolution within 60 days of the disputed action by the Forestry Development Authority shall relinquish the Forestry Development Authority of any and all obligations related to the dispute. Claims arising under the contract shall be decided by the 'contracting officer' (the officer of the Forestry Development Authority who has been delegated authority to administer the contract). The decision of the contracting officer shall be final and conclusive if within 45 days from receipt, Sun Yeun Corporation fails to appeal the decision to an appropriate Liberian court.--Arts. B1.0, B10.13</v>
      </c>
    </row>
    <row r="131" spans="1:8" ht="124.5" customHeight="1">
      <c r="A131" s="99" t="s">
        <v>146</v>
      </c>
      <c r="B131" s="93" t="s">
        <v>147</v>
      </c>
      <c r="C131" s="176" t="s">
        <v>949</v>
      </c>
      <c r="D131" s="71" t="s">
        <v>875</v>
      </c>
      <c r="E131" s="71" t="s">
        <v>876</v>
      </c>
      <c r="F131" s="68"/>
      <c r="G131" s="69" t="str">
        <f>IF(OR(Table1[[#This Row],[English]]&lt;&gt;"",Table1[[#This Row],[Français]]&lt;&gt;""),Table1[[#This Row],[Français]]&amp;"//"&amp;Table1[[#This Row],[English]],"")</f>
        <v>Clause de stabilisation//Stabilization clause</v>
      </c>
      <c r="H131" s="70" t="str">
        <f t="shared" si="2"/>
        <v>If any statute or regulation referred to in the contract is repealed or amended, the contract shall be taken to refer to the newly amended statute or regulation, or the statute or regulation that replaces the repealed one, as determined by the Forestry Development Authority--Art. B1.0(iii)</v>
      </c>
    </row>
    <row r="132" spans="1:8" ht="119.25" customHeight="1">
      <c r="A132" s="36" t="s">
        <v>148</v>
      </c>
      <c r="B132" s="10" t="s">
        <v>149</v>
      </c>
      <c r="C132" s="165" t="s">
        <v>950</v>
      </c>
      <c r="D132" s="10" t="s">
        <v>877</v>
      </c>
      <c r="E132" s="10" t="s">
        <v>878</v>
      </c>
      <c r="F132" s="11"/>
      <c r="G132" s="12" t="str">
        <f>IF(OR(Table1[[#This Row],[English]]&lt;&gt;"",Table1[[#This Row],[Français]]&lt;&gt;""),Table1[[#This Row],[Français]]&amp;"//"&amp;Table1[[#This Row],[English]],"")</f>
        <v>Cession / transfert//Assignment / transfer</v>
      </c>
      <c r="H132" s="13" t="str">
        <f t="shared" si="2"/>
        <v>Sun Yeun Corporation shall not assign or transfer this contract or any interests, rights, privileges or obligations under the contract without prior written approval from the from the Forestry Development Authority of Liberia. The Forestry Development Authority shall not consent to any assignment or transfer, except in compliance with Forestry Development Authority Regulation 104-07, Section 71.--Art. B2.3</v>
      </c>
    </row>
    <row r="133" spans="1:8" ht="409">
      <c r="A133" s="36" t="s">
        <v>228</v>
      </c>
      <c r="B133" s="10" t="s">
        <v>150</v>
      </c>
      <c r="C133" s="165" t="s">
        <v>951</v>
      </c>
      <c r="D133" s="10" t="s">
        <v>866</v>
      </c>
      <c r="E133" s="10" t="s">
        <v>906</v>
      </c>
      <c r="F133" s="11"/>
      <c r="G133" s="12" t="str">
        <f>IF(OR(Table1[[#This Row],[English]]&lt;&gt;"",Table1[[#This Row],[Français]]&lt;&gt;""),Table1[[#This Row],[Français]]&amp;"//"&amp;Table1[[#This Row],[English]],"")</f>
        <v>Annulation / Résiliation //Cancellation / termination</v>
      </c>
      <c r="H133" s="13" t="str">
        <f t="shared" si="2"/>
        <v>The contract may be terminated if Sun Yeun Corporation commits a number of breaches, including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of Liberia,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Forestry Development Authority, (q) being convicted for violation of criminal statutes or civil standards, or other regulations for environmental protection, (r) failing to comply with a Social Agreement, and (s) if it or its senior official are convicted for violation of criminal statutes and civil standards, or any other offense indicating a lack of business integrity or honesty that seriously and directly affects the responsibility of Sun Yeun Corporation including payment of a bribe, and human rights violations--Art. B10.27</v>
      </c>
    </row>
    <row r="134" spans="1:8">
      <c r="A134" s="33" t="s">
        <v>151</v>
      </c>
      <c r="B134" s="33" t="s">
        <v>152</v>
      </c>
      <c r="C134" s="165"/>
      <c r="D134" s="10"/>
      <c r="E134" s="10"/>
      <c r="F134" s="11"/>
      <c r="G134" s="12" t="str">
        <f>IF(OR(Table1[[#This Row],[English]]&lt;&gt;"",Table1[[#This Row],[Français]]&lt;&gt;""),Table1[[#This Row],[Français]]&amp;"//"&amp;Table1[[#This Row],[English]],"")</f>
        <v>Indemnisation//Indemnification</v>
      </c>
      <c r="H134" s="13" t="str">
        <f t="shared" si="2"/>
        <v/>
      </c>
    </row>
    <row r="135" spans="1:8" ht="54" customHeight="1">
      <c r="A135" s="100" t="s">
        <v>153</v>
      </c>
      <c r="B135" s="76" t="s">
        <v>154</v>
      </c>
      <c r="C135" s="196" t="s">
        <v>928</v>
      </c>
      <c r="D135" s="71" t="s">
        <v>929</v>
      </c>
      <c r="E135" s="71" t="s">
        <v>930</v>
      </c>
      <c r="F135" s="68"/>
      <c r="G135" s="69" t="str">
        <f>IF(OR(Table1[[#This Row],[English]]&lt;&gt;"",Table1[[#This Row],[Français]]&lt;&gt;""),Table1[[#This Row],[Français]]&amp;"//"&amp;Table1[[#This Row],[English]],"")</f>
        <v>Confidentialité//Confidentiality</v>
      </c>
      <c r="H135" s="70" t="str">
        <f t="shared" si="2"/>
        <v>The parties understand that section 18.15 of the National Forestry Reform Law guarantees to the public free access to all documents and information related to this contract and its administration, subject only to limited exceptions--Art. B5.55</v>
      </c>
    </row>
    <row r="136" spans="1:8">
      <c r="A136" s="100" t="s">
        <v>155</v>
      </c>
      <c r="B136" s="76" t="s">
        <v>156</v>
      </c>
      <c r="C136" s="176" t="s">
        <v>757</v>
      </c>
      <c r="D136" s="71"/>
      <c r="E136" s="71"/>
      <c r="F136" s="68"/>
      <c r="G136" s="69" t="str">
        <f>IF(OR(Table1[[#This Row],[English]]&lt;&gt;"",Table1[[#This Row],[Français]]&lt;&gt;""),Table1[[#This Row],[Français]]&amp;"//"&amp;Table1[[#This Row],[English]],"")</f>
        <v>Langue//Language</v>
      </c>
      <c r="H136" s="70" t="str">
        <f>IF(C136&lt;&gt;"",IF(D136&lt;&gt;"",C136&amp;"--"&amp;D136,C136),"")</f>
        <v>ENG</v>
      </c>
    </row>
    <row r="137" spans="1:8" ht="193.5" customHeight="1">
      <c r="A137" s="10" t="s">
        <v>238</v>
      </c>
      <c r="B137" s="10" t="s">
        <v>188</v>
      </c>
      <c r="C137" s="165" t="s">
        <v>952</v>
      </c>
      <c r="D137" s="10" t="s">
        <v>931</v>
      </c>
      <c r="E137" s="10" t="s">
        <v>907</v>
      </c>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Sun Yeun Corporation consents to the Government or a designated representative conducting reasonable inspections of the contract area and premises. Sun Yeun Corporation shall keep records to demonstrate compliance with the contract during the duration of the contract and for 5 years after the contract terminates. It shall provide a written report within 90 days after completing operations under each annual operation plan, and keep the Forestry Development Authority's contracting officer (who has been delegated authority to administer the contract) informed as to its operations and other contractual activities.--Arts. B5.3, B5.51 - B5.53</v>
      </c>
    </row>
    <row r="138" spans="1:8" ht="219" customHeight="1">
      <c r="A138" s="124" t="s">
        <v>222</v>
      </c>
      <c r="B138" s="124" t="s">
        <v>221</v>
      </c>
      <c r="C138" s="165" t="s">
        <v>880</v>
      </c>
      <c r="D138" s="10" t="s">
        <v>879</v>
      </c>
      <c r="E138" s="10" t="s">
        <v>908</v>
      </c>
      <c r="F138" s="11"/>
      <c r="G138" s="12" t="str">
        <f>IF(OR(Table1[[#This Row],[English]]&lt;&gt;"",Table1[[#This Row],[Français]]&lt;&gt;""),Table1[[#This Row],[Français]]&amp;"//"&amp;Table1[[#This Row],[English]],"")</f>
        <v>Clause de hardship ou force majeure//Hardship clause or force majeure</v>
      </c>
      <c r="H138" s="13" t="str">
        <f t="shared" si="2"/>
        <v>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 terms and conditions of the contract as a result of force majeure is not a breach of the contract. Any party who fails to perform obligations as a result of force majeure shall take all reasonable steps to make good, and resume compliance with, those obligations.--Art. B10.23</v>
      </c>
    </row>
    <row r="139" spans="1:8" ht="30">
      <c r="A139" s="10" t="s">
        <v>175</v>
      </c>
      <c r="B139" s="124" t="s">
        <v>173</v>
      </c>
      <c r="C139" s="191"/>
      <c r="D139" s="33"/>
      <c r="E139" s="33"/>
      <c r="F139" s="41"/>
      <c r="G139" s="42" t="str">
        <f>IF(OR(Table1[[#This Row],[English]]&lt;&gt;"",Table1[[#This Row],[Français]]&lt;&gt;""),Table1[[#This Row],[Français]]&amp;"//"&amp;Table1[[#This Row],[English]],"")</f>
        <v>Expropriation//Expropriation / nationalization</v>
      </c>
      <c r="H139" s="43" t="str">
        <f t="shared" si="2"/>
        <v/>
      </c>
    </row>
    <row r="140" spans="1:8" ht="30">
      <c r="A140" s="83" t="s">
        <v>176</v>
      </c>
      <c r="B140" s="82" t="s">
        <v>174</v>
      </c>
      <c r="C140" s="188"/>
      <c r="D140" s="197"/>
      <c r="E140" s="161"/>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92"/>
      <c r="D141" s="156"/>
      <c r="E141" s="156"/>
      <c r="F141" s="15"/>
      <c r="G141" s="16" t="str">
        <f>IF(OR(Table1[[#This Row],[English]]&lt;&gt;"",Table1[[#This Row],[Français]]&lt;&gt;""),Table1[[#This Row],[Français]]&amp;"//"&amp;Table1[[#This Row],[English]],"")</f>
        <v/>
      </c>
      <c r="H141" s="17" t="str">
        <f t="shared" si="2"/>
        <v/>
      </c>
    </row>
    <row r="142" spans="1:8" ht="30">
      <c r="A142" s="21" t="s">
        <v>157</v>
      </c>
      <c r="B142" s="21" t="s">
        <v>158</v>
      </c>
      <c r="C142" s="189"/>
      <c r="D142" s="162"/>
      <c r="E142" s="162"/>
      <c r="F142" s="21"/>
      <c r="G142" s="45" t="str">
        <f>IF(OR(Table1[[#This Row],[English]]&lt;&gt;"",Table1[[#This Row],[Français]]&lt;&gt;""),Table1[[#This Row],[Français]]&amp;"//"&amp;Table1[[#This Row],[English]],"")</f>
        <v>III. Notes sur le document//III. Document notes</v>
      </c>
      <c r="H142" s="46" t="str">
        <f t="shared" si="2"/>
        <v/>
      </c>
    </row>
    <row r="143" spans="1:8" ht="30">
      <c r="A143" s="10" t="s">
        <v>159</v>
      </c>
      <c r="B143" s="10" t="s">
        <v>160</v>
      </c>
      <c r="C143" s="221"/>
      <c r="D143" s="33"/>
      <c r="E143" s="33"/>
      <c r="F143" s="223"/>
      <c r="G143" s="42" t="str">
        <f>IF(OR(Table1[[#This Row],[English]]&lt;&gt;"",Table1[[#This Row],[Français]]&lt;&gt;""),Table1[[#This Row],[Français]]&amp;"//"&amp;Table1[[#This Row],[English]],"")</f>
        <v>Pages Manquantes de la copie//Pages missing from  copy</v>
      </c>
      <c r="H143" s="43" t="str">
        <f t="shared" si="2"/>
        <v/>
      </c>
    </row>
    <row r="144" spans="1:8" ht="30">
      <c r="A144" s="10" t="s">
        <v>161</v>
      </c>
      <c r="B144" s="10" t="s">
        <v>162</v>
      </c>
      <c r="C144" s="165"/>
      <c r="D144" s="10"/>
      <c r="E144" s="10"/>
      <c r="F144" s="22"/>
      <c r="G144" s="23" t="str">
        <f>IF(OR(Table1[[#This Row],[English]]&lt;&gt;"",Table1[[#This Row],[Français]]&lt;&gt;""),Table1[[#This Row],[Français]]&amp;"//"&amp;Table1[[#This Row],[English]],"")</f>
        <v>Annexes Manquantes de la copie//Annexes missing from copy</v>
      </c>
      <c r="H144" s="13" t="str">
        <f t="shared" si="2"/>
        <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5" type="noConversion"/>
  <dataValidations count="3">
    <dataValidation type="list" allowBlank="1" showInputMessage="1" showErrorMessage="1" sqref="C19">
      <formula1>countries</formula1>
    </dataValidation>
    <dataValidation type="list" allowBlank="1" showInputMessage="1" showErrorMessage="1" sqref="C51">
      <formula1>resources</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workbookViewId="0">
      <selection activeCell="B7" sqref="B7"/>
    </sheetView>
  </sheetViews>
  <sheetFormatPr baseColWidth="10" defaultColWidth="8.6640625" defaultRowHeight="16" x14ac:dyDescent="0"/>
  <cols>
    <col min="1" max="1" width="30.5" customWidth="1"/>
    <col min="2" max="2" width="31.83203125" style="214" customWidth="1"/>
    <col min="3" max="3" width="23" bestFit="1" customWidth="1"/>
  </cols>
  <sheetData>
    <row r="1" spans="1:2" ht="15">
      <c r="A1" s="49" t="s">
        <v>163</v>
      </c>
      <c r="B1" s="213" t="s">
        <v>164</v>
      </c>
    </row>
    <row r="2" spans="1:2">
      <c r="A2" s="211" t="s">
        <v>750</v>
      </c>
      <c r="B2" s="214" t="str">
        <f>IF(Categories!C136&lt;&gt;"",Categories!C136,"ENG")</f>
        <v>ENG</v>
      </c>
    </row>
    <row r="3" spans="1:2">
      <c r="A3" s="50" t="s">
        <v>244</v>
      </c>
      <c r="B3" s="215" t="str">
        <f>IF(Categories!C19&lt;&gt;"",Categories!C19,"")</f>
        <v>Liberia</v>
      </c>
    </row>
    <row r="4" spans="1:2">
      <c r="A4" s="50" t="s">
        <v>736</v>
      </c>
      <c r="B4" s="215" t="str">
        <f>IF(Categories!C19&lt;&gt;"",VLOOKUP(Categories!C19,picklists!A2:B248,2,FALSE), "")</f>
        <v>LBR</v>
      </c>
    </row>
    <row r="5" spans="1:2">
      <c r="A5" t="s">
        <v>738</v>
      </c>
      <c r="B5" s="214" t="str">
        <f>IF(Categories!C51&lt;&gt;"",Categories!C51,"")</f>
        <v>Timber</v>
      </c>
    </row>
    <row r="6" spans="1:2">
      <c r="A6" s="50" t="s">
        <v>165</v>
      </c>
      <c r="B6" s="215" t="e">
        <f>IF(Categories!C27&lt;&gt;"",VLOOKUP(Categories!C27,picklists!I3:J26,IF(B2="ENG",1,IF(B2="FRE",2,1)),FALSE),"")</f>
        <v>#N/A</v>
      </c>
    </row>
    <row r="7" spans="1:2" ht="15">
      <c r="A7" s="50" t="s">
        <v>166</v>
      </c>
      <c r="B7" s="210">
        <v>40380</v>
      </c>
    </row>
    <row r="8" spans="1:2">
      <c r="A8" t="s">
        <v>167</v>
      </c>
      <c r="B8" s="214">
        <f>IF(Categories!C48&lt;&gt;"",Categories!C48,"")</f>
        <v>2010</v>
      </c>
    </row>
    <row r="9" spans="1:2">
      <c r="A9" t="s">
        <v>168</v>
      </c>
      <c r="B9" s="214" t="str">
        <f>IF(Categories!C49&lt;&gt;"",Categories!C49,"")</f>
        <v>3 years</v>
      </c>
    </row>
    <row r="10" spans="1:2" ht="15">
      <c r="A10" s="229" t="s">
        <v>746</v>
      </c>
      <c r="B10" s="229"/>
    </row>
    <row r="11" spans="1:2">
      <c r="A11" s="209" t="s">
        <v>12</v>
      </c>
      <c r="B11" s="214" t="str">
        <f>IF(Categories!C20&lt;&gt;"",Categories!C20,"")</f>
        <v>Sun Yeun Corporation</v>
      </c>
    </row>
    <row r="12" spans="1:2">
      <c r="A12" s="209" t="s">
        <v>241</v>
      </c>
      <c r="B12" s="214" t="str">
        <f>IF(Categories!C21&lt;&gt;"",Categories!C21,"")</f>
        <v/>
      </c>
    </row>
    <row r="13" spans="1:2">
      <c r="A13" s="209" t="s">
        <v>14</v>
      </c>
      <c r="B13" s="214" t="str">
        <f>IF(Categories!C22&lt;&gt;"",Categories!C22,"")</f>
        <v>Old Road, Congo Town, Monrovia, Liberia</v>
      </c>
    </row>
    <row r="14" spans="1:2">
      <c r="A14" s="209" t="s">
        <v>16</v>
      </c>
      <c r="B14" s="214" t="str">
        <f>IF(Categories!C23&lt;&gt;"",Categories!C23,"")</f>
        <v/>
      </c>
    </row>
    <row r="15" spans="1:2">
      <c r="A15" s="209" t="s">
        <v>747</v>
      </c>
      <c r="B15" s="214" t="str">
        <f>IF(Categories!C24&lt;&gt;"",Categories!C24,"")</f>
        <v/>
      </c>
    </row>
    <row r="16" spans="1:2">
      <c r="A16" s="209" t="s">
        <v>241</v>
      </c>
      <c r="B16" s="214" t="str">
        <f>IF(Categories!C25&lt;&gt;"",Categories!C25,"")</f>
        <v/>
      </c>
    </row>
    <row r="17" spans="1:2">
      <c r="A17" s="209" t="s">
        <v>19</v>
      </c>
      <c r="B17" s="214" t="str">
        <f>IF(Categories!C26&lt;&gt;"",Categories!C26,"")</f>
        <v/>
      </c>
    </row>
    <row r="18" spans="1:2">
      <c r="A18" s="209" t="s">
        <v>22</v>
      </c>
      <c r="B18" s="214" t="str">
        <f>IF(Categories!C28&lt;&gt;"",Categories!C28,"")</f>
        <v>Contract to Manage Timber Sale Area: A-15</v>
      </c>
    </row>
    <row r="19" spans="1:2" ht="30">
      <c r="A19" s="209" t="s">
        <v>23</v>
      </c>
      <c r="B19" s="214" t="str">
        <f>IF(Categories!C29&lt;&gt;"",Categories!C29,"")</f>
        <v>Region: #1; Forest Area: TSC Area "A-15"</v>
      </c>
    </row>
    <row r="20" spans="1:2">
      <c r="A20" s="209" t="s">
        <v>748</v>
      </c>
      <c r="B20" s="214" t="str">
        <f>IF(Categories!C30&lt;&gt;"",Categories!C30,"")</f>
        <v>Timber Sale Contract A-15 lies within Latitudes 7°21'0'' - 7°26'24'' North of the equator and Longitudes 11°1'12'' - 11°7'12'' West of the Greenwich meridian and is located in Grand Cape Mount County-Liberia</v>
      </c>
    </row>
    <row r="21" spans="1:2">
      <c r="A21" s="209" t="s">
        <v>25</v>
      </c>
      <c r="B21" s="214" t="str">
        <f>IF(Categories!C31&lt;&gt;"",Categories!C31,"")</f>
        <v/>
      </c>
    </row>
    <row r="22" spans="1:2">
      <c r="A22" s="209" t="s">
        <v>27</v>
      </c>
      <c r="B22" s="214" t="str">
        <f>IF(Categories!C32&lt;&gt;"",Categories!C32,"")</f>
        <v/>
      </c>
    </row>
    <row r="23" spans="1:2">
      <c r="A23" s="209" t="s">
        <v>29</v>
      </c>
      <c r="B23" s="214" t="str">
        <f>IF(Categories!C33&lt;&gt;"",Categories!C33,"")</f>
        <v/>
      </c>
    </row>
    <row r="24" spans="1:2">
      <c r="A24" s="209" t="s">
        <v>31</v>
      </c>
      <c r="B24" s="214" t="str">
        <f>IF(Categories!C34&lt;&gt;"",Categories!C34,"")</f>
        <v/>
      </c>
    </row>
    <row r="25" spans="1:2">
      <c r="A25" s="209" t="s">
        <v>749</v>
      </c>
      <c r="B25" s="214" t="str">
        <f>IF(B24&lt;&gt;"",YEAR(B24),"")</f>
        <v/>
      </c>
    </row>
    <row r="26" spans="1:2">
      <c r="A26" s="209" t="s">
        <v>33</v>
      </c>
      <c r="B26" s="214" t="str">
        <f>IF(Categories!C35&lt;&gt;"",Categories!C35,"")</f>
        <v/>
      </c>
    </row>
    <row r="27" spans="1:2">
      <c r="A27" s="209" t="s">
        <v>35</v>
      </c>
      <c r="B27" s="214" t="str">
        <f>IF(Categories!C36&lt;&gt;"",Categories!C36,"")</f>
        <v/>
      </c>
    </row>
    <row r="28" spans="1:2" ht="45">
      <c r="A28" s="209" t="s">
        <v>41</v>
      </c>
      <c r="B28" s="214" t="str">
        <f>IF(Categories!C40&lt;&gt;"",Categories!C40,"")</f>
        <v>Sun Yeun Corporation</v>
      </c>
    </row>
    <row r="29" spans="1:2">
      <c r="A29" s="209" t="s">
        <v>241</v>
      </c>
      <c r="B29" s="214" t="str">
        <f>IF(Categories!C41&lt;&gt;"",Categories!C41,"")</f>
        <v/>
      </c>
    </row>
    <row r="30" spans="1:2">
      <c r="A30" s="209" t="s">
        <v>43</v>
      </c>
      <c r="B30" s="214" t="str">
        <f>IF(Categories!C42&lt;&gt;"",Categories!C42,"")</f>
        <v>President/CEO, Sun Yeun Corporation</v>
      </c>
    </row>
    <row r="31" spans="1:2" ht="30">
      <c r="A31" s="209" t="s">
        <v>45</v>
      </c>
      <c r="B31" s="214" t="str">
        <f>IF(Categories!C43&lt;&gt;"",Categories!C43,"")</f>
        <v>Forestry Development Authority</v>
      </c>
    </row>
    <row r="32" spans="1:2">
      <c r="A32" s="209" t="s">
        <v>47</v>
      </c>
      <c r="B32" s="214" t="str">
        <f>IF(Categories!C44&lt;&gt;"",Categories!C44,"")</f>
        <v>Managing Director, Forestry Development Authority; In-House Lawyer, Forestry Development Authority</v>
      </c>
    </row>
    <row r="33" spans="1:2" ht="30">
      <c r="A33" s="209" t="s">
        <v>49</v>
      </c>
      <c r="B33" s="214" t="str">
        <f>IF(Categories!C45&lt;&gt;"",Categories!C45,"")</f>
        <v/>
      </c>
    </row>
    <row r="34" spans="1:2" ht="30">
      <c r="A34" s="209" t="s">
        <v>169</v>
      </c>
      <c r="B34" s="214" t="str">
        <f>IF(Categories!C46&lt;&gt;"",Categories!C46,"")</f>
        <v/>
      </c>
    </row>
    <row r="35" spans="1:2">
      <c r="A35" s="209" t="s">
        <v>57</v>
      </c>
      <c r="B35" s="214" t="str">
        <f>IF(Categories!C50&lt;&gt;"",Categories!C50,"")</f>
        <v>The contract is not renewable</v>
      </c>
    </row>
    <row r="36" spans="1:2">
      <c r="A36" s="209" t="s">
        <v>217</v>
      </c>
      <c r="B36" s="214" t="str">
        <f>IF(Categories!C52&lt;&gt;"",Categories!C52,"")</f>
        <v>5,000 ha</v>
      </c>
    </row>
    <row r="37" spans="1:2">
      <c r="A37" s="212" t="s">
        <v>160</v>
      </c>
      <c r="B37" s="214" t="str">
        <f>IF(Categories!C143&lt;&gt;"",Categories!C143,"")</f>
        <v/>
      </c>
    </row>
    <row r="38" spans="1:2">
      <c r="A38" s="212" t="s">
        <v>162</v>
      </c>
      <c r="B38" s="214" t="str">
        <f>IF(Categories!C144&lt;&gt;"",Categories!C144,"")</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244</v>
      </c>
      <c r="B1" t="s">
        <v>245</v>
      </c>
      <c r="D1" t="s">
        <v>737</v>
      </c>
      <c r="H1" t="s">
        <v>739</v>
      </c>
      <c r="I1" t="s">
        <v>739</v>
      </c>
      <c r="L1" t="s">
        <v>750</v>
      </c>
    </row>
    <row r="2" spans="1:13">
      <c r="A2" t="s">
        <v>246</v>
      </c>
      <c r="B2" t="s">
        <v>247</v>
      </c>
      <c r="D2" t="str">
        <f>IF(Metadata!B2="ENG",E2,F2)</f>
        <v>Aluminium</v>
      </c>
      <c r="E2" t="s">
        <v>820</v>
      </c>
      <c r="F2" t="s">
        <v>821</v>
      </c>
      <c r="H2" t="str">
        <f>IF(Metadata!B2="ENG",I2,J2)</f>
        <v>Amodiation contract</v>
      </c>
      <c r="I2" t="s">
        <v>815</v>
      </c>
      <c r="J2" t="s">
        <v>816</v>
      </c>
      <c r="L2" t="s">
        <v>757</v>
      </c>
      <c r="M2" t="s">
        <v>759</v>
      </c>
    </row>
    <row r="3" spans="1:13">
      <c r="A3" t="s">
        <v>248</v>
      </c>
      <c r="B3" t="s">
        <v>249</v>
      </c>
      <c r="D3" t="str">
        <f>IF(Metadata!B2="ENG",E3,F3)</f>
        <v>Base metals</v>
      </c>
      <c r="E3" t="s">
        <v>770</v>
      </c>
      <c r="F3" t="s">
        <v>839</v>
      </c>
      <c r="H3" t="str">
        <f>IF(Metadata!B2="ENG",I3,J3)</f>
        <v>Concession</v>
      </c>
      <c r="I3" s="208" t="s">
        <v>741</v>
      </c>
      <c r="J3" s="208" t="s">
        <v>741</v>
      </c>
      <c r="L3" t="s">
        <v>758</v>
      </c>
      <c r="M3" t="s">
        <v>756</v>
      </c>
    </row>
    <row r="4" spans="1:13">
      <c r="A4" t="s">
        <v>250</v>
      </c>
      <c r="B4" t="s">
        <v>251</v>
      </c>
      <c r="D4" t="str">
        <f>IF(Metadata!B2="ENG",E4,F4)</f>
        <v>Bauxite</v>
      </c>
      <c r="E4" s="216" t="s">
        <v>771</v>
      </c>
      <c r="F4" s="216" t="s">
        <v>771</v>
      </c>
      <c r="H4" t="str">
        <f>IF(Metadata!B2="ENG",I4,J4)</f>
        <v>Convention</v>
      </c>
      <c r="I4" t="s">
        <v>760</v>
      </c>
      <c r="J4" t="s">
        <v>760</v>
      </c>
    </row>
    <row r="5" spans="1:13">
      <c r="A5" t="s">
        <v>252</v>
      </c>
      <c r="B5" t="s">
        <v>253</v>
      </c>
      <c r="D5" t="str">
        <f>IF(Metadata!B2="ENG",E5,F5)</f>
        <v>Coal</v>
      </c>
      <c r="E5" t="s">
        <v>772</v>
      </c>
      <c r="F5" t="s">
        <v>773</v>
      </c>
      <c r="H5" t="str">
        <f>IF(Metadata!B2="ENG",I5,J5)</f>
        <v>Exploration Permit/License</v>
      </c>
      <c r="I5" s="208" t="s">
        <v>740</v>
      </c>
      <c r="J5" t="s">
        <v>751</v>
      </c>
    </row>
    <row r="6" spans="1:13" ht="30">
      <c r="A6" t="s">
        <v>254</v>
      </c>
      <c r="B6" t="s">
        <v>255</v>
      </c>
      <c r="D6" t="str">
        <f>IF(Metadata!B2="ENG",E6,F6)</f>
        <v>Cobalt</v>
      </c>
      <c r="E6" t="s">
        <v>774</v>
      </c>
      <c r="F6" t="s">
        <v>774</v>
      </c>
      <c r="H6" t="str">
        <f>IF(Metadata!B2="ENG",I6,J6)</f>
        <v>Exploitation Permit/License</v>
      </c>
      <c r="I6" s="208" t="s">
        <v>761</v>
      </c>
      <c r="J6" t="s">
        <v>762</v>
      </c>
    </row>
    <row r="7" spans="1:13" ht="30">
      <c r="A7" t="s">
        <v>256</v>
      </c>
      <c r="B7" t="s">
        <v>257</v>
      </c>
      <c r="D7" t="str">
        <f>IF(Metadata!B2="ENG",E7,F7)</f>
        <v>Copper</v>
      </c>
      <c r="E7" t="s">
        <v>775</v>
      </c>
      <c r="F7" t="s">
        <v>827</v>
      </c>
      <c r="H7" t="str">
        <f>IF(Metadata!B2="ENG",I7,J7)</f>
        <v>Forestry Concession Contract</v>
      </c>
      <c r="I7" s="208" t="s">
        <v>768</v>
      </c>
      <c r="J7" t="s">
        <v>769</v>
      </c>
    </row>
    <row r="8" spans="1:13">
      <c r="A8" t="s">
        <v>258</v>
      </c>
      <c r="B8" t="s">
        <v>259</v>
      </c>
      <c r="D8" t="str">
        <f>IF(Metadata!B2="ENG",E8,F8)</f>
        <v>Crude oil</v>
      </c>
      <c r="E8" t="s">
        <v>776</v>
      </c>
      <c r="F8" t="s">
        <v>777</v>
      </c>
      <c r="H8" t="str">
        <f>IF(Metadata!B2="ENG",I8,J8)</f>
        <v>Investment Agreement</v>
      </c>
      <c r="I8" s="208" t="s">
        <v>763</v>
      </c>
      <c r="J8" t="s">
        <v>810</v>
      </c>
    </row>
    <row r="9" spans="1:13" ht="30">
      <c r="A9" t="s">
        <v>260</v>
      </c>
      <c r="B9" t="s">
        <v>261</v>
      </c>
      <c r="D9" t="str">
        <f>IF(Metadata!B2="ENG",E9,F9)</f>
        <v>Diamonds</v>
      </c>
      <c r="E9" t="s">
        <v>778</v>
      </c>
      <c r="F9" t="s">
        <v>828</v>
      </c>
      <c r="H9" t="str">
        <f>IF(Metadata!B2="ENG",I9,J9)</f>
        <v>Investment Incentive Contract</v>
      </c>
      <c r="I9" s="208" t="s">
        <v>764</v>
      </c>
      <c r="J9" t="s">
        <v>811</v>
      </c>
    </row>
    <row r="10" spans="1:13">
      <c r="A10" t="s">
        <v>262</v>
      </c>
      <c r="B10" t="s">
        <v>263</v>
      </c>
      <c r="D10" t="str">
        <f>IF(Metadata!B2="ENG",E10,F10)</f>
        <v>Gas</v>
      </c>
      <c r="E10" t="s">
        <v>779</v>
      </c>
      <c r="F10" t="s">
        <v>780</v>
      </c>
      <c r="H10" t="str">
        <f>IF(Metadata!B2="ENG",I10,J10)</f>
        <v>Joint Venture Contract</v>
      </c>
      <c r="I10" t="s">
        <v>765</v>
      </c>
      <c r="J10" t="s">
        <v>812</v>
      </c>
      <c r="K10" s="219"/>
    </row>
    <row r="11" spans="1:13">
      <c r="A11" t="s">
        <v>264</v>
      </c>
      <c r="B11" t="s">
        <v>265</v>
      </c>
      <c r="D11" t="str">
        <f>IF(Metadata!B2="ENG",E11,F11)</f>
        <v>Gold</v>
      </c>
      <c r="E11" t="s">
        <v>781</v>
      </c>
      <c r="F11" t="s">
        <v>782</v>
      </c>
      <c r="H11" t="str">
        <f>IF(Metadata!B2="ENG",I11,J11)</f>
        <v>Lease</v>
      </c>
      <c r="I11" t="s">
        <v>744</v>
      </c>
      <c r="J11" t="s">
        <v>754</v>
      </c>
    </row>
    <row r="12" spans="1:13" ht="30">
      <c r="A12" t="s">
        <v>266</v>
      </c>
      <c r="B12" t="s">
        <v>267</v>
      </c>
      <c r="D12" t="str">
        <f>IF(Metadata!B2="ENG",E12,F12)</f>
        <v>Iron ore</v>
      </c>
      <c r="E12" t="s">
        <v>783</v>
      </c>
      <c r="F12" t="s">
        <v>819</v>
      </c>
      <c r="H12" t="str">
        <f>IF(Metadata!B2="ENG",I12,J12)</f>
        <v>Production Sharing Agreement</v>
      </c>
      <c r="I12" s="208" t="s">
        <v>745</v>
      </c>
      <c r="J12" t="s">
        <v>752</v>
      </c>
    </row>
    <row r="13" spans="1:13" ht="45">
      <c r="A13" t="s">
        <v>268</v>
      </c>
      <c r="B13" t="s">
        <v>269</v>
      </c>
      <c r="D13" t="str">
        <f>IF(Metadata!B2="ENG",E13,F13)</f>
        <v>Lapis lazuli</v>
      </c>
      <c r="E13" t="s">
        <v>784</v>
      </c>
      <c r="F13" t="s">
        <v>824</v>
      </c>
      <c r="H13" t="str">
        <f>IF(Metadata!B2="ENG",I13,J13)</f>
        <v>Operating Agreement between Private Companies</v>
      </c>
      <c r="I13" s="208" t="s">
        <v>766</v>
      </c>
      <c r="J13" t="s">
        <v>813</v>
      </c>
    </row>
    <row r="14" spans="1:13">
      <c r="A14" t="s">
        <v>270</v>
      </c>
      <c r="B14" t="s">
        <v>271</v>
      </c>
      <c r="D14" t="str">
        <f>IF(Metadata!B2="ENG",E14,F14)</f>
        <v>Lead</v>
      </c>
      <c r="E14" t="s">
        <v>785</v>
      </c>
      <c r="F14" t="s">
        <v>825</v>
      </c>
      <c r="H14" t="str">
        <f>IF(Metadata!B2="ENG",I14,J14)</f>
        <v>Options contract</v>
      </c>
      <c r="I14" s="208" t="s">
        <v>817</v>
      </c>
      <c r="J14" t="s">
        <v>818</v>
      </c>
    </row>
    <row r="15" spans="1:13">
      <c r="A15" t="s">
        <v>272</v>
      </c>
      <c r="B15" t="s">
        <v>273</v>
      </c>
      <c r="D15" t="str">
        <f>IF(Metadata!B2="ENG",E15,F15)</f>
        <v>Lithium</v>
      </c>
      <c r="E15" t="s">
        <v>786</v>
      </c>
      <c r="F15" t="s">
        <v>786</v>
      </c>
      <c r="H15" t="str">
        <f>IF(Metadata!B2="ENG",I15,J15)</f>
        <v>Profit Sharing Contract</v>
      </c>
      <c r="I15" s="208" t="s">
        <v>767</v>
      </c>
      <c r="J15" t="s">
        <v>814</v>
      </c>
    </row>
    <row r="16" spans="1:13">
      <c r="A16" t="s">
        <v>274</v>
      </c>
      <c r="B16" t="s">
        <v>275</v>
      </c>
      <c r="D16" t="str">
        <f>IF(Metadata!B2="ENG",E16,F16)</f>
        <v>Manganese</v>
      </c>
      <c r="E16" t="s">
        <v>787</v>
      </c>
      <c r="F16" t="s">
        <v>826</v>
      </c>
      <c r="H16" t="str">
        <f>IF(Metadata!B2="ENG",I16,J16)</f>
        <v>Service Contract</v>
      </c>
      <c r="I16" s="208" t="s">
        <v>742</v>
      </c>
      <c r="J16" t="s">
        <v>753</v>
      </c>
    </row>
    <row r="17" spans="1:10">
      <c r="A17" t="s">
        <v>276</v>
      </c>
      <c r="B17" t="s">
        <v>277</v>
      </c>
      <c r="D17" t="str">
        <f>IF(Metadata!B2="ENG",E17,F17)</f>
        <v>Molybdenum</v>
      </c>
      <c r="E17" t="s">
        <v>822</v>
      </c>
      <c r="F17" t="s">
        <v>823</v>
      </c>
      <c r="H17" t="str">
        <f>IF(Metadata!B2="ENG",I17,J17)</f>
        <v>Other</v>
      </c>
      <c r="I17" s="208" t="s">
        <v>743</v>
      </c>
      <c r="J17" t="s">
        <v>755</v>
      </c>
    </row>
    <row r="18" spans="1:10">
      <c r="A18" t="s">
        <v>278</v>
      </c>
      <c r="B18" t="s">
        <v>279</v>
      </c>
      <c r="D18" t="str">
        <f>IF(Metadata!B2="ENG",E18,F18)</f>
        <v>Nickel</v>
      </c>
      <c r="E18" t="s">
        <v>788</v>
      </c>
      <c r="F18" t="s">
        <v>788</v>
      </c>
      <c r="H18">
        <f>IF(Metadata!B2="ENG",I18,J18)</f>
        <v>0</v>
      </c>
    </row>
    <row r="19" spans="1:10">
      <c r="A19" t="s">
        <v>280</v>
      </c>
      <c r="B19" t="s">
        <v>281</v>
      </c>
      <c r="D19" t="str">
        <f>IF(Metadata!B2="ENG",E19,F19)</f>
        <v>Phosphate rock</v>
      </c>
      <c r="E19" t="s">
        <v>789</v>
      </c>
      <c r="F19" t="s">
        <v>829</v>
      </c>
      <c r="H19">
        <f>IF(Metadata!B2="ENG",I19,J19)</f>
        <v>0</v>
      </c>
    </row>
    <row r="20" spans="1:10">
      <c r="A20" t="s">
        <v>282</v>
      </c>
      <c r="B20" t="s">
        <v>283</v>
      </c>
      <c r="D20" t="str">
        <f>IF(Metadata!B2="ENG",E20,F20)</f>
        <v>Platinum Group Metals</v>
      </c>
      <c r="E20" t="s">
        <v>790</v>
      </c>
      <c r="F20" t="s">
        <v>830</v>
      </c>
      <c r="H20">
        <f>IF(Metadata!B2="ENG",I20,J20)</f>
        <v>0</v>
      </c>
    </row>
    <row r="21" spans="1:10">
      <c r="A21" t="s">
        <v>284</v>
      </c>
      <c r="B21" t="s">
        <v>285</v>
      </c>
      <c r="D21" t="str">
        <f>IF(Metadata!B2="ENG",E21,F21)</f>
        <v>Precious stones</v>
      </c>
      <c r="E21" t="s">
        <v>791</v>
      </c>
      <c r="F21" t="s">
        <v>831</v>
      </c>
      <c r="H21">
        <f>IF(Metadata!B2="ENG",I21,J21)</f>
        <v>0</v>
      </c>
    </row>
    <row r="22" spans="1:10">
      <c r="A22" t="s">
        <v>286</v>
      </c>
      <c r="B22" t="s">
        <v>287</v>
      </c>
      <c r="D22" t="str">
        <f>IF(Metadata!B2="ENG",E22,F22)</f>
        <v>Quartz</v>
      </c>
      <c r="E22" t="s">
        <v>792</v>
      </c>
      <c r="F22" t="s">
        <v>792</v>
      </c>
      <c r="H22">
        <f>IF(Metadata!B2="ENG",I22,J22)</f>
        <v>0</v>
      </c>
    </row>
    <row r="23" spans="1:10">
      <c r="A23" t="s">
        <v>288</v>
      </c>
      <c r="B23" t="s">
        <v>289</v>
      </c>
      <c r="D23" t="str">
        <f>IF(Metadata!B2="ENG",E23,F23)</f>
        <v>Semi-precious stones</v>
      </c>
      <c r="E23" t="s">
        <v>793</v>
      </c>
      <c r="F23" t="s">
        <v>832</v>
      </c>
      <c r="H23">
        <f>IF(Metadata!B2="ENG",I23,J23)</f>
        <v>0</v>
      </c>
    </row>
    <row r="24" spans="1:10">
      <c r="A24" t="s">
        <v>290</v>
      </c>
      <c r="B24" t="s">
        <v>291</v>
      </c>
      <c r="D24" t="str">
        <f>IF(Metadata!B2="ENG",E24,F24)</f>
        <v>Silver</v>
      </c>
      <c r="E24" t="s">
        <v>794</v>
      </c>
      <c r="F24" t="s">
        <v>833</v>
      </c>
      <c r="H24">
        <f>IF(Metadata!B2="ENG",I24,J24)</f>
        <v>0</v>
      </c>
    </row>
    <row r="25" spans="1:10">
      <c r="A25" t="s">
        <v>292</v>
      </c>
      <c r="B25" t="s">
        <v>293</v>
      </c>
      <c r="D25" t="str">
        <f>IF(Metadata!B2="ENG",E25,F25)</f>
        <v>Titanium</v>
      </c>
      <c r="E25" t="s">
        <v>795</v>
      </c>
      <c r="F25" t="s">
        <v>834</v>
      </c>
      <c r="H25">
        <f>IF(Metadata!B2="ENG",I25,J25)</f>
        <v>0</v>
      </c>
    </row>
    <row r="26" spans="1:10">
      <c r="A26" t="s">
        <v>294</v>
      </c>
      <c r="B26" t="s">
        <v>295</v>
      </c>
      <c r="D26" t="str">
        <f>IF(Metadata!B2="ENG",E26,F26)</f>
        <v>Uranium</v>
      </c>
      <c r="E26" t="s">
        <v>796</v>
      </c>
      <c r="F26" t="s">
        <v>796</v>
      </c>
      <c r="H26">
        <f>IF(Metadata!B2="ENG",I26,J26)</f>
        <v>0</v>
      </c>
    </row>
    <row r="27" spans="1:10">
      <c r="A27" t="s">
        <v>296</v>
      </c>
      <c r="B27" t="s">
        <v>297</v>
      </c>
      <c r="D27" t="str">
        <f>IF(Metadata!B2="ENG",E27,F27)</f>
        <v>Zinc</v>
      </c>
      <c r="E27" t="s">
        <v>797</v>
      </c>
      <c r="F27" t="s">
        <v>797</v>
      </c>
      <c r="H27">
        <f>IF(Metadata!B2="ENG",I27,J27)</f>
        <v>0</v>
      </c>
    </row>
    <row r="28" spans="1:10">
      <c r="A28" t="s">
        <v>298</v>
      </c>
      <c r="B28" t="s">
        <v>299</v>
      </c>
      <c r="D28" t="str">
        <f>IF(Metadata!B2="ENG",E28,F28)</f>
        <v>Citrus</v>
      </c>
      <c r="E28" t="s">
        <v>798</v>
      </c>
      <c r="F28" t="s">
        <v>798</v>
      </c>
      <c r="H28">
        <f>IF(Metadata!B2="ENG",I28,J28)</f>
        <v>0</v>
      </c>
    </row>
    <row r="29" spans="1:10">
      <c r="A29" t="s">
        <v>300</v>
      </c>
      <c r="B29" t="s">
        <v>301</v>
      </c>
      <c r="D29" t="str">
        <f>IF(Metadata!B2="ENG",E29,F29)</f>
        <v>Food crops</v>
      </c>
      <c r="E29" t="s">
        <v>799</v>
      </c>
      <c r="F29" t="s">
        <v>800</v>
      </c>
      <c r="H29">
        <f>IF(Metadata!B2="ENG",I29,J29)</f>
        <v>0</v>
      </c>
    </row>
    <row r="30" spans="1:10">
      <c r="A30" t="s">
        <v>302</v>
      </c>
      <c r="B30" t="s">
        <v>303</v>
      </c>
      <c r="D30" t="str">
        <f>IF(Metadata!B2="ENG",E30,F30)</f>
        <v>Hydrocarbons</v>
      </c>
      <c r="E30" t="s">
        <v>801</v>
      </c>
      <c r="F30" t="s">
        <v>835</v>
      </c>
      <c r="H30">
        <f>IF(Metadata!B2="ENG",I30,J30)</f>
        <v>0</v>
      </c>
    </row>
    <row r="31" spans="1:10">
      <c r="A31" t="s">
        <v>304</v>
      </c>
      <c r="B31" t="s">
        <v>305</v>
      </c>
      <c r="D31" t="str">
        <f>IF(Metadata!B2="ENG",E31,F31)</f>
        <v>Palm oil</v>
      </c>
      <c r="E31" t="s">
        <v>802</v>
      </c>
      <c r="F31" t="s">
        <v>803</v>
      </c>
      <c r="H31">
        <f>IF(Metadata!B2="ENG",I31,J31)</f>
        <v>0</v>
      </c>
    </row>
    <row r="32" spans="1:10">
      <c r="A32" t="s">
        <v>306</v>
      </c>
      <c r="B32" t="s">
        <v>307</v>
      </c>
      <c r="D32" t="str">
        <f>IF(Metadata!B2="ENG",E32,F32)</f>
        <v>Rubber</v>
      </c>
      <c r="E32" t="s">
        <v>804</v>
      </c>
      <c r="F32" t="s">
        <v>836</v>
      </c>
      <c r="H32">
        <f>IF(Metadata!B2="ENG",I32,J32)</f>
        <v>0</v>
      </c>
    </row>
    <row r="33" spans="1:8">
      <c r="A33" t="s">
        <v>308</v>
      </c>
      <c r="B33" t="s">
        <v>309</v>
      </c>
      <c r="D33" t="str">
        <f>IF(Metadata!B2="ENG",E33,F33)</f>
        <v>Soy</v>
      </c>
      <c r="E33" t="s">
        <v>805</v>
      </c>
      <c r="F33" t="s">
        <v>837</v>
      </c>
      <c r="H33">
        <f>IF(Metadata!B2="ENG",I33,J33)</f>
        <v>0</v>
      </c>
    </row>
    <row r="34" spans="1:8">
      <c r="A34" t="s">
        <v>310</v>
      </c>
      <c r="B34" t="s">
        <v>311</v>
      </c>
      <c r="D34" t="str">
        <f>IF(Metadata!B2="ENG",E34,F34)</f>
        <v>Sugar</v>
      </c>
      <c r="E34" t="s">
        <v>806</v>
      </c>
      <c r="F34" t="s">
        <v>807</v>
      </c>
      <c r="H34">
        <f>IF(Metadata!B2="ENG",I34,J34)</f>
        <v>0</v>
      </c>
    </row>
    <row r="35" spans="1:8">
      <c r="A35" t="s">
        <v>312</v>
      </c>
      <c r="B35" t="s">
        <v>313</v>
      </c>
      <c r="D35" t="str">
        <f>IF(Metadata!B2="ENG",E35,F35)</f>
        <v>Timber</v>
      </c>
      <c r="E35" t="s">
        <v>808</v>
      </c>
      <c r="F35" t="s">
        <v>809</v>
      </c>
      <c r="H35">
        <f>IF(Metadata!B2="ENG",I35,J35)</f>
        <v>0</v>
      </c>
    </row>
    <row r="36" spans="1:8">
      <c r="A36" t="s">
        <v>314</v>
      </c>
      <c r="B36" t="s">
        <v>315</v>
      </c>
      <c r="D36">
        <f>IF(Metadata!B2="ENG",E36,F36)</f>
        <v>0</v>
      </c>
      <c r="H36">
        <f>IF(Metadata!B2="ENG",I36,J36)</f>
        <v>0</v>
      </c>
    </row>
    <row r="37" spans="1:8">
      <c r="A37" t="s">
        <v>316</v>
      </c>
      <c r="B37" t="s">
        <v>317</v>
      </c>
      <c r="D37">
        <f>IF(Metadata!B2="ENG",E37,F37)</f>
        <v>0</v>
      </c>
      <c r="H37">
        <f>IF(Metadata!B2="ENG",I37,J37)</f>
        <v>0</v>
      </c>
    </row>
    <row r="38" spans="1:8">
      <c r="A38" t="s">
        <v>318</v>
      </c>
      <c r="B38" t="s">
        <v>319</v>
      </c>
      <c r="D38">
        <f>IF(Metadata!B2="ENG",E38,F38)</f>
        <v>0</v>
      </c>
      <c r="H38">
        <f>IF(Metadata!B2="ENG",I38,J38)</f>
        <v>0</v>
      </c>
    </row>
    <row r="39" spans="1:8">
      <c r="A39" t="s">
        <v>320</v>
      </c>
      <c r="B39" t="s">
        <v>321</v>
      </c>
      <c r="D39">
        <f>IF(Metadata!B2="ENG",E39,F39)</f>
        <v>0</v>
      </c>
      <c r="H39">
        <f>IF(Metadata!B2="ENG",I39,J39)</f>
        <v>0</v>
      </c>
    </row>
    <row r="40" spans="1:8">
      <c r="A40" t="s">
        <v>322</v>
      </c>
      <c r="B40" t="s">
        <v>323</v>
      </c>
      <c r="D40">
        <f>IF(Metadata!B2="ENG",E40,F40)</f>
        <v>0</v>
      </c>
      <c r="H40">
        <f>IF(Metadata!B2="ENG",I40,J40)</f>
        <v>0</v>
      </c>
    </row>
    <row r="41" spans="1:8">
      <c r="A41" t="s">
        <v>324</v>
      </c>
      <c r="B41" t="s">
        <v>325</v>
      </c>
      <c r="D41">
        <f>IF(Metadata!B2="ENG",E41,F41)</f>
        <v>0</v>
      </c>
      <c r="H41">
        <f>IF(Metadata!B2="ENG",I41,J41)</f>
        <v>0</v>
      </c>
    </row>
    <row r="42" spans="1:8">
      <c r="A42" t="s">
        <v>326</v>
      </c>
      <c r="B42" t="s">
        <v>327</v>
      </c>
      <c r="D42">
        <f>IF(Metadata!B2="ENG",E42,F42)</f>
        <v>0</v>
      </c>
      <c r="H42">
        <f>IF(Metadata!B2="ENG",I42,J42)</f>
        <v>0</v>
      </c>
    </row>
    <row r="43" spans="1:8">
      <c r="A43" t="s">
        <v>328</v>
      </c>
      <c r="B43" t="s">
        <v>329</v>
      </c>
      <c r="D43">
        <f>IF(Metadata!B2="ENG",E43,F43)</f>
        <v>0</v>
      </c>
      <c r="H43">
        <f>IF(Metadata!B2="ENG",I43,J43)</f>
        <v>0</v>
      </c>
    </row>
    <row r="44" spans="1:8">
      <c r="A44" t="s">
        <v>330</v>
      </c>
      <c r="B44" t="s">
        <v>331</v>
      </c>
      <c r="D44">
        <f>IF(Metadata!B2="ENG",E44,F44)</f>
        <v>0</v>
      </c>
      <c r="H44">
        <f>IF(Metadata!B2="ENG",I44,J44)</f>
        <v>0</v>
      </c>
    </row>
    <row r="45" spans="1:8">
      <c r="A45" t="s">
        <v>332</v>
      </c>
      <c r="B45" t="s">
        <v>333</v>
      </c>
      <c r="D45">
        <f>IF(Metadata!B2="ENG",E45,F45)</f>
        <v>0</v>
      </c>
      <c r="H45">
        <f>IF(Metadata!B2="ENG",I45,J45)</f>
        <v>0</v>
      </c>
    </row>
    <row r="46" spans="1:8">
      <c r="A46" t="s">
        <v>334</v>
      </c>
      <c r="B46" t="s">
        <v>335</v>
      </c>
      <c r="D46">
        <f>IF(Metadata!B2="ENG",E46,F46)</f>
        <v>0</v>
      </c>
      <c r="H46">
        <f>IF(Metadata!B2="ENG",I46,J46)</f>
        <v>0</v>
      </c>
    </row>
    <row r="47" spans="1:8">
      <c r="A47" t="s">
        <v>336</v>
      </c>
      <c r="B47" t="s">
        <v>337</v>
      </c>
      <c r="D47">
        <f>IF(Metadata!B2="ENG",E47,F47)</f>
        <v>0</v>
      </c>
      <c r="H47">
        <f>IF(Metadata!B2="ENG",I47,J47)</f>
        <v>0</v>
      </c>
    </row>
    <row r="48" spans="1:8">
      <c r="A48" t="s">
        <v>338</v>
      </c>
      <c r="B48" t="s">
        <v>339</v>
      </c>
      <c r="D48">
        <f>IF(Metadata!B2="ENG",E48,F48)</f>
        <v>0</v>
      </c>
      <c r="H48">
        <f>IF(Metadata!B2="ENG",I48,J48)</f>
        <v>0</v>
      </c>
    </row>
    <row r="49" spans="1:8">
      <c r="A49" t="s">
        <v>340</v>
      </c>
      <c r="B49" t="s">
        <v>341</v>
      </c>
      <c r="D49">
        <f>IF(Metadata!B2="ENG",E49,F49)</f>
        <v>0</v>
      </c>
      <c r="H49">
        <f>IF(Metadata!B2="ENG",I49,J49)</f>
        <v>0</v>
      </c>
    </row>
    <row r="50" spans="1:8">
      <c r="A50" t="s">
        <v>342</v>
      </c>
      <c r="B50" t="s">
        <v>343</v>
      </c>
      <c r="D50">
        <f>IF(Metadata!B2="ENG",E50,F50)</f>
        <v>0</v>
      </c>
      <c r="H50">
        <f>IF(Metadata!B2="ENG",I50,J50)</f>
        <v>0</v>
      </c>
    </row>
    <row r="51" spans="1:8">
      <c r="A51" t="s">
        <v>344</v>
      </c>
      <c r="B51" t="s">
        <v>345</v>
      </c>
      <c r="D51">
        <f>IF(Metadata!B2="ENG",E51,F51)</f>
        <v>0</v>
      </c>
      <c r="H51">
        <f>IF(Metadata!B2="ENG",I51,J51)</f>
        <v>0</v>
      </c>
    </row>
    <row r="52" spans="1:8">
      <c r="A52" t="s">
        <v>346</v>
      </c>
      <c r="B52" t="s">
        <v>347</v>
      </c>
      <c r="D52">
        <f>IF(Metadata!B2="ENG",E52,F52)</f>
        <v>0</v>
      </c>
      <c r="H52">
        <f>IF(Metadata!B2="ENG",I52,J52)</f>
        <v>0</v>
      </c>
    </row>
    <row r="53" spans="1:8">
      <c r="A53" t="s">
        <v>348</v>
      </c>
      <c r="B53" t="s">
        <v>349</v>
      </c>
      <c r="D53">
        <f>IF(Metadata!B2="ENG",E53,F53)</f>
        <v>0</v>
      </c>
      <c r="H53">
        <f>IF(Metadata!B2="ENG",I53,J53)</f>
        <v>0</v>
      </c>
    </row>
    <row r="54" spans="1:8">
      <c r="A54" t="s">
        <v>350</v>
      </c>
      <c r="B54" t="s">
        <v>351</v>
      </c>
      <c r="D54">
        <f>IF(Metadata!B2="ENG",E54,F54)</f>
        <v>0</v>
      </c>
      <c r="H54">
        <f>IF(Metadata!B2="ENG",I54,J54)</f>
        <v>0</v>
      </c>
    </row>
    <row r="55" spans="1:8">
      <c r="A55" t="s">
        <v>352</v>
      </c>
      <c r="B55" t="s">
        <v>353</v>
      </c>
      <c r="D55">
        <f>IF(Metadata!B2="ENG",E55,F55)</f>
        <v>0</v>
      </c>
      <c r="H55">
        <f>IF(Metadata!B2="ENG",I55,J55)</f>
        <v>0</v>
      </c>
    </row>
    <row r="56" spans="1:8">
      <c r="A56" t="s">
        <v>354</v>
      </c>
      <c r="B56" t="s">
        <v>355</v>
      </c>
      <c r="D56">
        <f>IF(Metadata!B2="ENG",E56,F56)</f>
        <v>0</v>
      </c>
      <c r="H56">
        <f>IF(Metadata!B2="ENG",I56,J56)</f>
        <v>0</v>
      </c>
    </row>
    <row r="57" spans="1:8">
      <c r="A57" t="s">
        <v>356</v>
      </c>
      <c r="B57" t="s">
        <v>357</v>
      </c>
      <c r="D57">
        <f>IF(Metadata!B2="ENG",E57,F57)</f>
        <v>0</v>
      </c>
      <c r="H57">
        <f>IF(Metadata!B2="ENG",I57,J57)</f>
        <v>0</v>
      </c>
    </row>
    <row r="58" spans="1:8">
      <c r="A58" t="s">
        <v>358</v>
      </c>
      <c r="B58" t="s">
        <v>359</v>
      </c>
      <c r="D58">
        <f>IF(Metadata!B2="ENG",E58,F58)</f>
        <v>0</v>
      </c>
      <c r="H58">
        <f>IF(Metadata!B2="ENG",I58,J58)</f>
        <v>0</v>
      </c>
    </row>
    <row r="59" spans="1:8">
      <c r="A59" t="s">
        <v>360</v>
      </c>
      <c r="B59" t="s">
        <v>361</v>
      </c>
      <c r="D59">
        <f>IF(Metadata!B2="ENG",E59,F59)</f>
        <v>0</v>
      </c>
      <c r="H59">
        <f>IF(Metadata!B2="ENG",I59,J59)</f>
        <v>0</v>
      </c>
    </row>
    <row r="60" spans="1:8">
      <c r="A60" t="s">
        <v>362</v>
      </c>
      <c r="B60" t="s">
        <v>363</v>
      </c>
      <c r="D60">
        <f>IF(Metadata!B2="ENG",E60,F60)</f>
        <v>0</v>
      </c>
      <c r="H60">
        <f>IF(Metadata!B2="ENG",I60,J60)</f>
        <v>0</v>
      </c>
    </row>
    <row r="61" spans="1:8">
      <c r="A61" t="s">
        <v>364</v>
      </c>
      <c r="B61" t="s">
        <v>365</v>
      </c>
      <c r="D61">
        <f>IF(Metadata!B2="ENG",E61,F61)</f>
        <v>0</v>
      </c>
      <c r="H61">
        <f>IF(Metadata!B2="ENG",I61,J61)</f>
        <v>0</v>
      </c>
    </row>
    <row r="62" spans="1:8">
      <c r="A62" t="s">
        <v>366</v>
      </c>
      <c r="B62" t="s">
        <v>367</v>
      </c>
    </row>
    <row r="63" spans="1:8">
      <c r="A63" t="s">
        <v>368</v>
      </c>
      <c r="B63" t="s">
        <v>369</v>
      </c>
    </row>
    <row r="64" spans="1:8">
      <c r="A64" t="s">
        <v>370</v>
      </c>
      <c r="B64" t="s">
        <v>371</v>
      </c>
    </row>
    <row r="65" spans="1:2">
      <c r="A65" t="s">
        <v>372</v>
      </c>
      <c r="B65" t="s">
        <v>373</v>
      </c>
    </row>
    <row r="66" spans="1:2">
      <c r="A66" t="s">
        <v>374</v>
      </c>
      <c r="B66" t="s">
        <v>375</v>
      </c>
    </row>
    <row r="67" spans="1:2">
      <c r="A67" t="s">
        <v>376</v>
      </c>
      <c r="B67" t="s">
        <v>377</v>
      </c>
    </row>
    <row r="68" spans="1:2">
      <c r="A68" t="s">
        <v>378</v>
      </c>
      <c r="B68" t="s">
        <v>379</v>
      </c>
    </row>
    <row r="69" spans="1:2">
      <c r="A69" t="s">
        <v>380</v>
      </c>
      <c r="B69" t="s">
        <v>381</v>
      </c>
    </row>
    <row r="70" spans="1:2">
      <c r="A70" t="s">
        <v>382</v>
      </c>
      <c r="B70" t="s">
        <v>383</v>
      </c>
    </row>
    <row r="71" spans="1:2">
      <c r="A71" t="s">
        <v>384</v>
      </c>
      <c r="B71" t="s">
        <v>385</v>
      </c>
    </row>
    <row r="72" spans="1:2">
      <c r="A72" t="s">
        <v>386</v>
      </c>
      <c r="B72" t="s">
        <v>387</v>
      </c>
    </row>
    <row r="73" spans="1:2">
      <c r="A73" t="s">
        <v>388</v>
      </c>
      <c r="B73" t="s">
        <v>389</v>
      </c>
    </row>
    <row r="74" spans="1:2">
      <c r="A74" t="s">
        <v>390</v>
      </c>
      <c r="B74" t="s">
        <v>391</v>
      </c>
    </row>
    <row r="75" spans="1:2">
      <c r="A75" t="s">
        <v>392</v>
      </c>
      <c r="B75" t="s">
        <v>393</v>
      </c>
    </row>
    <row r="76" spans="1:2">
      <c r="A76" t="s">
        <v>394</v>
      </c>
      <c r="B76" t="s">
        <v>395</v>
      </c>
    </row>
    <row r="77" spans="1:2">
      <c r="A77" t="s">
        <v>396</v>
      </c>
      <c r="B77" t="s">
        <v>397</v>
      </c>
    </row>
    <row r="78" spans="1:2">
      <c r="A78" t="s">
        <v>398</v>
      </c>
      <c r="B78" t="s">
        <v>399</v>
      </c>
    </row>
    <row r="79" spans="1:2">
      <c r="A79" t="s">
        <v>400</v>
      </c>
      <c r="B79" t="s">
        <v>401</v>
      </c>
    </row>
    <row r="80" spans="1:2">
      <c r="A80" t="s">
        <v>402</v>
      </c>
      <c r="B80" t="s">
        <v>403</v>
      </c>
    </row>
    <row r="81" spans="1:2">
      <c r="A81" t="s">
        <v>404</v>
      </c>
      <c r="B81" t="s">
        <v>405</v>
      </c>
    </row>
    <row r="82" spans="1:2">
      <c r="A82" t="s">
        <v>406</v>
      </c>
      <c r="B82" t="s">
        <v>407</v>
      </c>
    </row>
    <row r="83" spans="1:2">
      <c r="A83" t="s">
        <v>408</v>
      </c>
      <c r="B83" t="s">
        <v>409</v>
      </c>
    </row>
    <row r="84" spans="1:2">
      <c r="A84" t="s">
        <v>410</v>
      </c>
      <c r="B84" t="s">
        <v>411</v>
      </c>
    </row>
    <row r="85" spans="1:2">
      <c r="A85" t="s">
        <v>412</v>
      </c>
      <c r="B85" t="s">
        <v>413</v>
      </c>
    </row>
    <row r="86" spans="1:2">
      <c r="A86" t="s">
        <v>414</v>
      </c>
      <c r="B86" t="s">
        <v>415</v>
      </c>
    </row>
    <row r="87" spans="1:2">
      <c r="A87" t="s">
        <v>416</v>
      </c>
      <c r="B87" t="s">
        <v>417</v>
      </c>
    </row>
    <row r="88" spans="1:2">
      <c r="A88" t="s">
        <v>418</v>
      </c>
      <c r="B88" t="s">
        <v>419</v>
      </c>
    </row>
    <row r="89" spans="1:2">
      <c r="A89" t="s">
        <v>420</v>
      </c>
      <c r="B89" t="s">
        <v>421</v>
      </c>
    </row>
    <row r="90" spans="1:2">
      <c r="A90" t="s">
        <v>422</v>
      </c>
      <c r="B90" t="s">
        <v>423</v>
      </c>
    </row>
    <row r="91" spans="1:2">
      <c r="A91" t="s">
        <v>424</v>
      </c>
      <c r="B91" t="s">
        <v>425</v>
      </c>
    </row>
    <row r="92" spans="1:2">
      <c r="A92" t="s">
        <v>426</v>
      </c>
      <c r="B92" t="s">
        <v>427</v>
      </c>
    </row>
    <row r="93" spans="1:2">
      <c r="A93" t="s">
        <v>428</v>
      </c>
      <c r="B93" t="s">
        <v>429</v>
      </c>
    </row>
    <row r="94" spans="1:2">
      <c r="A94" t="s">
        <v>430</v>
      </c>
      <c r="B94" t="s">
        <v>431</v>
      </c>
    </row>
    <row r="95" spans="1:2">
      <c r="A95" t="s">
        <v>432</v>
      </c>
      <c r="B95" t="s">
        <v>433</v>
      </c>
    </row>
    <row r="96" spans="1:2">
      <c r="A96" t="s">
        <v>434</v>
      </c>
      <c r="B96" t="s">
        <v>108</v>
      </c>
    </row>
    <row r="97" spans="1:2">
      <c r="A97" t="s">
        <v>435</v>
      </c>
      <c r="B97" t="s">
        <v>436</v>
      </c>
    </row>
    <row r="98" spans="1:2">
      <c r="A98" t="s">
        <v>437</v>
      </c>
      <c r="B98" t="s">
        <v>438</v>
      </c>
    </row>
    <row r="99" spans="1:2">
      <c r="A99" t="s">
        <v>439</v>
      </c>
      <c r="B99" t="s">
        <v>440</v>
      </c>
    </row>
    <row r="100" spans="1:2">
      <c r="A100" t="s">
        <v>441</v>
      </c>
      <c r="B100" t="s">
        <v>442</v>
      </c>
    </row>
    <row r="101" spans="1:2">
      <c r="A101" t="s">
        <v>443</v>
      </c>
      <c r="B101" t="s">
        <v>444</v>
      </c>
    </row>
    <row r="102" spans="1:2">
      <c r="A102" t="s">
        <v>445</v>
      </c>
      <c r="B102" t="s">
        <v>446</v>
      </c>
    </row>
    <row r="103" spans="1:2">
      <c r="A103" t="s">
        <v>447</v>
      </c>
      <c r="B103" t="s">
        <v>448</v>
      </c>
    </row>
    <row r="104" spans="1:2">
      <c r="A104" t="s">
        <v>449</v>
      </c>
      <c r="B104" t="s">
        <v>450</v>
      </c>
    </row>
    <row r="105" spans="1:2">
      <c r="A105" t="s">
        <v>451</v>
      </c>
      <c r="B105" t="s">
        <v>452</v>
      </c>
    </row>
    <row r="106" spans="1:2">
      <c r="A106" t="s">
        <v>453</v>
      </c>
      <c r="B106" t="s">
        <v>454</v>
      </c>
    </row>
    <row r="107" spans="1:2">
      <c r="A107" t="s">
        <v>455</v>
      </c>
      <c r="B107" t="s">
        <v>456</v>
      </c>
    </row>
    <row r="108" spans="1:2">
      <c r="A108" t="s">
        <v>457</v>
      </c>
      <c r="B108" t="s">
        <v>458</v>
      </c>
    </row>
    <row r="109" spans="1:2">
      <c r="A109" t="s">
        <v>459</v>
      </c>
      <c r="B109" t="s">
        <v>460</v>
      </c>
    </row>
    <row r="110" spans="1:2">
      <c r="A110" t="s">
        <v>461</v>
      </c>
      <c r="B110" t="s">
        <v>462</v>
      </c>
    </row>
    <row r="111" spans="1:2">
      <c r="A111" t="s">
        <v>463</v>
      </c>
      <c r="B111" t="s">
        <v>464</v>
      </c>
    </row>
    <row r="112" spans="1:2">
      <c r="A112" t="s">
        <v>465</v>
      </c>
      <c r="B112" t="s">
        <v>466</v>
      </c>
    </row>
    <row r="113" spans="1:2">
      <c r="A113" t="s">
        <v>467</v>
      </c>
      <c r="B113" t="s">
        <v>468</v>
      </c>
    </row>
    <row r="114" spans="1:2">
      <c r="A114" t="s">
        <v>469</v>
      </c>
      <c r="B114" t="s">
        <v>470</v>
      </c>
    </row>
    <row r="115" spans="1:2">
      <c r="A115" t="s">
        <v>471</v>
      </c>
      <c r="B115" t="s">
        <v>472</v>
      </c>
    </row>
    <row r="116" spans="1:2">
      <c r="A116" t="s">
        <v>473</v>
      </c>
      <c r="B116" t="s">
        <v>474</v>
      </c>
    </row>
    <row r="117" spans="1:2">
      <c r="A117" t="s">
        <v>475</v>
      </c>
      <c r="B117" t="s">
        <v>476</v>
      </c>
    </row>
    <row r="118" spans="1:2">
      <c r="A118" t="s">
        <v>477</v>
      </c>
      <c r="B118" t="s">
        <v>478</v>
      </c>
    </row>
    <row r="119" spans="1:2">
      <c r="A119" t="s">
        <v>479</v>
      </c>
      <c r="B119" t="s">
        <v>480</v>
      </c>
    </row>
    <row r="120" spans="1:2">
      <c r="A120" t="s">
        <v>481</v>
      </c>
      <c r="B120" t="s">
        <v>482</v>
      </c>
    </row>
    <row r="121" spans="1:2">
      <c r="A121" t="s">
        <v>483</v>
      </c>
      <c r="B121" t="s">
        <v>484</v>
      </c>
    </row>
    <row r="122" spans="1:2">
      <c r="A122" t="s">
        <v>485</v>
      </c>
      <c r="B122" t="s">
        <v>486</v>
      </c>
    </row>
    <row r="123" spans="1:2">
      <c r="A123" t="s">
        <v>487</v>
      </c>
      <c r="B123" t="s">
        <v>488</v>
      </c>
    </row>
    <row r="124" spans="1:2">
      <c r="A124" t="s">
        <v>489</v>
      </c>
      <c r="B124" t="s">
        <v>490</v>
      </c>
    </row>
    <row r="125" spans="1:2">
      <c r="A125" t="s">
        <v>491</v>
      </c>
      <c r="B125" t="s">
        <v>492</v>
      </c>
    </row>
    <row r="126" spans="1:2">
      <c r="A126" t="s">
        <v>493</v>
      </c>
      <c r="B126" t="s">
        <v>494</v>
      </c>
    </row>
    <row r="127" spans="1:2">
      <c r="A127" t="s">
        <v>495</v>
      </c>
      <c r="B127" t="s">
        <v>496</v>
      </c>
    </row>
    <row r="128" spans="1:2">
      <c r="A128" t="s">
        <v>497</v>
      </c>
      <c r="B128" t="s">
        <v>498</v>
      </c>
    </row>
    <row r="129" spans="1:2">
      <c r="A129" t="s">
        <v>499</v>
      </c>
      <c r="B129" t="s">
        <v>500</v>
      </c>
    </row>
    <row r="130" spans="1:2">
      <c r="A130" t="s">
        <v>501</v>
      </c>
      <c r="B130" t="s">
        <v>502</v>
      </c>
    </row>
    <row r="131" spans="1:2">
      <c r="A131" t="s">
        <v>503</v>
      </c>
      <c r="B131" t="s">
        <v>504</v>
      </c>
    </row>
    <row r="132" spans="1:2">
      <c r="A132" t="s">
        <v>505</v>
      </c>
      <c r="B132" t="s">
        <v>506</v>
      </c>
    </row>
    <row r="133" spans="1:2">
      <c r="A133" t="s">
        <v>507</v>
      </c>
      <c r="B133" t="s">
        <v>508</v>
      </c>
    </row>
    <row r="134" spans="1:2">
      <c r="A134" t="s">
        <v>509</v>
      </c>
      <c r="B134" t="s">
        <v>510</v>
      </c>
    </row>
    <row r="135" spans="1:2">
      <c r="A135" t="s">
        <v>511</v>
      </c>
      <c r="B135" t="s">
        <v>512</v>
      </c>
    </row>
    <row r="136" spans="1:2">
      <c r="A136" t="s">
        <v>513</v>
      </c>
      <c r="B136" t="s">
        <v>514</v>
      </c>
    </row>
    <row r="137" spans="1:2">
      <c r="A137" t="s">
        <v>515</v>
      </c>
      <c r="B137" t="s">
        <v>516</v>
      </c>
    </row>
    <row r="138" spans="1:2">
      <c r="A138" t="s">
        <v>517</v>
      </c>
      <c r="B138" t="s">
        <v>518</v>
      </c>
    </row>
    <row r="139" spans="1:2">
      <c r="A139" t="s">
        <v>519</v>
      </c>
      <c r="B139" t="s">
        <v>520</v>
      </c>
    </row>
    <row r="140" spans="1:2">
      <c r="A140" t="s">
        <v>521</v>
      </c>
      <c r="B140" t="s">
        <v>522</v>
      </c>
    </row>
    <row r="141" spans="1:2">
      <c r="A141" t="s">
        <v>523</v>
      </c>
      <c r="B141" t="s">
        <v>524</v>
      </c>
    </row>
    <row r="142" spans="1:2">
      <c r="A142" t="s">
        <v>525</v>
      </c>
      <c r="B142" t="s">
        <v>526</v>
      </c>
    </row>
    <row r="143" spans="1:2">
      <c r="A143" t="s">
        <v>527</v>
      </c>
      <c r="B143" t="s">
        <v>528</v>
      </c>
    </row>
    <row r="144" spans="1:2">
      <c r="A144" t="s">
        <v>529</v>
      </c>
      <c r="B144" t="s">
        <v>530</v>
      </c>
    </row>
    <row r="145" spans="1:2">
      <c r="A145" t="s">
        <v>531</v>
      </c>
      <c r="B145" t="s">
        <v>532</v>
      </c>
    </row>
    <row r="146" spans="1:2">
      <c r="A146" t="s">
        <v>533</v>
      </c>
      <c r="B146" t="s">
        <v>534</v>
      </c>
    </row>
    <row r="147" spans="1:2">
      <c r="A147" t="s">
        <v>535</v>
      </c>
      <c r="B147" t="s">
        <v>536</v>
      </c>
    </row>
    <row r="148" spans="1:2">
      <c r="A148" t="s">
        <v>537</v>
      </c>
      <c r="B148" t="s">
        <v>538</v>
      </c>
    </row>
    <row r="149" spans="1:2">
      <c r="A149" t="s">
        <v>539</v>
      </c>
      <c r="B149" t="s">
        <v>540</v>
      </c>
    </row>
    <row r="150" spans="1:2">
      <c r="A150" t="s">
        <v>541</v>
      </c>
      <c r="B150" t="s">
        <v>542</v>
      </c>
    </row>
    <row r="151" spans="1:2">
      <c r="A151" t="s">
        <v>543</v>
      </c>
      <c r="B151" t="s">
        <v>544</v>
      </c>
    </row>
    <row r="152" spans="1:2">
      <c r="A152" t="s">
        <v>545</v>
      </c>
      <c r="B152" t="s">
        <v>546</v>
      </c>
    </row>
    <row r="153" spans="1:2">
      <c r="A153" t="s">
        <v>547</v>
      </c>
      <c r="B153" t="s">
        <v>548</v>
      </c>
    </row>
    <row r="154" spans="1:2">
      <c r="A154" t="s">
        <v>549</v>
      </c>
      <c r="B154" t="s">
        <v>550</v>
      </c>
    </row>
    <row r="155" spans="1:2">
      <c r="A155" t="s">
        <v>551</v>
      </c>
      <c r="B155" t="s">
        <v>552</v>
      </c>
    </row>
    <row r="156" spans="1:2">
      <c r="A156" t="s">
        <v>553</v>
      </c>
      <c r="B156" t="s">
        <v>554</v>
      </c>
    </row>
    <row r="157" spans="1:2">
      <c r="A157" t="s">
        <v>555</v>
      </c>
      <c r="B157" t="s">
        <v>556</v>
      </c>
    </row>
    <row r="158" spans="1:2">
      <c r="A158" t="s">
        <v>557</v>
      </c>
      <c r="B158" t="s">
        <v>558</v>
      </c>
    </row>
    <row r="159" spans="1:2">
      <c r="A159" t="s">
        <v>559</v>
      </c>
      <c r="B159" t="s">
        <v>560</v>
      </c>
    </row>
    <row r="160" spans="1:2">
      <c r="A160" t="s">
        <v>561</v>
      </c>
      <c r="B160" t="s">
        <v>562</v>
      </c>
    </row>
    <row r="161" spans="1:2">
      <c r="A161" t="s">
        <v>563</v>
      </c>
      <c r="B161" t="s">
        <v>564</v>
      </c>
    </row>
    <row r="162" spans="1:2">
      <c r="A162" t="s">
        <v>565</v>
      </c>
      <c r="B162" t="s">
        <v>566</v>
      </c>
    </row>
    <row r="163" spans="1:2">
      <c r="A163" t="s">
        <v>567</v>
      </c>
      <c r="B163" t="s">
        <v>568</v>
      </c>
    </row>
    <row r="164" spans="1:2">
      <c r="A164" t="s">
        <v>569</v>
      </c>
      <c r="B164" t="s">
        <v>570</v>
      </c>
    </row>
    <row r="165" spans="1:2">
      <c r="A165" t="s">
        <v>571</v>
      </c>
      <c r="B165" t="s">
        <v>572</v>
      </c>
    </row>
    <row r="166" spans="1:2">
      <c r="A166" t="s">
        <v>573</v>
      </c>
      <c r="B166" t="s">
        <v>574</v>
      </c>
    </row>
    <row r="167" spans="1:2">
      <c r="A167" t="s">
        <v>575</v>
      </c>
      <c r="B167" t="s">
        <v>576</v>
      </c>
    </row>
    <row r="168" spans="1:2">
      <c r="A168" t="s">
        <v>577</v>
      </c>
      <c r="B168" t="s">
        <v>578</v>
      </c>
    </row>
    <row r="169" spans="1:2">
      <c r="A169" t="s">
        <v>579</v>
      </c>
      <c r="B169" t="s">
        <v>580</v>
      </c>
    </row>
    <row r="170" spans="1:2">
      <c r="A170" t="s">
        <v>581</v>
      </c>
      <c r="B170" t="s">
        <v>582</v>
      </c>
    </row>
    <row r="171" spans="1:2">
      <c r="A171" t="s">
        <v>583</v>
      </c>
      <c r="B171" t="s">
        <v>584</v>
      </c>
    </row>
    <row r="172" spans="1:2">
      <c r="A172" t="s">
        <v>585</v>
      </c>
      <c r="B172" t="s">
        <v>586</v>
      </c>
    </row>
    <row r="173" spans="1:2">
      <c r="A173" t="s">
        <v>587</v>
      </c>
      <c r="B173" t="s">
        <v>588</v>
      </c>
    </row>
    <row r="174" spans="1:2">
      <c r="A174" t="s">
        <v>589</v>
      </c>
      <c r="B174" t="s">
        <v>590</v>
      </c>
    </row>
    <row r="175" spans="1:2">
      <c r="A175" t="s">
        <v>591</v>
      </c>
      <c r="B175" t="s">
        <v>592</v>
      </c>
    </row>
    <row r="176" spans="1:2">
      <c r="A176" t="s">
        <v>593</v>
      </c>
      <c r="B176" t="s">
        <v>594</v>
      </c>
    </row>
    <row r="177" spans="1:2">
      <c r="A177" t="s">
        <v>595</v>
      </c>
      <c r="B177" t="s">
        <v>596</v>
      </c>
    </row>
    <row r="178" spans="1:2">
      <c r="A178" t="s">
        <v>597</v>
      </c>
      <c r="B178" t="s">
        <v>598</v>
      </c>
    </row>
    <row r="179" spans="1:2">
      <c r="A179" t="s">
        <v>599</v>
      </c>
      <c r="B179" t="s">
        <v>600</v>
      </c>
    </row>
    <row r="180" spans="1:2">
      <c r="A180" t="s">
        <v>601</v>
      </c>
      <c r="B180" t="s">
        <v>602</v>
      </c>
    </row>
    <row r="181" spans="1:2">
      <c r="A181" t="s">
        <v>603</v>
      </c>
      <c r="B181" t="s">
        <v>604</v>
      </c>
    </row>
    <row r="182" spans="1:2">
      <c r="A182" t="s">
        <v>605</v>
      </c>
      <c r="B182" t="s">
        <v>606</v>
      </c>
    </row>
    <row r="183" spans="1:2">
      <c r="A183" t="s">
        <v>607</v>
      </c>
      <c r="B183" t="s">
        <v>608</v>
      </c>
    </row>
    <row r="184" spans="1:2">
      <c r="A184" t="s">
        <v>609</v>
      </c>
      <c r="B184" t="s">
        <v>297</v>
      </c>
    </row>
    <row r="185" spans="1:2">
      <c r="A185" t="s">
        <v>610</v>
      </c>
      <c r="B185" t="s">
        <v>611</v>
      </c>
    </row>
    <row r="186" spans="1:2">
      <c r="A186" t="s">
        <v>612</v>
      </c>
      <c r="B186" t="s">
        <v>613</v>
      </c>
    </row>
    <row r="187" spans="1:2">
      <c r="A187" t="s">
        <v>614</v>
      </c>
      <c r="B187" t="s">
        <v>615</v>
      </c>
    </row>
    <row r="188" spans="1:2">
      <c r="A188" t="s">
        <v>616</v>
      </c>
      <c r="B188" t="s">
        <v>617</v>
      </c>
    </row>
    <row r="189" spans="1:2">
      <c r="A189" t="s">
        <v>618</v>
      </c>
      <c r="B189" t="s">
        <v>619</v>
      </c>
    </row>
    <row r="190" spans="1:2">
      <c r="A190" t="s">
        <v>620</v>
      </c>
      <c r="B190" t="s">
        <v>621</v>
      </c>
    </row>
    <row r="191" spans="1:2">
      <c r="A191" t="s">
        <v>622</v>
      </c>
      <c r="B191" t="s">
        <v>623</v>
      </c>
    </row>
    <row r="192" spans="1:2">
      <c r="A192" t="s">
        <v>624</v>
      </c>
      <c r="B192" t="s">
        <v>625</v>
      </c>
    </row>
    <row r="193" spans="1:2">
      <c r="A193" t="s">
        <v>626</v>
      </c>
      <c r="B193" t="s">
        <v>627</v>
      </c>
    </row>
    <row r="194" spans="1:2">
      <c r="A194" t="s">
        <v>628</v>
      </c>
      <c r="B194" t="s">
        <v>629</v>
      </c>
    </row>
    <row r="195" spans="1:2">
      <c r="A195" t="s">
        <v>630</v>
      </c>
      <c r="B195" t="s">
        <v>631</v>
      </c>
    </row>
    <row r="196" spans="1:2">
      <c r="A196" t="s">
        <v>632</v>
      </c>
      <c r="B196" t="s">
        <v>633</v>
      </c>
    </row>
    <row r="197" spans="1:2">
      <c r="A197" t="s">
        <v>634</v>
      </c>
      <c r="B197" t="s">
        <v>635</v>
      </c>
    </row>
    <row r="198" spans="1:2">
      <c r="A198" t="s">
        <v>636</v>
      </c>
      <c r="B198" t="s">
        <v>637</v>
      </c>
    </row>
    <row r="199" spans="1:2">
      <c r="A199" t="s">
        <v>638</v>
      </c>
      <c r="B199" t="s">
        <v>639</v>
      </c>
    </row>
    <row r="200" spans="1:2">
      <c r="A200" t="s">
        <v>640</v>
      </c>
      <c r="B200" t="s">
        <v>641</v>
      </c>
    </row>
    <row r="201" spans="1:2">
      <c r="A201" t="s">
        <v>642</v>
      </c>
      <c r="B201" t="s">
        <v>297</v>
      </c>
    </row>
    <row r="202" spans="1:2">
      <c r="A202" t="s">
        <v>643</v>
      </c>
      <c r="B202" t="s">
        <v>644</v>
      </c>
    </row>
    <row r="203" spans="1:2">
      <c r="A203" t="s">
        <v>645</v>
      </c>
      <c r="B203" t="s">
        <v>646</v>
      </c>
    </row>
    <row r="204" spans="1:2">
      <c r="A204" t="s">
        <v>647</v>
      </c>
      <c r="B204" t="s">
        <v>648</v>
      </c>
    </row>
    <row r="205" spans="1:2">
      <c r="A205" t="s">
        <v>649</v>
      </c>
      <c r="B205" t="s">
        <v>650</v>
      </c>
    </row>
    <row r="206" spans="1:2">
      <c r="A206" t="s">
        <v>651</v>
      </c>
      <c r="B206" t="s">
        <v>652</v>
      </c>
    </row>
    <row r="207" spans="1:2">
      <c r="A207" t="s">
        <v>653</v>
      </c>
      <c r="B207" t="s">
        <v>652</v>
      </c>
    </row>
    <row r="208" spans="1:2">
      <c r="A208" t="s">
        <v>654</v>
      </c>
      <c r="B208" t="s">
        <v>655</v>
      </c>
    </row>
    <row r="209" spans="1:2">
      <c r="A209" t="s">
        <v>656</v>
      </c>
      <c r="B209" t="s">
        <v>657</v>
      </c>
    </row>
    <row r="210" spans="1:2">
      <c r="A210" t="s">
        <v>658</v>
      </c>
      <c r="B210" t="s">
        <v>659</v>
      </c>
    </row>
    <row r="211" spans="1:2">
      <c r="A211" t="s">
        <v>660</v>
      </c>
      <c r="B211" t="s">
        <v>661</v>
      </c>
    </row>
    <row r="212" spans="1:2">
      <c r="A212" t="s">
        <v>662</v>
      </c>
      <c r="B212" t="s">
        <v>663</v>
      </c>
    </row>
    <row r="213" spans="1:2">
      <c r="A213" t="s">
        <v>664</v>
      </c>
      <c r="B213" t="s">
        <v>665</v>
      </c>
    </row>
    <row r="214" spans="1:2">
      <c r="A214" t="s">
        <v>666</v>
      </c>
      <c r="B214" t="s">
        <v>667</v>
      </c>
    </row>
    <row r="215" spans="1:2">
      <c r="A215" t="s">
        <v>668</v>
      </c>
      <c r="B215" t="s">
        <v>669</v>
      </c>
    </row>
    <row r="216" spans="1:2">
      <c r="A216" t="s">
        <v>670</v>
      </c>
      <c r="B216" t="s">
        <v>671</v>
      </c>
    </row>
    <row r="217" spans="1:2">
      <c r="A217" t="s">
        <v>672</v>
      </c>
      <c r="B217" t="s">
        <v>673</v>
      </c>
    </row>
    <row r="218" spans="1:2">
      <c r="A218" t="s">
        <v>674</v>
      </c>
      <c r="B218" t="s">
        <v>675</v>
      </c>
    </row>
    <row r="219" spans="1:2">
      <c r="A219" t="s">
        <v>676</v>
      </c>
      <c r="B219" t="s">
        <v>677</v>
      </c>
    </row>
    <row r="220" spans="1:2">
      <c r="A220" t="s">
        <v>678</v>
      </c>
      <c r="B220" t="s">
        <v>679</v>
      </c>
    </row>
    <row r="221" spans="1:2">
      <c r="A221" t="s">
        <v>680</v>
      </c>
      <c r="B221" t="s">
        <v>681</v>
      </c>
    </row>
    <row r="222" spans="1:2">
      <c r="A222" t="s">
        <v>682</v>
      </c>
      <c r="B222" t="s">
        <v>683</v>
      </c>
    </row>
    <row r="223" spans="1:2">
      <c r="A223" t="s">
        <v>684</v>
      </c>
      <c r="B223" t="s">
        <v>685</v>
      </c>
    </row>
    <row r="224" spans="1:2">
      <c r="A224" t="s">
        <v>686</v>
      </c>
      <c r="B224" t="s">
        <v>687</v>
      </c>
    </row>
    <row r="225" spans="1:2">
      <c r="A225" t="s">
        <v>688</v>
      </c>
      <c r="B225" t="s">
        <v>689</v>
      </c>
    </row>
    <row r="226" spans="1:2">
      <c r="A226" t="s">
        <v>690</v>
      </c>
      <c r="B226" t="s">
        <v>691</v>
      </c>
    </row>
    <row r="227" spans="1:2">
      <c r="A227" t="s">
        <v>692</v>
      </c>
      <c r="B227" t="s">
        <v>693</v>
      </c>
    </row>
    <row r="228" spans="1:2">
      <c r="A228" t="s">
        <v>694</v>
      </c>
      <c r="B228" t="s">
        <v>695</v>
      </c>
    </row>
    <row r="229" spans="1:2">
      <c r="A229" t="s">
        <v>696</v>
      </c>
      <c r="B229" t="s">
        <v>697</v>
      </c>
    </row>
    <row r="230" spans="1:2">
      <c r="A230" t="s">
        <v>698</v>
      </c>
      <c r="B230" t="s">
        <v>699</v>
      </c>
    </row>
    <row r="231" spans="1:2">
      <c r="A231" t="s">
        <v>700</v>
      </c>
      <c r="B231" t="s">
        <v>701</v>
      </c>
    </row>
    <row r="232" spans="1:2">
      <c r="A232" t="s">
        <v>702</v>
      </c>
      <c r="B232" t="s">
        <v>703</v>
      </c>
    </row>
    <row r="233" spans="1:2">
      <c r="A233" t="s">
        <v>704</v>
      </c>
      <c r="B233" t="s">
        <v>705</v>
      </c>
    </row>
    <row r="234" spans="1:2">
      <c r="A234" t="s">
        <v>706</v>
      </c>
      <c r="B234" t="s">
        <v>707</v>
      </c>
    </row>
    <row r="235" spans="1:2">
      <c r="A235" t="s">
        <v>708</v>
      </c>
      <c r="B235" t="s">
        <v>709</v>
      </c>
    </row>
    <row r="236" spans="1:2">
      <c r="A236" t="s">
        <v>710</v>
      </c>
      <c r="B236" t="s">
        <v>711</v>
      </c>
    </row>
    <row r="237" spans="1:2">
      <c r="A237" t="s">
        <v>712</v>
      </c>
      <c r="B237" t="s">
        <v>713</v>
      </c>
    </row>
    <row r="238" spans="1:2">
      <c r="A238" t="s">
        <v>714</v>
      </c>
      <c r="B238" t="s">
        <v>715</v>
      </c>
    </row>
    <row r="239" spans="1:2">
      <c r="A239" t="s">
        <v>716</v>
      </c>
      <c r="B239" t="s">
        <v>717</v>
      </c>
    </row>
    <row r="240" spans="1:2">
      <c r="A240" t="s">
        <v>718</v>
      </c>
      <c r="B240" t="s">
        <v>719</v>
      </c>
    </row>
    <row r="241" spans="1:2">
      <c r="A241" t="s">
        <v>720</v>
      </c>
      <c r="B241" t="s">
        <v>721</v>
      </c>
    </row>
    <row r="242" spans="1:2">
      <c r="A242" t="s">
        <v>722</v>
      </c>
      <c r="B242" t="s">
        <v>723</v>
      </c>
    </row>
    <row r="243" spans="1:2">
      <c r="A243" t="s">
        <v>724</v>
      </c>
      <c r="B243" t="s">
        <v>725</v>
      </c>
    </row>
    <row r="244" spans="1:2">
      <c r="A244" t="s">
        <v>726</v>
      </c>
      <c r="B244" t="s">
        <v>727</v>
      </c>
    </row>
    <row r="245" spans="1:2">
      <c r="A245" t="s">
        <v>728</v>
      </c>
      <c r="B245" t="s">
        <v>729</v>
      </c>
    </row>
    <row r="246" spans="1:2">
      <c r="A246" t="s">
        <v>730</v>
      </c>
      <c r="B246" t="s">
        <v>731</v>
      </c>
    </row>
    <row r="247" spans="1:2">
      <c r="A247" t="s">
        <v>732</v>
      </c>
      <c r="B247" t="s">
        <v>733</v>
      </c>
    </row>
    <row r="248" spans="1:2">
      <c r="A248" t="s">
        <v>734</v>
      </c>
      <c r="B248" t="s">
        <v>735</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2015-08-19T22:25:55Z</dcterms:modified>
</cp:coreProperties>
</file>