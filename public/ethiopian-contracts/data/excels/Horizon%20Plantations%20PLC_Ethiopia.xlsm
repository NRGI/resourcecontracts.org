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3100" yWindow="-20280" windowWidth="25040" windowHeight="1550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6" i="2"/>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<sst xmlns="http://schemas.openxmlformats.org/spreadsheetml/2006/main" count="997" uniqueCount="916">
  <si>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</si>
  <si>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</si>
  <si>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</si>
  <si>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</si>
  <si>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</si>
  <si>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</si>
  <si>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</si>
  <si>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</si>
  <si>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</si>
  <si>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</si>
  <si>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</si>
  <si>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</si>
  <si>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</si>
  <si>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</si>
  <si>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</si>
  <si>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</si>
  <si>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</si>
  <si>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</si>
  <si>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</si>
  <si>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</si>
  <si>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</si>
  <si>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</si>
  <si>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</si>
  <si>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</si>
  <si>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</si>
  <si>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</si>
  <si>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</si>
  <si>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</si>
  <si>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</si>
  <si>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</si>
  <si>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</si>
  <si>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</si>
  <si>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</si>
  <si>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</si>
  <si>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</si>
  <si>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</si>
  <si>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</si>
  <si>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</si>
  <si>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</si>
  <si>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</si>
  <si>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</si>
  <si>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</si>
  <si>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</si>
  <si>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</si>
  <si>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</si>
  <si>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</si>
  <si>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</si>
  <si>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</si>
  <si>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</si>
  <si>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</si>
  <si>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</si>
  <si>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</si>
  <si>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</si>
  <si>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</si>
  <si>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</si>
  <si>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</si>
  <si>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</si>
  <si>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</si>
  <si>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</si>
  <si>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</si>
  <si>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</si>
  <si>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</si>
  <si>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</si>
  <si>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</si>
  <si>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</si>
  <si>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</si>
  <si>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</si>
  <si>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</si>
  <si>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</si>
  <si>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</si>
  <si>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</si>
  <si>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</si>
  <si>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</si>
  <si>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</si>
  <si>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</si>
  <si>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</si>
  <si>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</si>
  <si>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</si>
  <si>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</si>
  <si>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</si>
  <si>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</si>
  <si>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</si>
  <si>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</si>
  <si>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</si>
  <si>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</si>
  <si>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</si>
  <si>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</si>
  <si>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</si>
  <si>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</si>
  <si>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</si>
  <si>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</si>
  <si>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</si>
  <si>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</si>
  <si>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</si>
  <si>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</si>
  <si>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</si>
  <si>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</si>
  <si>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</si>
  <si>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</si>
  <si>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</si>
  <si>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</si>
  <si>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</si>
  <si>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</si>
  <si>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</si>
  <si>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</si>
  <si>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</si>
  <si>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</si>
  <si>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</si>
  <si>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</si>
  <si>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</si>
  <si>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</si>
  <si>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</si>
  <si>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</si>
  <si>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</si>
  <si>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</si>
  <si>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</si>
  <si>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</si>
  <si>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</si>
  <si>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</si>
  <si>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</si>
  <si>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</si>
  <si>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</si>
  <si>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</si>
  <si>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</si>
  <si>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</si>
  <si>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</si>
  <si>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</si>
  <si>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</si>
  <si>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</si>
  <si>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</si>
  <si>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</si>
  <si>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</si>
  <si>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</si>
  <si>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</si>
  <si>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</si>
  <si>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</si>
  <si>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</si>
  <si>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</si>
  <si>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</si>
  <si>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</si>
  <si>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</si>
  <si>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</si>
  <si>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</si>
  <si>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</si>
  <si>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</si>
  <si>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</si>
  <si>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</si>
  <si>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</si>
  <si>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</si>
  <si>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</si>
  <si>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</si>
  <si>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</si>
  <si>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</si>
  <si>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</si>
  <si>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</si>
  <si>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</si>
  <si>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</si>
  <si>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</si>
  <si>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</si>
  <si>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</si>
  <si>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</si>
  <si>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</si>
  <si>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</si>
  <si>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</si>
  <si>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</si>
  <si>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</si>
  <si>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</si>
  <si>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</si>
  <si>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</si>
  <si>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</si>
  <si>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</si>
  <si>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</si>
  <si>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</si>
  <si>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</si>
  <si>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</si>
  <si>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</si>
  <si>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</si>
  <si>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</si>
  <si>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</si>
  <si>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</si>
  <si>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</si>
  <si>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</si>
  <si>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</si>
  <si>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</si>
  <si>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</si>
  <si>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</si>
  <si>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</si>
  <si>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</si>
  <si>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</si>
  <si>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</si>
  <si>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</si>
  <si>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</si>
  <si>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</si>
  <si>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</si>
  <si>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</si>
  <si>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</si>
  <si>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</si>
  <si>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</si>
  <si>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</si>
  <si>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</si>
  <si>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</si>
  <si>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</si>
  <si>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</si>
  <si>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</si>
  <si>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</si>
  <si>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</si>
  <si>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</si>
  <si>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</si>
  <si>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</si>
  <si>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</si>
  <si>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</si>
  <si>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</si>
  <si>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</si>
  <si>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</si>
  <si>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</si>
  <si>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</si>
  <si>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</si>
  <si>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</si>
  <si>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</si>
  <si>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</si>
  <si>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</si>
  <si>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</si>
  <si>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</si>
  <si>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</si>
  <si>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</si>
  <si>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</si>
  <si>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</si>
  <si>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Obligations liées a l'approvisionnement en biens et services locaux</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</si>
  <si>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</si>
  <si>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</si>
  <si>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</si>
  <si>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</si>
  <si>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</si>
  <si>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</si>
  <si>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</si>
  <si>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</si>
  <si>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</si>
  <si>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</si>
  <si>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</si>
  <si>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</si>
  <si>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</si>
  <si>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</si>
  <si>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</si>
  <si>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</si>
  <si>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</si>
  <si>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</si>
  <si>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</si>
  <si>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</si>
  <si>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</si>
  <si>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</si>
  <si>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</si>
  <si>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</si>
  <si>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</si>
  <si>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</si>
  <si>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</si>
  <si>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</si>
  <si>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</si>
  <si>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</si>
  <si>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</si>
  <si>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</si>
  <si>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</si>
  <si>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</si>
  <si>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</si>
  <si>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</si>
  <si>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</si>
  <si>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</si>
  <si>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</si>
  <si>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</si>
  <si>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</si>
  <si>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</si>
  <si>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</si>
  <si>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</si>
  <si>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</si>
  <si>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</si>
  <si>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</si>
  <si>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</si>
  <si>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</si>
  <si>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</si>
  <si>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</si>
  <si>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</si>
  <si>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</si>
  <si>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</si>
  <si>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</si>
  <si>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</si>
  <si>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</si>
  <si>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</si>
  <si>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</si>
  <si>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</si>
  <si>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</si>
  <si>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</si>
  <si>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</si>
  <si>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</si>
  <si>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</si>
  <si>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</si>
  <si>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</si>
  <si>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</si>
  <si>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</si>
  <si>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</si>
  <si>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</si>
  <si>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</si>
  <si>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</si>
  <si>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</si>
  <si>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</si>
  <si>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</si>
  <si>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</si>
  <si>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</si>
  <si>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</si>
  <si>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</si>
  <si>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</si>
  <si>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</si>
  <si>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</si>
  <si>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</si>
  <si>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</si>
  <si>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</si>
  <si>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</si>
  <si>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</si>
  <si>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</si>
  <si>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</si>
  <si>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</si>
  <si>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</si>
  <si>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</si>
  <si>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</si>
  <si>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</si>
  <si>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</si>
  <si>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</si>
  <si>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</si>
  <si>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</si>
  <si>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</si>
  <si>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</si>
  <si>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</si>
  <si>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</si>
  <si>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</si>
  <si>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</si>
  <si>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</si>
  <si>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</si>
  <si>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</si>
  <si>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</si>
  <si>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</si>
  <si>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</si>
  <si>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</si>
  <si>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</si>
  <si>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</si>
  <si>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</si>
  <si>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</si>
  <si>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</si>
  <si>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</si>
  <si>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</si>
  <si>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</si>
  <si>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</si>
  <si>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</si>
  <si>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</si>
  <si>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</si>
  <si>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</si>
  <si>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</si>
  <si>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</si>
  <si>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</si>
  <si>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</si>
  <si>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</si>
  <si>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</si>
  <si>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</si>
  <si>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</si>
  <si>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</si>
  <si>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</si>
  <si>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</si>
  <si>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</si>
  <si>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</si>
  <si>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</si>
  <si>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</si>
  <si>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</si>
  <si>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</si>
  <si>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</si>
  <si>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</si>
  <si>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</si>
  <si>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</si>
  <si>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</si>
  <si>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</si>
  <si>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</si>
  <si>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</si>
  <si>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</si>
  <si>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</si>
  <si>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</si>
  <si>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</si>
  <si>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</si>
  <si>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</si>
  <si>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</si>
  <si>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</si>
  <si>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</si>
  <si>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</si>
  <si>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</si>
  <si>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</si>
  <si>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</si>
  <si>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</si>
  <si>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</si>
  <si>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</si>
  <si>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</si>
  <si>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</si>
  <si>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</si>
  <si>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</si>
  <si>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</si>
  <si>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</si>
  <si>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</si>
  <si>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</si>
  <si>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</si>
  <si>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</si>
  <si>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</si>
  <si>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</si>
  <si>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</si>
  <si>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</si>
  <si>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</si>
  <si>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</si>
  <si>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</si>
  <si>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</si>
  <si>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</si>
  <si>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</si>
  <si>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</si>
  <si>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</si>
  <si>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</si>
  <si>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</si>
  <si>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</si>
  <si>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</si>
  <si>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</si>
  <si>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</si>
  <si>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</si>
  <si>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</si>
  <si>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</si>
  <si>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</si>
  <si>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</si>
  <si>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</si>
  <si>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</si>
  <si>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</si>
  <si>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</si>
  <si>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</si>
  <si>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</si>
  <si>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</si>
  <si>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</si>
  <si>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</si>
  <si>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</si>
  <si>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</si>
  <si>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</si>
  <si>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</si>
  <si>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</si>
  <si>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</si>
  <si>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</si>
  <si>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</si>
  <si>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</si>
  <si>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</si>
  <si>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</si>
  <si>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</si>
  <si>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</si>
  <si>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</si>
  <si>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</si>
  <si>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</si>
  <si>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</si>
  <si>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</si>
  <si>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</si>
  <si>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</si>
  <si>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</si>
  <si>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</si>
  <si>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</si>
  <si>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</si>
  <si>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</si>
  <si>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</si>
  <si>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</si>
  <si>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</si>
  <si>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</si>
  <si>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</si>
  <si>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</si>
  <si>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</si>
  <si>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</si>
  <si>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</si>
  <si>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</si>
  <si>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</si>
  <si>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</si>
  <si>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</si>
  <si>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</si>
  <si>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</si>
  <si>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</si>
  <si>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</si>
  <si>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</si>
  <si>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</si>
  <si>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</si>
  <si>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</si>
  <si>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</si>
  <si>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</si>
  <si>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</si>
  <si>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</si>
  <si>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</si>
  <si>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</si>
  <si>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</si>
  <si>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</si>
  <si>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</si>
  <si>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</si>
  <si>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</si>
  <si>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</si>
  <si>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</si>
  <si>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</si>
  <si>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</si>
  <si>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</si>
  <si>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</si>
  <si>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</si>
  <si>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</si>
  <si>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</si>
  <si>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</si>
  <si>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</si>
  <si>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</si>
  <si>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</si>
  <si>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</si>
  <si>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</si>
  <si>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</si>
  <si>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</si>
  <si>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</si>
  <si>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</si>
  <si>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</si>
  <si>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</si>
  <si>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</si>
  <si>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</si>
  <si>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</si>
  <si>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</si>
  <si>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</si>
  <si>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</si>
  <si>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</si>
  <si>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</si>
  <si>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</si>
  <si>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</si>
  <si>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</si>
  <si>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</si>
  <si>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</si>
  <si>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</si>
  <si>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</si>
  <si>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</si>
  <si>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</si>
  <si>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</si>
  <si>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</si>
  <si>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</si>
  <si>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</si>
  <si>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</si>
  <si>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</si>
  <si>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</si>
  <si>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</si>
  <si>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</si>
  <si>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</si>
  <si>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</si>
  <si>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</si>
  <si>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</si>
  <si>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</si>
  <si>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</si>
  <si>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</si>
  <si>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</si>
  <si>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</si>
  <si>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</si>
  <si>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</si>
  <si>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</si>
  <si>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</si>
  <si>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</si>
  <si>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</si>
  <si>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</si>
  <si>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</si>
  <si>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</si>
  <si>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</si>
  <si>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</si>
  <si>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</si>
  <si>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</si>
  <si>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</si>
  <si>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</si>
  <si>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</si>
  <si>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</si>
  <si>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</si>
  <si>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</si>
  <si>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</si>
  <si>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</si>
  <si>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</si>
  <si>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</si>
  <si>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</si>
  <si>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</si>
  <si>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</si>
  <si>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</si>
  <si>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</si>
  <si>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</si>
  <si>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</si>
  <si>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</si>
  <si>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</si>
  <si>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</si>
  <si>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</si>
  <si>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</si>
  <si>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</si>
  <si>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</si>
  <si>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</si>
  <si>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</si>
  <si>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</si>
  <si>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</si>
  <si>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</si>
  <si>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</si>
  <si>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</si>
  <si>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</si>
  <si>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</si>
  <si>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</si>
  <si>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</si>
  <si>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</si>
  <si>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</si>
  <si>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</si>
  <si>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</si>
  <si>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</si>
  <si>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</si>
  <si>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</si>
  <si>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</si>
  <si>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</si>
  <si>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</si>
  <si>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</si>
  <si>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</si>
  <si>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</si>
  <si>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</si>
  <si>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</si>
  <si>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</si>
  <si>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</si>
  <si>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</si>
  <si>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</si>
  <si>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</si>
  <si>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</si>
  <si>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</si>
  <si>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</si>
  <si>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</si>
  <si>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</si>
  <si>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</si>
  <si>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</si>
  <si>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</si>
  <si>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</si>
  <si>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</si>
  <si>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</si>
  <si>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</si>
  <si>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</si>
  <si>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</si>
  <si>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</si>
  <si>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</si>
  <si>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</si>
  <si>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</si>
  <si>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</si>
  <si>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</si>
  <si>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</si>
  <si>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</si>
  <si>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</si>
  <si>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</si>
  <si>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</si>
  <si>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</si>
  <si>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</si>
  <si>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</si>
  <si>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</si>
  <si>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</si>
  <si>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</si>
  <si>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</si>
  <si>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</si>
  <si>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</si>
  <si>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</si>
  <si>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</si>
  <si>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</si>
  <si>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</si>
  <si>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</si>
  <si>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</si>
  <si>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</si>
  <si>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</si>
  <si>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</si>
  <si>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</si>
  <si>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</si>
  <si>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</si>
  <si>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</si>
  <si>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</si>
  <si>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</si>
  <si>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</si>
  <si>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</si>
  <si>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</si>
  <si>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</si>
  <si>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</si>
  <si>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</si>
  <si>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</si>
  <si>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</si>
  <si>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</si>
  <si>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</si>
  <si>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</si>
  <si>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</si>
  <si>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</si>
  <si>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</si>
  <si>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</si>
  <si>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</si>
  <si>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</si>
  <si>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</si>
  <si>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</si>
  <si>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</si>
  <si>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</si>
  <si>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</si>
  <si>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</si>
  <si>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</si>
  <si>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</si>
  <si>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</si>
  <si>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</si>
  <si>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</si>
  <si>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</si>
  <si>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</si>
  <si>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</si>
  <si>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</si>
  <si>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</si>
  <si>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</si>
  <si>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</si>
  <si>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</si>
  <si>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</si>
  <si>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</si>
  <si>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</si>
  <si>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</si>
  <si>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</si>
  <si>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</si>
  <si>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</si>
  <si>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</si>
  <si>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</si>
  <si>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</si>
  <si>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</si>
  <si>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</si>
  <si>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</si>
  <si>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</si>
  <si>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</si>
  <si>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</si>
  <si>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</si>
  <si>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</si>
  <si>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</si>
  <si>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</si>
  <si>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</si>
  <si>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</si>
  <si>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</si>
  <si>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</si>
  <si>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</si>
  <si>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</si>
  <si>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</si>
  <si>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</si>
  <si>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</si>
  <si>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</si>
  <si>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</si>
  <si>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</si>
  <si>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</si>
  <si>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</si>
  <si>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</si>
  <si>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</si>
  <si>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</si>
  <si>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</si>
  <si>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</si>
  <si>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</si>
  <si>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</si>
  <si>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</si>
  <si>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</si>
  <si>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</si>
  <si>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</si>
  <si>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</si>
  <si>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</si>
  <si>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</si>
  <si>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</si>
  <si>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</si>
  <si>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</si>
  <si>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</si>
  <si>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</si>
  <si>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</si>
  <si>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</si>
  <si>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</si>
  <si>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</si>
  <si>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</si>
  <si>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</si>
  <si>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</si>
  <si>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</si>
  <si>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</si>
  <si>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</si>
  <si>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</si>
  <si>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</si>
  <si>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</si>
  <si>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</si>
  <si>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</si>
  <si>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</si>
  <si>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</si>
  <si>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</si>
  <si>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</si>
  <si>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</si>
  <si>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</si>
  <si>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</si>
  <si>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</si>
  <si>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</si>
  <si>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</si>
  <si>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</si>
  <si>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</si>
  <si>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</si>
  <si>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</si>
  <si>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</si>
  <si>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</si>
  <si>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</si>
  <si>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</si>
  <si>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</si>
  <si>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</si>
  <si>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</si>
  <si>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</si>
  <si>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</si>
  <si>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</si>
  <si>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</si>
  <si>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</si>
  <si>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</si>
  <si>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</si>
  <si>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</si>
  <si>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</si>
  <si>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</si>
  <si>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</si>
  <si>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</si>
  <si>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</si>
  <si>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</si>
  <si>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</si>
  <si>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</si>
  <si>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</si>
  <si>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</si>
  <si>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</si>
  <si>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</si>
  <si>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</si>
  <si>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</si>
  <si>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</si>
  <si>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</si>
  <si>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</si>
  <si>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</si>
  <si>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</si>
  <si>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</si>
  <si>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</si>
  <si>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</si>
  <si>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</si>
  <si>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</si>
  <si>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</si>
  <si>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</si>
  <si>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</si>
  <si>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</si>
  <si>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</si>
  <si>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</si>
  <si>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</si>
  <si>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</si>
  <si>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Les metaux de base</t>
  </si>
  <si>
    <t>Preamble</t>
  </si>
  <si>
    <t>1 (top)</t>
  </si>
  <si>
    <t>Title</t>
  </si>
  <si>
    <t>Signature page</t>
  </si>
  <si>
    <t>25 years</t>
  </si>
  <si>
    <t>Arts. 2.1, 8</t>
  </si>
  <si>
    <t>Art. 1.1</t>
  </si>
  <si>
    <t>1 (bottom)</t>
  </si>
  <si>
    <t>The Ministry of Agriculture undertakes to provide special investment privileges such as exemptions from taxation and import duties of capital goods and repatriation of capital and profits granted under the investment laws of Ethiopia</t>
  </si>
  <si>
    <t>Art. 6.2</t>
  </si>
  <si>
    <t>Art. 4.1(d)</t>
  </si>
  <si>
    <t>3 (top)</t>
  </si>
  <si>
    <t>Art. 4.1</t>
  </si>
  <si>
    <t>Art. 4.4</t>
  </si>
  <si>
    <t>3 (middle)</t>
  </si>
  <si>
    <t>Art. 3.2</t>
  </si>
  <si>
    <t>Arts. 1.1, 3.5</t>
  </si>
  <si>
    <t>Arts. 2.2, 4.8</t>
  </si>
  <si>
    <t>The governing law for operations under the agreement shall be the laws of Ethiopia</t>
  </si>
  <si>
    <t>Art. 12</t>
  </si>
  <si>
    <t>Art. 17</t>
  </si>
  <si>
    <t>Arts. 4.12-4.14</t>
  </si>
  <si>
    <t>4 (middle)</t>
  </si>
  <si>
    <t>The site plan of the leased land and the environmental code of practice</t>
  </si>
  <si>
    <t>Art. 16</t>
  </si>
  <si>
    <t>Conditions of force majeure shall be governed by the Ethiopian Civil code</t>
  </si>
  <si>
    <t>Art. 13</t>
  </si>
  <si>
    <t>Arts. 4.7, 5.1</t>
  </si>
  <si>
    <t>Horizon Plantations PLC</t>
  </si>
  <si>
    <t>TEMPLATE OIL/GAS/MINING/LAND -  RESOURCECONTRACTS.ORG and OPENLANDCONTRACTS.ORG</t>
  </si>
  <si>
    <t>Details - value</t>
  </si>
  <si>
    <t xml:space="preserve">Location, longitude and latitude / Onshore vs Offshore (shallow vs. deep) </t>
  </si>
  <si>
    <t>Type of resources (mineral type, crude oil, gas, timber, etc.) OR specific crops planned (ex: food crops, oil palm, etc.)</t>
  </si>
  <si>
    <t>Programme de sous-traitance avec les petits planteurs (détails, des terres supplémentaires fournis, etc)</t>
  </si>
  <si>
    <t>Production Share - "Cost Oil" features (basis of calculation, limits on cost recovery - e.g. as % of revenue or production, capex uplift, etc.)</t>
  </si>
  <si>
    <t>Production Share - "Profit Oil" features (triggers for variations in split - IRR, "r" factor, production, etc.)</t>
  </si>
  <si>
    <t>Contrat de Service - Frais du détenteur du titre défrayés (base de calcul)</t>
  </si>
  <si>
    <t xml:space="preserve">Fixed fee for grant and renewal of license </t>
  </si>
  <si>
    <t>Horizon Plantations bears an obligation to conduct environmental impact assessment and deliver the report within 3 months of execution of the agreement</t>
  </si>
  <si>
    <t>Horizon Plantations shall provide correct data and investment activity reports upon request by the Ministry of Agriculture. The Ministry of Agriculture has the right to monitor and establish whether Horizon Plantations is discharging and accomplishing its obligations diligently.</t>
  </si>
  <si>
    <t>Pages missing from copy</t>
  </si>
  <si>
    <t xml:space="preserve">Benshangul Gumuz Regional State, Metekel Zone, Guba District Aychichiniya Abultu kebele </t>
  </si>
  <si>
    <t>10 (middle)</t>
  </si>
  <si>
    <t>2 (top)10 (top)</t>
  </si>
  <si>
    <t>Arts. 2.1, 19</t>
  </si>
  <si>
    <t>2 (top),7 (top)</t>
  </si>
  <si>
    <t xml:space="preserve">Ground nut farming </t>
  </si>
  <si>
    <t>1 (bottom), 3 (middle)</t>
  </si>
  <si>
    <t>6 (top)</t>
  </si>
  <si>
    <t>2 (middle), 4 (middle)</t>
  </si>
  <si>
    <t xml:space="preserve">Horizon Plantations has to execute all development activities as per the agreed business plan. In case of any change or deviation from the business plan, it has to be reported with justification to the Ministry of Agriculture. </t>
  </si>
  <si>
    <t>4 (top)</t>
  </si>
  <si>
    <t>Art. 4.6</t>
  </si>
  <si>
    <t>8 (bottom)</t>
  </si>
  <si>
    <t>9 (bottom)</t>
  </si>
  <si>
    <t>4 (bottom)</t>
  </si>
  <si>
    <t>4 (middle), 5 (middle)</t>
  </si>
  <si>
    <t>9 (top)</t>
  </si>
  <si>
    <t>9 (middle)</t>
  </si>
  <si>
    <t>Government signature undated, agreement says 9/1/2012 in the preamble, but Horizon signature is dated 6/1/2012</t>
  </si>
  <si>
    <t>H.no 1250 Kebele 01, Addis Ketema Sub city, Addis Ababa, Ethiopia</t>
  </si>
  <si>
    <t xml:space="preserve">The Government shall ensure that during the period of the lease, Horizon Plantations shall enjoy peaceful and trouble-free possession of the premises and be provided with adequate security, on its request and free of cost, for carrying out its activities in that premises, against any riot, disturbance or any other turbulent time, other than force majeure. The Government shall protect the right of Horizon Plantations to the peaceful possession, use and quiet enjoyment of the leased area. </t>
  </si>
  <si>
    <t>Arts. 6.6, 14</t>
  </si>
  <si>
    <t>6 (middle), 9 (middle)</t>
  </si>
  <si>
    <t>Arts. 2.2.4, 4.2-4.5, 4.10</t>
  </si>
  <si>
    <t>2 (bottom), 3 (bottom), 4 (bottom)</t>
  </si>
  <si>
    <t>20,000 hectares. Horizon Plantations has the right to get additional land based on its performance, accomplishment and need</t>
  </si>
  <si>
    <t>3 (middle), 5 (bottom), 6 (middle), 7 (middle), 5 (middle), 6 (middle)</t>
  </si>
  <si>
    <t>Ethiopia, Horizon Plantations PLC, Land Rent Contractual Agreement, Ground Nut, Benshangul Gumuz, 9 January 2012</t>
  </si>
  <si>
    <t>Tefera Derbew, Minister of Agriculture</t>
  </si>
  <si>
    <t>Jemal Ahmed, General Manager, Horizon Plantations PLC</t>
  </si>
  <si>
    <t xml:space="preserve">The agreement can be renewed for another additional years mutually agreed between the parties. The agreement shall be renewed on the same terms and conditions. If any of the parties wish to renew the agreement, it shall inform the other party at least 6 months before the expiration of the contract period. </t>
  </si>
  <si>
    <t>There shall be a 3-year grace period for the land rent. The rent during this period will be prorated over the remaining years annually, commencing from the date of execution of the agreement. After 3 years, the annual lease rate per hectare for use of agricultural investment shall be birr 158 per hectare (making a total of birr 3,160,000 for all hectares). The total amount payment of contract shall be birr 79,000,000. There shall be 1 year down payment for the concession land. The Ministry of Agriculture reserves the right to revise the lease payment rate as the need may arise. Once the annual land lease rent becomes payable upon completion of the grace period, Horizon Plantations has the obligation to settle the current annual land rent, including the prorated amount of the grace period, to the regions where the land is located during the months December up to June every year as per predetermined lease rate for rural lands.</t>
  </si>
  <si>
    <t>Horizon Plantations shall bear the obligation to provide good care and conservation of the leased land, with particular obligations to: (a) conserve tree plantations that have not been cleared for earth works, (b) apply appropriate working methods to prevent soil erosion in "slopping" areas, and (c) observe and implement all legislation providing for natural resource conservation</t>
  </si>
  <si>
    <t>Horizon Plantations should take over the leased land within 30 days of execution of the agreement by making the down payment of 1 year's rent. Horizon Plantations is expected to start developing the land within 6 months of the date of execution of the agreement, or from the date that it receives final clearance from the Government, whichever is later. Horizon Plantations has to execute all development activities as per the agreed business plan. It shall develop 1/4 of the leased land within the first year from the date of signing of the agreement or from the date of receipt of all clearances from the Government, whichever is later. It shall develop the entire plot of leased land within 4 years. Horizon Plantations shall not make any unauthorized use of the leased land beyond the predetermined purpose, objective or plan as permitted under the agreement without express consent of the Ministry of Agriculture in writing.</t>
  </si>
  <si>
    <t>Horizon Plantations has the right to build infrastructure, such as dams, water boreholes, power houses, irrigation system, roads, bridges, offices, residential buildings, fuel/power supply stations/outlets, health/hospitals/dispensaries, education facilities, at its discretion upon consultation and submission of a permit request with concerned offices, subject to the type and size of the investment project whenever it deems so appropriate</t>
  </si>
  <si>
    <t>Upon expiry or termination of the agreement or revocation of the investment license, Horizon Plantations shall remove assets installed on the leased land in good order and hand over the leased land to the Ministry of Agriculture within 1 year</t>
  </si>
  <si>
    <t xml:space="preserve">If a dispute arises between the Ministry of Agriculture and Horizon Plantations that is out of or in connection with this agreement, both parties will do their utmost to resolve the dispute amicably and to their mutual satisfaction. If they are unable to achieve such a settlement, the dispute shall be referred to the Ethiopian Federal Court. </t>
  </si>
  <si>
    <t>Ministry of Agriculture of the Federal Democratic Republic of Ethiopia</t>
  </si>
  <si>
    <t xml:space="preserve">Horizon Plantations has no right to transfer the land or properties developed on the land in favor of any other company or individual unless 75% of the leased land is developed. Upon developing 75% of the land, Horizon Plantations can transfer the land or properties developed on the land in favor of any other company or individual only with the prior permit of the Ministry of Agriculture. Horizon Plantations shall not have the right to transfer the remaining land which is not developed. </t>
  </si>
  <si>
    <t>Arts. 3.6, 5.4, 6.5, 9, 5.2</t>
  </si>
  <si>
    <t>Horizon Plantations has the right to terminate the land lease agreement subject to at least 6 months' prior written notice upon justified good cause. The Government has the right to terminate the land lease agreement subject to at least 6 months' prior written notice (i) for better public benefit, (ii) on the grounds of failure to develop the land within the time limits in accordance the contract obligation, (iii) on the grounds of any damage on the natural resources, or (iv) on the grounds of non-performance of due payment of lease charge. In the case of (ii), (iii) and (iv) above, if Horizon Plantations does not address such issue, the Government may extend the time period for such compliance or terminate the agreement. The land lease agreement may be terminated for a number of reasons, including upon (9.3) failure of the Government to fulfill or observe any of its obligations or covenants in the lease after Horizon Plantations has given written notice of 6 months and the Government fails to perform, (9.4) failure of Horizon Plantations to settle annual rental and other relevant tax payments for 2 consecutive years, (9.5) failure of Horizon Plantations to perform its obligations in the lease after the Government has given a 6 months' written notice calling upon them to observe and perform such obligations. The Government has the right to restore any land which is not developed with 6 months' advance notice and after Horizon Plantations has not cured the failure within 1 year.</t>
  </si>
  <si>
    <t>Dividing the leased land among shareholders to develop in an independent way or subleasing to any party is strictly forbidden and shall result in the termination of the agreement</t>
  </si>
  <si>
    <t>Art. 4.11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</si>
</sst>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1"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79">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4">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3"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14"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3" fillId="13" borderId="0" xfId="0" applyFont="1" applyFill="1" applyAlignment="1">
      <alignment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16" fillId="6" borderId="5" xfId="0" applyFont="1" applyFill="1" applyBorder="1" applyAlignment="1">
      <alignment wrapText="1"/>
    </xf>
    <xf numFmtId="0" fontId="16" fillId="0" borderId="5" xfId="0" applyFont="1" applyFill="1" applyBorder="1"/>
    <xf numFmtId="0" fontId="5" fillId="0" borderId="0" xfId="0" applyFont="1" applyFill="1" applyBorder="1" applyAlignment="1">
      <alignment wrapText="1"/>
    </xf>
    <xf numFmtId="0" fontId="16" fillId="2" borderId="5" xfId="0" applyFont="1" applyFill="1" applyBorder="1" applyAlignment="1">
      <alignment wrapText="1"/>
    </xf>
    <xf numFmtId="164" fontId="2" fillId="4" borderId="9" xfId="0" applyNumberFormat="1" applyFont="1" applyFill="1" applyBorder="1" applyAlignment="1">
      <alignment wrapText="1"/>
    </xf>
    <xf numFmtId="0" fontId="20"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xf numFmtId="164" fontId="0" fillId="4" borderId="9" xfId="0" applyNumberFormat="1" applyFont="1" applyFill="1" applyBorder="1" applyAlignment="1">
      <alignment wrapText="1"/>
    </xf>
  </cellXfs>
  <cellStyles count="27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opLeftCell="A34" workbookViewId="0">
      <selection activeCell="C47" sqref="C47"/>
    </sheetView>
  </sheetViews>
  <sheetFormatPr baseColWidth="10" defaultColWidth="8.5" defaultRowHeight="15" x14ac:dyDescent="0"/>
  <cols>
    <col min="1" max="2" width="52.5" style="1" customWidth="1"/>
    <col min="3" max="3" width="71" style="1" customWidth="1"/>
    <col min="4" max="4" width="13.5" style="1" customWidth="1"/>
    <col min="6" max="6" width="19.83203125" customWidth="1"/>
    <col min="7" max="7" width="31" style="47" customWidth="1"/>
    <col min="8" max="8" width="17.33203125" style="48" customWidth="1"/>
  </cols>
  <sheetData>
    <row r="2" spans="1:8" ht="30" customHeight="1"/>
    <row r="10" spans="1:8" ht="28" customHeight="1">
      <c r="A10" s="219" t="s">
        <v>861</v>
      </c>
      <c r="B10" s="219"/>
      <c r="C10" s="218"/>
    </row>
    <row r="12" spans="1:8" ht="25">
      <c r="C12" s="230">
        <v>42125</v>
      </c>
      <c r="D12" s="231"/>
    </row>
    <row r="16" spans="1:8" ht="30" customHeight="1">
      <c r="B16" s="227" t="s">
        <v>900</v>
      </c>
      <c r="C16" s="227"/>
      <c r="G16" s="228" t="s">
        <v>0</v>
      </c>
      <c r="H16" s="229"/>
    </row>
    <row r="17" spans="1:8" ht="30">
      <c r="A17" s="2" t="s">
        <v>1</v>
      </c>
      <c r="B17" s="2" t="s">
        <v>2</v>
      </c>
      <c r="C17" s="209" t="s">
        <v>862</v>
      </c>
      <c r="D17" s="3" t="s">
        <v>3</v>
      </c>
      <c r="E17" s="209" t="s">
        <v>236</v>
      </c>
      <c r="F17" s="2" t="s">
        <v>4</v>
      </c>
      <c r="G17" s="4" t="s">
        <v>5</v>
      </c>
      <c r="H17" s="5" t="s">
        <v>6</v>
      </c>
    </row>
    <row r="18" spans="1:8" ht="30">
      <c r="A18" s="6" t="s">
        <v>7</v>
      </c>
      <c r="B18" s="7" t="s">
        <v>8</v>
      </c>
      <c r="C18" s="163"/>
      <c r="D18" s="154"/>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64" t="s">
        <v>375</v>
      </c>
      <c r="D19" s="71" t="s">
        <v>832</v>
      </c>
      <c r="E19" s="71" t="s">
        <v>833</v>
      </c>
      <c r="F19" s="68"/>
      <c r="G19" s="69" t="str">
        <f>IF(OR(Table1[[#This Row],[English]]&lt;&gt;"",Table1[[#This Row],[Français]]&lt;&gt;""),Table1[[#This Row],[Français]]&amp;"//"&amp;Table1[[#This Row],[English]],"")</f>
        <v>Pays//Country</v>
      </c>
      <c r="H19" s="70" t="str">
        <f t="shared" si="0"/>
        <v>Ethiopia--Preamble</v>
      </c>
    </row>
    <row r="20" spans="1:8" ht="133.5" customHeight="1">
      <c r="A20" s="67" t="s">
        <v>11</v>
      </c>
      <c r="B20" s="71" t="s">
        <v>12</v>
      </c>
      <c r="C20" s="164" t="s">
        <v>860</v>
      </c>
      <c r="D20" s="71" t="s">
        <v>832</v>
      </c>
      <c r="E20" s="71" t="s">
        <v>833</v>
      </c>
      <c r="F20" s="222"/>
      <c r="G20" s="69" t="str">
        <f>IF(OR(Table1[[#This Row],[English]]&lt;&gt;"",Table1[[#This Row],[Français]]&lt;&gt;""),Table1[[#This Row],[Français]]&amp;"//"&amp;Table1[[#This Row],[English]],"")</f>
        <v>Nom de la société locale//Local company name</v>
      </c>
      <c r="H20" s="70" t="str">
        <f t="shared" si="0"/>
        <v>Horizon Plantations PLC--Preamble</v>
      </c>
    </row>
    <row r="21" spans="1:8">
      <c r="A21" s="71" t="s">
        <v>234</v>
      </c>
      <c r="B21" s="71" t="s">
        <v>235</v>
      </c>
      <c r="C21" s="164"/>
      <c r="D21" s="71"/>
      <c r="E21" s="71"/>
      <c r="F21" s="206"/>
      <c r="G21" s="16" t="str">
        <f>IF(OR(Table1[[#This Row],[English]]&lt;&gt;"",Table1[[#This Row],[Français]]&lt;&gt;""),Table1[[#This Row],[Français]]&amp;"//"&amp;Table1[[#This Row],[English]],"")</f>
        <v>Numéro d'entreprise légal//Legal Enterprise Identifier</v>
      </c>
      <c r="H21" s="207" t="str">
        <f>IF(C21&lt;&gt;"",IF(D21&lt;&gt;"",C21&amp;"--"&amp;D21,C21),"")</f>
        <v/>
      </c>
    </row>
    <row r="22" spans="1:8" ht="75">
      <c r="A22" s="10" t="s">
        <v>13</v>
      </c>
      <c r="B22" s="10" t="s">
        <v>14</v>
      </c>
      <c r="C22" s="165" t="s">
        <v>892</v>
      </c>
      <c r="D22" s="10" t="s">
        <v>832</v>
      </c>
      <c r="E22" s="10" t="s">
        <v>833</v>
      </c>
      <c r="F22" s="225"/>
      <c r="G22" s="12" t="str">
        <f>IF(OR(Table1[[#This Row],[English]]&lt;&gt;"",Table1[[#This Row],[Français]]&lt;&gt;""),Table1[[#This Row],[Français]]&amp;"//"&amp;Table1[[#This Row],[English]],"")</f>
        <v xml:space="preserve">Siège social //Corporate headquarters </v>
      </c>
      <c r="H22" s="13" t="str">
        <f t="shared" si="0"/>
        <v>H.no 1250 Kebele 01, Addis Ketema Sub city, Addis Ababa, Ethiopia--Preamble</v>
      </c>
    </row>
    <row r="23" spans="1:8">
      <c r="A23" s="10" t="s">
        <v>15</v>
      </c>
      <c r="B23" s="10" t="s">
        <v>16</v>
      </c>
      <c r="C23" s="165"/>
      <c r="D23" s="10"/>
      <c r="E23" s="10"/>
      <c r="F23" s="223"/>
      <c r="G23" s="12" t="str">
        <f>IF(OR(Table1[[#This Row],[English]]&lt;&gt;"",Table1[[#This Row],[Français]]&lt;&gt;""),Table1[[#This Row],[Français]]&amp;"//"&amp;Table1[[#This Row],[English]],"")</f>
        <v>Structure du Capital//Company structure</v>
      </c>
      <c r="H23" s="13" t="str">
        <f t="shared" si="0"/>
        <v/>
      </c>
    </row>
    <row r="24" spans="1:8" ht="47.25" customHeight="1">
      <c r="A24" s="67" t="s">
        <v>17</v>
      </c>
      <c r="B24" s="71" t="s">
        <v>189</v>
      </c>
      <c r="C24" s="164"/>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234</v>
      </c>
      <c r="B25" s="71" t="s">
        <v>235</v>
      </c>
      <c r="C25" s="164"/>
      <c r="D25" s="71"/>
      <c r="E25" s="71"/>
      <c r="F25" s="206"/>
      <c r="G25" s="16" t="str">
        <f>IF(OR(Table1[[#This Row],[English]]&lt;&gt;"",Table1[[#This Row],[Français]]&lt;&gt;""),Table1[[#This Row],[Français]]&amp;"//"&amp;Table1[[#This Row],[English]],"")</f>
        <v>Numéro d'entreprise légal//Legal Enterprise Identifier</v>
      </c>
      <c r="H25" s="207" t="str">
        <f>IF(C25&lt;&gt;"",IF(D25&lt;&gt;"",C25&amp;"--"&amp;D25,C25),"")</f>
        <v/>
      </c>
    </row>
    <row r="26" spans="1:8">
      <c r="A26" s="67" t="s">
        <v>18</v>
      </c>
      <c r="B26" s="67" t="s">
        <v>19</v>
      </c>
      <c r="C26" s="166"/>
      <c r="D26" s="155"/>
      <c r="E26" s="155"/>
      <c r="F26" s="68"/>
      <c r="G26" s="69" t="str">
        <f>IF(OR(Table1[[#This Row],[English]]&lt;&gt;"",Table1[[#This Row],[Français]]&lt;&gt;""),Table1[[#This Row],[Français]]&amp;"//"&amp;Table1[[#This Row],[English]],"")</f>
        <v>Site web de l’entreprise//Company website</v>
      </c>
      <c r="H26" s="70" t="str">
        <f t="shared" si="0"/>
        <v/>
      </c>
    </row>
    <row r="27" spans="1:8" ht="30">
      <c r="A27" s="71" t="s">
        <v>200</v>
      </c>
      <c r="B27" s="72" t="s">
        <v>20</v>
      </c>
      <c r="C27" s="164" t="s">
        <v>737</v>
      </c>
      <c r="D27" s="71" t="s">
        <v>834</v>
      </c>
      <c r="E27" s="71" t="s">
        <v>833</v>
      </c>
      <c r="F27" s="6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Lease--Title</v>
      </c>
    </row>
    <row r="28" spans="1:8">
      <c r="A28" s="67" t="s">
        <v>21</v>
      </c>
      <c r="B28" s="67" t="s">
        <v>22</v>
      </c>
      <c r="C28" s="166"/>
      <c r="D28" s="155"/>
      <c r="E28" s="155"/>
      <c r="F28" s="68"/>
      <c r="G28" s="69" t="str">
        <f>IF(OR(Table1[[#This Row],[English]]&lt;&gt;"",Table1[[#This Row],[Français]]&lt;&gt;""),Table1[[#This Row],[Français]]&amp;"//"&amp;Table1[[#This Row],[English]],"")</f>
        <v>Nom du projet//Project title</v>
      </c>
      <c r="H28" s="70" t="str">
        <f t="shared" si="0"/>
        <v/>
      </c>
    </row>
    <row r="29" spans="1:8">
      <c r="A29" s="71" t="s">
        <v>197</v>
      </c>
      <c r="B29" s="72" t="s">
        <v>23</v>
      </c>
      <c r="C29" s="164"/>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55" customHeight="1">
      <c r="A30" s="76" t="s">
        <v>201</v>
      </c>
      <c r="B30" s="111" t="s">
        <v>863</v>
      </c>
      <c r="C30" s="164" t="s">
        <v>873</v>
      </c>
      <c r="D30" s="76" t="s">
        <v>838</v>
      </c>
      <c r="E30" s="71" t="s">
        <v>839</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Benshangul Gumuz Regional State, Metekel Zone, Guba District Aychichiniya Abultu kebele --Art. 1.1</v>
      </c>
    </row>
    <row r="31" spans="1:8">
      <c r="A31" s="67" t="s">
        <v>24</v>
      </c>
      <c r="B31" s="67" t="s">
        <v>25</v>
      </c>
      <c r="C31" s="166"/>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4"/>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6"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5"/>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5"/>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5"/>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7"/>
      <c r="D37" s="156"/>
      <c r="E37" s="156"/>
      <c r="F37" s="15"/>
      <c r="G37" s="16" t="str">
        <f>IF(OR(Table1[[#This Row],[English]]&lt;&gt;"",Table1[[#This Row],[Français]]&lt;&gt;""),Table1[[#This Row],[Français]]&amp;"//"&amp;Table1[[#This Row],[English]],"")</f>
        <v/>
      </c>
      <c r="H37" s="17" t="str">
        <f t="shared" si="0"/>
        <v/>
      </c>
    </row>
    <row r="38" spans="1:8" ht="30">
      <c r="A38" s="208" t="s">
        <v>36</v>
      </c>
      <c r="B38" s="208" t="s">
        <v>37</v>
      </c>
      <c r="C38" s="168"/>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8"/>
      <c r="D39" s="157"/>
      <c r="E39" s="157"/>
      <c r="F39" s="18"/>
      <c r="G39" s="19" t="str">
        <f>IF(OR(Table1[[#This Row],[English]]&lt;&gt;"",Table1[[#This Row],[Français]]&lt;&gt;""),Table1[[#This Row],[Français]]&amp;"//"&amp;Table1[[#This Row],[English]],"")</f>
        <v>1. Dispositions du base//1. Fundamental provisions</v>
      </c>
      <c r="H39" s="20" t="str">
        <f t="shared" si="0"/>
        <v/>
      </c>
    </row>
    <row r="40" spans="1:8" ht="60.75" customHeight="1">
      <c r="A40" s="67" t="s">
        <v>40</v>
      </c>
      <c r="B40" s="67" t="s">
        <v>41</v>
      </c>
      <c r="C40" s="164" t="s">
        <v>860</v>
      </c>
      <c r="D40" s="76" t="s">
        <v>835</v>
      </c>
      <c r="E40" s="76" t="s">
        <v>874</v>
      </c>
      <c r="F40" s="222"/>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Horizon Plantations PLC--Signature page</v>
      </c>
    </row>
    <row r="41" spans="1:8">
      <c r="A41" s="71" t="s">
        <v>234</v>
      </c>
      <c r="B41" s="71" t="s">
        <v>235</v>
      </c>
      <c r="C41" s="164"/>
      <c r="D41" s="71"/>
      <c r="E41" s="71"/>
      <c r="F41" s="206"/>
      <c r="G41" s="16" t="str">
        <f>IF(OR(Table1[[#This Row],[English]]&lt;&gt;"",Table1[[#This Row],[Français]]&lt;&gt;""),Table1[[#This Row],[Français]]&amp;"//"&amp;Table1[[#This Row],[English]],"")</f>
        <v>Numéro d'entreprise légal//Legal Enterprise Identifier</v>
      </c>
      <c r="H41" s="207" t="str">
        <f>IF(C41&lt;&gt;"",IF(D41&lt;&gt;"",C41&amp;"--"&amp;D41,C41),"")</f>
        <v/>
      </c>
    </row>
    <row r="42" spans="1:8" ht="75">
      <c r="A42" s="10" t="s">
        <v>42</v>
      </c>
      <c r="B42" s="10" t="s">
        <v>43</v>
      </c>
      <c r="C42" s="165" t="s">
        <v>902</v>
      </c>
      <c r="D42" s="105" t="s">
        <v>835</v>
      </c>
      <c r="E42" s="105" t="s">
        <v>874</v>
      </c>
      <c r="F42" s="22"/>
      <c r="G42" s="23" t="str">
        <f>IF(OR(Table1[[#This Row],[English]]&lt;&gt;"",Table1[[#This Row],[Français]]&lt;&gt;""),Table1[[#This Row],[Français]]&amp;"//"&amp;Table1[[#This Row],[English]],"")</f>
        <v>Signataire(s), société //Signatories, company</v>
      </c>
      <c r="H42" s="13" t="str">
        <f t="shared" si="0"/>
        <v>Jemal Ahmed, General Manager, Horizon Plantations PLC--Signature page</v>
      </c>
    </row>
    <row r="43" spans="1:8" ht="42" customHeight="1">
      <c r="A43" s="67" t="s">
        <v>44</v>
      </c>
      <c r="B43" s="67" t="s">
        <v>45</v>
      </c>
      <c r="C43" s="164" t="s">
        <v>910</v>
      </c>
      <c r="D43" s="76" t="s">
        <v>835</v>
      </c>
      <c r="E43" s="76" t="s">
        <v>874</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Ministry of Agriculture of the Federal Democratic Republic of Ethiopia--Signature page</v>
      </c>
    </row>
    <row r="44" spans="1:8" ht="60">
      <c r="A44" s="10" t="s">
        <v>46</v>
      </c>
      <c r="B44" s="10" t="s">
        <v>47</v>
      </c>
      <c r="C44" s="165" t="s">
        <v>901</v>
      </c>
      <c r="D44" s="10" t="s">
        <v>835</v>
      </c>
      <c r="E44" s="10" t="s">
        <v>874</v>
      </c>
      <c r="F44" s="22"/>
      <c r="G44" s="23" t="str">
        <f>IF(OR(Table1[[#This Row],[English]]&lt;&gt;"",Table1[[#This Row],[Français]]&lt;&gt;""),Table1[[#This Row],[Français]]&amp;"//"&amp;Table1[[#This Row],[English]],"")</f>
        <v>Signataire(s), Etat//Signatories, State</v>
      </c>
      <c r="H44" s="13" t="str">
        <f t="shared" si="0"/>
        <v>Tefera Derbew, Minister of Agriculture--Signature page</v>
      </c>
    </row>
    <row r="45" spans="1:8" ht="47.25" customHeight="1">
      <c r="A45" s="67" t="s">
        <v>48</v>
      </c>
      <c r="B45" s="67" t="s">
        <v>49</v>
      </c>
      <c r="C45" s="166"/>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174</v>
      </c>
      <c r="B46" s="61" t="s">
        <v>166</v>
      </c>
      <c r="C46" s="169"/>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90">
      <c r="A47" s="67" t="s">
        <v>50</v>
      </c>
      <c r="B47" s="67" t="s">
        <v>51</v>
      </c>
      <c r="C47" s="226">
        <v>40914</v>
      </c>
      <c r="D47" s="73"/>
      <c r="E47" s="73"/>
      <c r="F47" s="73" t="s">
        <v>891</v>
      </c>
      <c r="G47" s="74" t="str">
        <f>IF(OR(Table1[[#This Row],[English]]&lt;&gt;"",Table1[[#This Row],[Français]]&lt;&gt;""),Table1[[#This Row],[Français]]&amp;"//"&amp;Table1[[#This Row],[English]],"")</f>
        <v>Date de signature du contrat//Date of contract signature</v>
      </c>
      <c r="H47" s="70">
        <f t="shared" si="0"/>
        <v>40914</v>
      </c>
    </row>
    <row r="48" spans="1:8" ht="30">
      <c r="A48" s="71" t="s">
        <v>52</v>
      </c>
      <c r="B48" s="67" t="s">
        <v>53</v>
      </c>
      <c r="C48" s="166">
        <v>2012</v>
      </c>
      <c r="D48" s="221" t="s">
        <v>832</v>
      </c>
      <c r="E48" s="221" t="s">
        <v>839</v>
      </c>
      <c r="F48" s="73"/>
      <c r="G48" s="74" t="str">
        <f>IF(OR(Table1[[#This Row],[English]]&lt;&gt;"",Table1[[#This Row],[Français]]&lt;&gt;""),Table1[[#This Row],[Français]]&amp;"//"&amp;Table1[[#This Row],[English]],"")</f>
        <v>Année de signature du contrat//Year of contract signature</v>
      </c>
      <c r="H48" s="70" t="str">
        <f t="shared" si="0"/>
        <v>2012--Preamble</v>
      </c>
    </row>
    <row r="49" spans="1:8" ht="27" customHeight="1">
      <c r="A49" s="67" t="s">
        <v>54</v>
      </c>
      <c r="B49" s="67" t="s">
        <v>55</v>
      </c>
      <c r="C49" s="164" t="s">
        <v>836</v>
      </c>
      <c r="D49" s="221" t="s">
        <v>876</v>
      </c>
      <c r="E49" s="221" t="s">
        <v>875</v>
      </c>
      <c r="F49" s="73"/>
      <c r="G49" s="74" t="str">
        <f>IF(OR(Table1[[#This Row],[English]]&lt;&gt;"",Table1[[#This Row],[Français]]&lt;&gt;""),Table1[[#This Row],[Français]]&amp;"//"&amp;Table1[[#This Row],[English]],"")</f>
        <v>Durée//Term</v>
      </c>
      <c r="H49" s="70" t="str">
        <f t="shared" si="0"/>
        <v>25 years--Arts. 2.1, 19</v>
      </c>
    </row>
    <row r="50" spans="1:8" ht="118.5" customHeight="1">
      <c r="A50" s="10" t="s">
        <v>56</v>
      </c>
      <c r="B50" s="10" t="s">
        <v>57</v>
      </c>
      <c r="C50" s="165" t="s">
        <v>903</v>
      </c>
      <c r="D50" s="10" t="s">
        <v>837</v>
      </c>
      <c r="E50" s="10" t="s">
        <v>877</v>
      </c>
      <c r="F50" s="22"/>
      <c r="G50" s="23" t="str">
        <f>IF(OR(Table1[[#This Row],[English]]&lt;&gt;"",Table1[[#This Row],[Français]]&lt;&gt;""),Table1[[#This Row],[Français]]&amp;"//"&amp;Table1[[#This Row],[English]],"")</f>
        <v xml:space="preserve">Conditions de renouvellement//Conditions for renewal </v>
      </c>
      <c r="H50" s="13" t="str">
        <f t="shared" si="0"/>
        <v>The agreement can be renewed for another additional years mutually agreed between the parties. The agreement shall be renewed on the same terms and conditions. If any of the parties wish to renew the agreement, it shall inform the other party at least 6 months before the expiration of the contract period. --Arts. 2.1, 8</v>
      </c>
    </row>
    <row r="51" spans="1:8" ht="42" customHeight="1">
      <c r="A51" s="71" t="s">
        <v>224</v>
      </c>
      <c r="B51" s="72" t="s">
        <v>864</v>
      </c>
      <c r="C51" s="164" t="s">
        <v>878</v>
      </c>
      <c r="D51" s="71" t="s">
        <v>838</v>
      </c>
      <c r="E51" s="71" t="s">
        <v>839</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Ground nut farming --Art. 1.1</v>
      </c>
    </row>
    <row r="52" spans="1:8" ht="103" customHeight="1">
      <c r="A52" s="119" t="s">
        <v>213</v>
      </c>
      <c r="B52" s="119" t="s">
        <v>212</v>
      </c>
      <c r="C52" s="181" t="s">
        <v>898</v>
      </c>
      <c r="D52" s="56" t="s">
        <v>848</v>
      </c>
      <c r="E52" s="56" t="s">
        <v>879</v>
      </c>
      <c r="F52" s="224"/>
      <c r="G52" s="126" t="str">
        <f>IF(OR(Table1[[#This Row],[English]]&lt;&gt;"",Table1[[#This Row],[Français]]&lt;&gt;""),Table1[[#This Row],[Français]]&amp;"//"&amp;Table1[[#This Row],[English]],"")</f>
        <v>Superficie de la concession//Size of the concession area</v>
      </c>
      <c r="H52" s="127" t="str">
        <f>IF(C52&lt;&gt;"",IF(D52&lt;&gt;"",C52&amp;"--"&amp;D52,C52),"")</f>
        <v>20,000 hectares. Horizon Plantations has the right to get additional land based on its performance, accomplishment and need--Arts. 1.1, 3.5</v>
      </c>
    </row>
    <row r="53" spans="1:8">
      <c r="A53" s="14"/>
      <c r="B53" s="14"/>
      <c r="C53" s="167"/>
      <c r="D53" s="156"/>
      <c r="E53" s="156"/>
      <c r="F53" s="15"/>
      <c r="G53" s="16" t="str">
        <f>IF(OR(Table1[[#This Row],[English]]&lt;&gt;"",Table1[[#This Row],[Français]]&lt;&gt;""),Table1[[#This Row],[Français]]&amp;"//"&amp;Table1[[#This Row],[English]],"")</f>
        <v/>
      </c>
      <c r="H53" s="17" t="str">
        <f t="shared" si="0"/>
        <v/>
      </c>
    </row>
    <row r="54" spans="1:8" ht="49.5" customHeight="1">
      <c r="A54" s="62" t="s">
        <v>58</v>
      </c>
      <c r="B54" s="63" t="s">
        <v>188</v>
      </c>
      <c r="C54" s="168"/>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c r="A55" s="75" t="s">
        <v>59</v>
      </c>
      <c r="B55" s="67" t="s">
        <v>60</v>
      </c>
      <c r="C55" s="166"/>
      <c r="D55" s="155"/>
      <c r="E55" s="155"/>
      <c r="F55" s="68"/>
      <c r="G55" s="69" t="str">
        <f>IF(OR(Table1[[#This Row],[English]]&lt;&gt;"",Table1[[#This Row],[Français]]&lt;&gt;""),Table1[[#This Row],[Français]]&amp;"//"&amp;Table1[[#This Row],[English]],"")</f>
        <v>Convention de développement local//Local development agreement</v>
      </c>
      <c r="H55" s="70" t="str">
        <f t="shared" si="0"/>
        <v/>
      </c>
    </row>
    <row r="56" spans="1:8">
      <c r="A56" s="10" t="s">
        <v>225</v>
      </c>
      <c r="B56" s="10" t="s">
        <v>61</v>
      </c>
      <c r="C56" s="165"/>
      <c r="D56" s="10"/>
      <c r="E56" s="10"/>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
      </c>
    </row>
    <row r="57" spans="1:8" ht="45">
      <c r="A57" s="71" t="s">
        <v>228</v>
      </c>
      <c r="B57" s="67" t="s">
        <v>62</v>
      </c>
      <c r="C57" s="166"/>
      <c r="D57" s="155"/>
      <c r="E57" s="155"/>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24" customHeight="1">
      <c r="A58" s="10" t="s">
        <v>229</v>
      </c>
      <c r="B58" s="10" t="s">
        <v>63</v>
      </c>
      <c r="C58" s="165"/>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71" t="s">
        <v>226</v>
      </c>
      <c r="B59" s="67" t="s">
        <v>64</v>
      </c>
      <c r="C59" s="171"/>
      <c r="D59" s="71"/>
      <c r="E59" s="71"/>
      <c r="F59" s="73"/>
      <c r="G59" s="74" t="str">
        <f>IF(OR(Table1[[#This Row],[English]]&lt;&gt;"",Table1[[#This Row],[Français]]&lt;&gt;""),Table1[[#This Row],[Français]]&amp;"//"&amp;Table1[[#This Row],[English]],"")</f>
        <v>Obligations liées à l'emploi du personnel local//Local employment requirements</v>
      </c>
      <c r="H59" s="70" t="str">
        <f t="shared" si="0"/>
        <v/>
      </c>
    </row>
    <row r="60" spans="1:8" ht="164.25" customHeight="1">
      <c r="A60" s="71" t="s">
        <v>227</v>
      </c>
      <c r="B60" s="67" t="s">
        <v>65</v>
      </c>
      <c r="C60" s="166"/>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5"/>
      <c r="D61" s="10"/>
      <c r="E61" s="10"/>
      <c r="F61" s="22"/>
      <c r="G61" s="23" t="str">
        <f>IF(OR(Table1[[#This Row],[English]]&lt;&gt;"",Table1[[#This Row],[Français]]&lt;&gt;""),Table1[[#This Row],[Français]]&amp;"//"&amp;Table1[[#This Row],[English]],"")</f>
        <v>Assurance//Insurance</v>
      </c>
      <c r="H61" s="13" t="str">
        <f t="shared" si="0"/>
        <v/>
      </c>
    </row>
    <row r="62" spans="1:8" ht="20.25" customHeight="1">
      <c r="A62" s="76" t="s">
        <v>202</v>
      </c>
      <c r="B62" s="76" t="s">
        <v>203</v>
      </c>
      <c r="C62" s="171"/>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2" t="s">
        <v>865</v>
      </c>
      <c r="B63" s="132" t="s">
        <v>218</v>
      </c>
      <c r="C63" s="172"/>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64" customHeight="1">
      <c r="A64" s="124" t="s">
        <v>181</v>
      </c>
      <c r="B64" s="10" t="s">
        <v>180</v>
      </c>
      <c r="C64" s="173"/>
      <c r="D64" s="10"/>
      <c r="E64" s="10"/>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
      </c>
    </row>
    <row r="65" spans="1:8" ht="170.25" customHeight="1">
      <c r="A65" s="83" t="s">
        <v>183</v>
      </c>
      <c r="B65" s="82" t="s">
        <v>182</v>
      </c>
      <c r="C65" s="174" t="s">
        <v>893</v>
      </c>
      <c r="D65" s="76" t="s">
        <v>894</v>
      </c>
      <c r="E65" s="76" t="s">
        <v>895</v>
      </c>
      <c r="F65" s="73"/>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The Government shall ensure that during the period of the lease, Horizon Plantations shall enjoy peaceful and trouble-free possession of the premises and be provided with adequate security, on its request and free of cost, for carrying out its activities in that premises, against any riot, disturbance or any other turbulent time, other than force majeure. The Government shall protect the right of Horizon Plantations to the peaceful possession, use and quiet enjoyment of the leased area. --Arts. 6.6, 14</v>
      </c>
    </row>
    <row r="66" spans="1:8" ht="34" customHeight="1">
      <c r="A66" s="145" t="s">
        <v>185</v>
      </c>
      <c r="B66" s="146" t="s">
        <v>186</v>
      </c>
      <c r="C66" s="175"/>
      <c r="D66" s="159"/>
      <c r="E66" s="147"/>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
      </c>
    </row>
    <row r="67" spans="1:8" ht="61.5" customHeight="1">
      <c r="A67" s="123" t="s">
        <v>211</v>
      </c>
      <c r="B67" s="119" t="s">
        <v>210</v>
      </c>
      <c r="C67" s="170"/>
      <c r="D67" s="10"/>
      <c r="E67" s="10"/>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
      </c>
    </row>
    <row r="68" spans="1:8" ht="30">
      <c r="A68" s="83" t="s">
        <v>173</v>
      </c>
      <c r="B68" s="82" t="s">
        <v>171</v>
      </c>
      <c r="C68" s="166"/>
      <c r="D68" s="155"/>
      <c r="E68" s="155"/>
      <c r="F68" s="73"/>
      <c r="G68" s="74" t="str">
        <f>IF(OR(Table1[[#This Row],[English]]&lt;&gt;"",Table1[[#This Row],[Français]]&lt;&gt;""),Table1[[#This Row],[Français]]&amp;"//"&amp;Table1[[#This Row],[English]],"")</f>
        <v>Autre - [le nom de catégorie]//Other - [Name of Category]</v>
      </c>
      <c r="H68" s="70" t="str">
        <f t="shared" si="0"/>
        <v/>
      </c>
    </row>
    <row r="69" spans="1:8">
      <c r="A69" s="24"/>
      <c r="B69" s="24"/>
      <c r="C69" s="182"/>
      <c r="D69" s="195"/>
      <c r="E69" s="195"/>
      <c r="F69" s="15"/>
      <c r="G69" s="16" t="str">
        <f>IF(OR(Table1[[#This Row],[English]]&lt;&gt;"",Table1[[#This Row],[Français]]&lt;&gt;""),Table1[[#This Row],[Français]]&amp;"//"&amp;Table1[[#This Row],[English]],"")</f>
        <v/>
      </c>
      <c r="H69" s="25" t="str">
        <f t="shared" si="0"/>
        <v/>
      </c>
    </row>
    <row r="70" spans="1:8" ht="29.25" customHeight="1">
      <c r="A70" s="62" t="s">
        <v>68</v>
      </c>
      <c r="B70" s="26" t="s">
        <v>69</v>
      </c>
      <c r="C70" s="168"/>
      <c r="D70" s="157"/>
      <c r="E70" s="157"/>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4" t="s">
        <v>70</v>
      </c>
      <c r="B71" s="85" t="s">
        <v>71</v>
      </c>
      <c r="C71" s="85"/>
      <c r="D71" s="151"/>
      <c r="E71" s="151"/>
      <c r="F71" s="86"/>
      <c r="G71" s="87" t="str">
        <f>IF(OR(Table1[[#This Row],[English]]&lt;&gt;"",Table1[[#This Row],[Français]]&lt;&gt;""),Table1[[#This Row],[Français]]&amp;"//"&amp;Table1[[#This Row],[English]],"")</f>
        <v>Taxe minière / redevance//Mining tax / royalty tax</v>
      </c>
      <c r="H71" s="88" t="str">
        <f t="shared" si="0"/>
        <v/>
      </c>
    </row>
    <row r="72" spans="1:8" ht="36" customHeight="1">
      <c r="A72" s="84" t="s">
        <v>72</v>
      </c>
      <c r="B72" s="85" t="s">
        <v>73</v>
      </c>
      <c r="C72" s="176"/>
      <c r="D72" s="151"/>
      <c r="E72" s="151"/>
      <c r="F72" s="86"/>
      <c r="G72" s="87" t="str">
        <f>IF(OR(Table1[[#This Row],[English]]&lt;&gt;"",Table1[[#This Row],[Français]]&lt;&gt;""),Table1[[#This Row],[Français]]&amp;"//"&amp;Table1[[#This Row],[English]],"")</f>
        <v>Impôt sur les bénéfices: taux//Income tax: rate</v>
      </c>
      <c r="H72" s="88" t="str">
        <f t="shared" si="0"/>
        <v/>
      </c>
    </row>
    <row r="73" spans="1:8" ht="99" customHeight="1">
      <c r="A73" s="85" t="s">
        <v>219</v>
      </c>
      <c r="B73" s="85" t="s">
        <v>74</v>
      </c>
      <c r="C73" s="176" t="s">
        <v>840</v>
      </c>
      <c r="D73" s="160" t="s">
        <v>841</v>
      </c>
      <c r="E73" s="160" t="s">
        <v>880</v>
      </c>
      <c r="F73" s="222"/>
      <c r="G73" s="87" t="str">
        <f>IF(OR(Table1[[#This Row],[English]]&lt;&gt;"",Table1[[#This Row],[Français]]&lt;&gt;""),Table1[[#This Row],[Français]]&amp;"//"&amp;Table1[[#This Row],[English]],"")</f>
        <v>Impôt sur les bénéfices: exonération//Income tax: exemptions</v>
      </c>
      <c r="H73" s="88" t="str">
        <f t="shared" si="0"/>
        <v>The Ministry of Agriculture undertakes to provide special investment privileges such as exemptions from taxation and import duties of capital goods and repatriation of capital and profits granted under the investment laws of Ethiopia--Art. 6.2</v>
      </c>
    </row>
    <row r="74" spans="1:8" ht="45">
      <c r="A74" s="85" t="s">
        <v>220</v>
      </c>
      <c r="B74" s="85" t="s">
        <v>75</v>
      </c>
      <c r="C74" s="177"/>
      <c r="D74" s="160"/>
      <c r="E74" s="160"/>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6" t="s">
        <v>195</v>
      </c>
      <c r="B75" s="106" t="s">
        <v>866</v>
      </c>
      <c r="C75" s="178"/>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196</v>
      </c>
      <c r="B76" s="106" t="s">
        <v>867</v>
      </c>
      <c r="C76" s="178"/>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30">
      <c r="A77" s="106" t="s">
        <v>868</v>
      </c>
      <c r="B77" s="106" t="s">
        <v>76</v>
      </c>
      <c r="C77" s="178"/>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25" customHeight="1">
      <c r="A78" s="89" t="s">
        <v>230</v>
      </c>
      <c r="B78" s="89" t="s">
        <v>77</v>
      </c>
      <c r="C78" s="174"/>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25" customHeight="1">
      <c r="A79" s="128" t="s">
        <v>198</v>
      </c>
      <c r="B79" s="128" t="s">
        <v>204</v>
      </c>
      <c r="C79" s="170"/>
      <c r="D79" s="27"/>
      <c r="E79" s="27"/>
      <c r="F79" s="129"/>
      <c r="G79" s="130" t="str">
        <f>IF(OR(Table1[[#This Row],[English]]&lt;&gt;"",Table1[[#This Row],[Français]]&lt;&gt;""),Table1[[#This Row],[Français]]&amp;"//"&amp;Table1[[#This Row],[English]],"")</f>
        <v>Retenue à la source sur les intérêts et/ou dividendes//Withholding tax on payment of interest and/or dividends</v>
      </c>
      <c r="H79" s="131" t="str">
        <f>IF(C79&lt;&gt;"",IF(D79&lt;&gt;"",C79&amp;"--"&amp;D79,C79),"")</f>
        <v/>
      </c>
    </row>
    <row r="80" spans="1:8">
      <c r="A80" s="27" t="s">
        <v>78</v>
      </c>
      <c r="B80" s="27" t="s">
        <v>79</v>
      </c>
      <c r="C80" s="173"/>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80</v>
      </c>
      <c r="B81" s="27" t="s">
        <v>81</v>
      </c>
      <c r="C81" s="192"/>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82</v>
      </c>
      <c r="B82" s="27" t="s">
        <v>83</v>
      </c>
      <c r="C82" s="192"/>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8" t="s">
        <v>84</v>
      </c>
      <c r="B83" s="27" t="s">
        <v>85</v>
      </c>
      <c r="C83" s="192"/>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86</v>
      </c>
      <c r="B84" s="27" t="s">
        <v>87</v>
      </c>
      <c r="C84" s="179"/>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88</v>
      </c>
      <c r="B85" s="27" t="s">
        <v>89</v>
      </c>
      <c r="C85" s="179"/>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90</v>
      </c>
      <c r="B86" s="27" t="s">
        <v>91</v>
      </c>
      <c r="C86" s="179"/>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92</v>
      </c>
      <c r="B87" s="27" t="s">
        <v>93</v>
      </c>
      <c r="C87" s="179"/>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94</v>
      </c>
      <c r="B88" s="27" t="s">
        <v>95</v>
      </c>
      <c r="C88" s="180"/>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96</v>
      </c>
      <c r="B89" s="27" t="s">
        <v>97</v>
      </c>
      <c r="C89" s="179"/>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98</v>
      </c>
      <c r="B90" s="27" t="s">
        <v>214</v>
      </c>
      <c r="C90" s="179"/>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ht="93" customHeight="1">
      <c r="A91" s="27" t="s">
        <v>99</v>
      </c>
      <c r="B91" s="27" t="s">
        <v>100</v>
      </c>
      <c r="C91" s="27" t="s">
        <v>840</v>
      </c>
      <c r="D91" s="27" t="s">
        <v>841</v>
      </c>
      <c r="E91" s="27" t="s">
        <v>880</v>
      </c>
      <c r="F91" s="29"/>
      <c r="G91" s="30" t="str">
        <f>IF(OR(Table1[[#This Row],[English]]&lt;&gt;"",Table1[[#This Row],[Français]]&lt;&gt;""),Table1[[#This Row],[Français]]&amp;"//"&amp;Table1[[#This Row],[English]],"")</f>
        <v>Droits de douane pour le matériel de traitement//Custom duties on processing equipment</v>
      </c>
      <c r="H91" s="31" t="str">
        <f t="shared" si="0"/>
        <v>The Ministry of Agriculture undertakes to provide special investment privileges such as exemptions from taxation and import duties of capital goods and repatriation of capital and profits granted under the investment laws of Ethiopia--Art. 6.2</v>
      </c>
    </row>
    <row r="92" spans="1:8" ht="98.25" customHeight="1">
      <c r="A92" s="27" t="s">
        <v>101</v>
      </c>
      <c r="B92" s="27" t="s">
        <v>102</v>
      </c>
      <c r="C92" s="27" t="s">
        <v>840</v>
      </c>
      <c r="D92" s="27" t="s">
        <v>841</v>
      </c>
      <c r="E92" s="27" t="s">
        <v>880</v>
      </c>
      <c r="F92" s="29"/>
      <c r="G92" s="30" t="str">
        <f>IF(OR(Table1[[#This Row],[English]]&lt;&gt;"",Table1[[#This Row],[Français]]&lt;&gt;""),Table1[[#This Row],[Français]]&amp;"//"&amp;Table1[[#This Row],[English]],"")</f>
        <v>Droits de douane pour le matériel de transformation//Custom duties on transformation equipment</v>
      </c>
      <c r="H92" s="31" t="str">
        <f t="shared" si="0"/>
        <v>The Ministry of Agriculture undertakes to provide special investment privileges such as exemptions from taxation and import duties of capital goods and repatriation of capital and profits granted under the investment laws of Ethiopia--Art. 6.2</v>
      </c>
    </row>
    <row r="93" spans="1:8" ht="113.25" customHeight="1">
      <c r="A93" s="27" t="s">
        <v>103</v>
      </c>
      <c r="B93" s="27" t="s">
        <v>104</v>
      </c>
      <c r="C93" s="27" t="s">
        <v>840</v>
      </c>
      <c r="D93" s="27" t="s">
        <v>841</v>
      </c>
      <c r="E93" s="27" t="s">
        <v>880</v>
      </c>
      <c r="F93" s="29"/>
      <c r="G93" s="30" t="str">
        <f>IF(OR(Table1[[#This Row],[English]]&lt;&gt;"",Table1[[#This Row],[Français]]&lt;&gt;""),Table1[[#This Row],[Français]]&amp;"//"&amp;Table1[[#This Row],[English]],"")</f>
        <v>Droits de douane pour le matériel de transport//Custom duties on transportation equipment</v>
      </c>
      <c r="H93" s="31" t="str">
        <f t="shared" si="0"/>
        <v>The Ministry of Agriculture undertakes to provide special investment privileges such as exemptions from taxation and import duties of capital goods and repatriation of capital and profits granted under the investment laws of Ethiopia--Art. 6.2</v>
      </c>
    </row>
    <row r="94" spans="1:8">
      <c r="A94" s="27" t="s">
        <v>105</v>
      </c>
      <c r="B94" s="27" t="s">
        <v>106</v>
      </c>
      <c r="C94" s="179"/>
      <c r="D94" s="27"/>
      <c r="E94" s="27"/>
      <c r="F94" s="29"/>
      <c r="G94" s="30" t="str">
        <f>IF(OR(Table1[[#This Row],[English]]&lt;&gt;"",Table1[[#This Row],[Français]]&lt;&gt;""),Table1[[#This Row],[Français]]&amp;"//"&amp;Table1[[#This Row],[English]],"")</f>
        <v>TVA//VAT</v>
      </c>
      <c r="H94" s="31" t="str">
        <f t="shared" si="0"/>
        <v/>
      </c>
    </row>
    <row r="95" spans="1:8" ht="50.25" customHeight="1">
      <c r="A95" s="27" t="s">
        <v>107</v>
      </c>
      <c r="B95" s="27" t="s">
        <v>869</v>
      </c>
      <c r="C95" s="179"/>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108</v>
      </c>
      <c r="B96" s="27" t="s">
        <v>109</v>
      </c>
      <c r="C96" s="179"/>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303.75" customHeight="1">
      <c r="A97" s="128" t="s">
        <v>110</v>
      </c>
      <c r="B97" s="128" t="s">
        <v>111</v>
      </c>
      <c r="C97" s="181" t="s">
        <v>904</v>
      </c>
      <c r="D97" s="27" t="s">
        <v>849</v>
      </c>
      <c r="E97" s="27" t="s">
        <v>881</v>
      </c>
      <c r="F97" s="225"/>
      <c r="G97" s="130" t="str">
        <f>IF(OR(Table1[[#This Row],[English]]&lt;&gt;"",Table1[[#This Row],[Français]]&lt;&gt;""),Table1[[#This Row],[Français]]&amp;"//"&amp;Table1[[#This Row],[English]],"")</f>
        <v>Redevances superficiaires//Surface fees</v>
      </c>
      <c r="H97" s="131" t="str">
        <f t="shared" si="2"/>
        <v>There shall be a 3-year grace period for the land rent. The rent during this period will be prorated over the remaining years annually, commencing from the date of execution of the agreement. After 3 years, the annual lease rate per hectare for use of agricultural investment shall be birr 158 per hectare (making a total of birr 3,160,000 for all hectares). The total amount payment of contract shall be birr 79,000,000. There shall be 1 year down payment for the concession land. The Ministry of Agriculture reserves the right to revise the lease payment rate as the need may arise. Once the annual land lease rent becomes payable upon completion of the grace period, Horizon Plantations has the obligation to settle the current annual land rent, including the prorated amount of the grace period, to the regions where the land is located during the months December up to June every year as per predetermined lease rate for rural lands.--Arts. 2.2, 4.8</v>
      </c>
    </row>
    <row r="98" spans="1:8">
      <c r="A98" s="27" t="s">
        <v>112</v>
      </c>
      <c r="B98" s="27" t="s">
        <v>113</v>
      </c>
      <c r="C98" s="179"/>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25" customHeight="1">
      <c r="A99" s="27" t="s">
        <v>194</v>
      </c>
      <c r="B99" s="27" t="s">
        <v>167</v>
      </c>
      <c r="C99" s="181"/>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114</v>
      </c>
      <c r="B100" s="89" t="s">
        <v>115</v>
      </c>
      <c r="C100" s="177"/>
      <c r="D100" s="160"/>
      <c r="E100" s="160"/>
      <c r="F100" s="86"/>
      <c r="G100" s="87" t="str">
        <f>IF(OR(Table1[[#This Row],[English]]&lt;&gt;"",Table1[[#This Row],[Français]]&lt;&gt;""),Table1[[#This Row],[Français]]&amp;"//"&amp;Table1[[#This Row],[English]],"")</f>
        <v>Primes//Bonuses</v>
      </c>
      <c r="H100" s="88" t="str">
        <f t="shared" si="2"/>
        <v/>
      </c>
    </row>
    <row r="101" spans="1:8" ht="31.5" customHeight="1">
      <c r="A101" s="85" t="s">
        <v>116</v>
      </c>
      <c r="B101" s="89" t="s">
        <v>117</v>
      </c>
      <c r="C101" s="176"/>
      <c r="D101" s="151"/>
      <c r="E101" s="151"/>
      <c r="F101" s="86"/>
      <c r="G101" s="87" t="str">
        <f>IF(OR(Table1[[#This Row],[English]]&lt;&gt;"",Table1[[#This Row],[Français]]&lt;&gt;""),Table1[[#This Row],[Français]]&amp;"//"&amp;Table1[[#This Row],[English]],"")</f>
        <v>Participation de l'Etat//State participation</v>
      </c>
      <c r="H101" s="88" t="str">
        <f t="shared" si="2"/>
        <v/>
      </c>
    </row>
    <row r="102" spans="1:8">
      <c r="A102" s="85" t="s">
        <v>118</v>
      </c>
      <c r="B102" s="85" t="s">
        <v>119</v>
      </c>
      <c r="C102" s="177"/>
      <c r="D102" s="160"/>
      <c r="E102" s="160"/>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192</v>
      </c>
      <c r="B103" s="104" t="s">
        <v>191</v>
      </c>
      <c r="C103" s="176"/>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53.5" customHeight="1">
      <c r="A104" s="85" t="s">
        <v>120</v>
      </c>
      <c r="B104" s="85" t="s">
        <v>121</v>
      </c>
      <c r="C104" s="204" t="s">
        <v>914</v>
      </c>
      <c r="D104" s="151" t="s">
        <v>915</v>
      </c>
      <c r="E104" s="151" t="s">
        <v>887</v>
      </c>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Dividing the leased land among shareholders to develop in an independent way or subleasing to any party is strictly forbidden and shall result in the termination of the agreement--Art. 4.11</v>
      </c>
    </row>
    <row r="105" spans="1:8" ht="27.75" customHeight="1">
      <c r="A105" s="83" t="s">
        <v>173</v>
      </c>
      <c r="B105" s="82" t="s">
        <v>171</v>
      </c>
      <c r="C105" s="176"/>
      <c r="D105" s="89"/>
      <c r="E105" s="151"/>
      <c r="F105" s="86"/>
      <c r="G105" s="87" t="str">
        <f>IF(OR(Table1[[#This Row],[English]]&lt;&gt;"",Table1[[#This Row],[Français]]&lt;&gt;""),Table1[[#This Row],[Français]]&amp;"//"&amp;Table1[[#This Row],[English]],"")</f>
        <v>Autre - [le nom de catégorie]//Other - [Name of Category]</v>
      </c>
      <c r="H105" s="88" t="str">
        <f t="shared" si="2"/>
        <v/>
      </c>
    </row>
    <row r="106" spans="1:8">
      <c r="A106" s="153"/>
      <c r="B106" s="34"/>
      <c r="C106" s="197"/>
      <c r="D106" s="152"/>
      <c r="E106" s="152"/>
      <c r="F106" s="15"/>
      <c r="G106" s="16" t="str">
        <f>IF(OR(Table1[[#This Row],[English]]&lt;&gt;"",Table1[[#This Row],[Français]]&lt;&gt;""),Table1[[#This Row],[Français]]&amp;"//"&amp;Table1[[#This Row],[English]],"")</f>
        <v/>
      </c>
      <c r="H106" s="35" t="str">
        <f t="shared" si="2"/>
        <v/>
      </c>
    </row>
    <row r="107" spans="1:8" ht="30">
      <c r="A107" s="62" t="s">
        <v>187</v>
      </c>
      <c r="B107" s="63" t="s">
        <v>122</v>
      </c>
      <c r="C107" s="168"/>
      <c r="D107" s="157"/>
      <c r="E107" s="157"/>
      <c r="F107" s="18"/>
      <c r="G107" s="19" t="str">
        <f>IF(OR(Table1[[#This Row],[English]]&lt;&gt;"",Table1[[#This Row],[Français]]&lt;&gt;""),Table1[[#This Row],[Français]]&amp;"//"&amp;Table1[[#This Row],[English]],"")</f>
        <v>4. Dispositions environnementales //4. Environmental provisions</v>
      </c>
      <c r="H107" s="20" t="str">
        <f t="shared" si="2"/>
        <v/>
      </c>
    </row>
    <row r="108" spans="1:8" ht="71.25" customHeight="1">
      <c r="A108" s="93" t="s">
        <v>207</v>
      </c>
      <c r="B108" s="93" t="s">
        <v>215</v>
      </c>
      <c r="C108" s="164" t="s">
        <v>870</v>
      </c>
      <c r="D108" s="71" t="s">
        <v>842</v>
      </c>
      <c r="E108" s="71" t="s">
        <v>846</v>
      </c>
      <c r="F108" s="68"/>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Horizon Plantations bears an obligation to conduct environmental impact assessment and deliver the report within 3 months of execution of the agreement--Art. 4.1(d)</v>
      </c>
    </row>
    <row r="109" spans="1:8" ht="30">
      <c r="A109" s="124" t="s">
        <v>209</v>
      </c>
      <c r="B109" s="124" t="s">
        <v>208</v>
      </c>
      <c r="C109" s="183"/>
      <c r="D109" s="10"/>
      <c r="E109" s="10"/>
      <c r="F109" s="142"/>
      <c r="G109"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4" t="str">
        <f t="shared" si="2"/>
        <v/>
      </c>
    </row>
    <row r="110" spans="1:8" ht="30">
      <c r="A110" s="94" t="s">
        <v>221</v>
      </c>
      <c r="B110" s="95" t="s">
        <v>176</v>
      </c>
      <c r="C110" s="174"/>
      <c r="D110" s="82"/>
      <c r="E110" s="94"/>
      <c r="F110" s="96"/>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
      </c>
    </row>
    <row r="111" spans="1:8" ht="142.5" customHeight="1">
      <c r="A111" s="118" t="s">
        <v>206</v>
      </c>
      <c r="B111" s="118" t="s">
        <v>205</v>
      </c>
      <c r="C111" s="181" t="s">
        <v>905</v>
      </c>
      <c r="D111" s="56" t="s">
        <v>844</v>
      </c>
      <c r="E111" s="64" t="s">
        <v>846</v>
      </c>
      <c r="F111" s="120"/>
      <c r="G111"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2" t="str">
        <f>IF(C111&lt;&gt;"",IF(D111&lt;&gt;"",C111&amp;"--"&amp;D111,C111),"")</f>
        <v>Horizon Plantations shall bear the obligation to provide good care and conservation of the leased land, with particular obligations to: (a) conserve tree plantations that have not been cleared for earth works, (b) apply appropriate working methods to prevent soil erosion in "slopping" areas, and (c) observe and implement all legislation providing for natural resource conservation--Art. 4.1</v>
      </c>
    </row>
    <row r="112" spans="1:8" ht="45" customHeight="1">
      <c r="A112" s="83" t="s">
        <v>233</v>
      </c>
      <c r="B112" s="82" t="s">
        <v>232</v>
      </c>
      <c r="C112" s="164"/>
      <c r="D112" s="76"/>
      <c r="E112" s="76"/>
      <c r="F112" s="68"/>
      <c r="G112" s="69" t="str">
        <f>IF(OR(Table1[[#This Row],[English]]&lt;&gt;"",Table1[[#This Row],[Français]]&lt;&gt;""),Table1[[#This Row],[Français]]&amp;"//"&amp;Table1[[#This Row],[English]],"")</f>
        <v>Autre - [Responsabilité environnementale]//Other - [Environmental liability]</v>
      </c>
      <c r="H112" s="70" t="str">
        <f t="shared" si="2"/>
        <v/>
      </c>
    </row>
    <row r="113" spans="1:8">
      <c r="A113" s="37"/>
      <c r="B113" s="38"/>
      <c r="C113" s="184"/>
      <c r="D113" s="200"/>
      <c r="E113" s="200"/>
      <c r="F113" s="15"/>
      <c r="G113" s="16" t="str">
        <f>IF(OR(Table1[[#This Row],[English]]&lt;&gt;"",Table1[[#This Row],[Français]]&lt;&gt;""),Table1[[#This Row],[Français]]&amp;"//"&amp;Table1[[#This Row],[English]],"")</f>
        <v/>
      </c>
      <c r="H113" s="17" t="str">
        <f t="shared" si="2"/>
        <v/>
      </c>
    </row>
    <row r="114" spans="1:8" ht="45">
      <c r="A114" s="62" t="s">
        <v>179</v>
      </c>
      <c r="B114" s="18" t="s">
        <v>123</v>
      </c>
      <c r="C114" s="168"/>
      <c r="D114" s="157"/>
      <c r="E114" s="157"/>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89.25" customHeight="1">
      <c r="A115" s="55" t="s">
        <v>177</v>
      </c>
      <c r="B115" s="64" t="s">
        <v>178</v>
      </c>
      <c r="C115" s="185" t="s">
        <v>882</v>
      </c>
      <c r="D115" s="65" t="s">
        <v>845</v>
      </c>
      <c r="E115" s="64" t="s">
        <v>883</v>
      </c>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Horizon Plantations has to execute all development activities as per the agreed business plan. In case of any change or deviation from the business plan, it has to be reported with justification to the Ministry of Agriculture. --Art. 4.4</v>
      </c>
    </row>
    <row r="116" spans="1:8" ht="363.75" customHeight="1">
      <c r="A116" s="93" t="s">
        <v>124</v>
      </c>
      <c r="B116" s="99" t="s">
        <v>125</v>
      </c>
      <c r="C116" s="164" t="s">
        <v>906</v>
      </c>
      <c r="D116" s="76" t="s">
        <v>896</v>
      </c>
      <c r="E116" s="76" t="s">
        <v>897</v>
      </c>
      <c r="F116" s="68"/>
      <c r="G116" s="69" t="str">
        <f>IF(OR(Table1[[#This Row],[English]]&lt;&gt;"",Table1[[#This Row],[Français]]&lt;&gt;""),Table1[[#This Row],[Français]]&amp;"//"&amp;Table1[[#This Row],[English]],"")</f>
        <v>Obligations de travaux, d'investissements//Work and investment commitments</v>
      </c>
      <c r="H116" s="70" t="str">
        <f t="shared" si="2"/>
        <v>Horizon Plantations should take over the leased land within 30 days of execution of the agreement by making the down payment of 1 year's rent. Horizon Plantations is expected to start developing the land within 6 months of the date of execution of the agreement, or from the date that it receives final clearance from the Government, whichever is later. Horizon Plantations has to execute all development activities as per the agreed business plan. It shall develop 1/4 of the leased land within the first year from the date of signing of the agreement or from the date of receipt of all clearances from the Government, whichever is later. It shall develop the entire plot of leased land within 4 years. Horizon Plantations shall not make any unauthorized use of the leased land beyond the predetermined purpose, objective or plan as permitted under the agreement without express consent of the Ministry of Agriculture in writing.--Arts. 2.2.4, 4.2-4.5, 4.10</v>
      </c>
    </row>
    <row r="117" spans="1:8">
      <c r="A117" s="36" t="s">
        <v>126</v>
      </c>
      <c r="B117" s="36" t="s">
        <v>127</v>
      </c>
      <c r="C117" s="186"/>
      <c r="D117" s="10"/>
      <c r="E117" s="10"/>
      <c r="F117" s="11"/>
      <c r="G117" s="12" t="str">
        <f>IF(OR(Table1[[#This Row],[English]]&lt;&gt;"",Table1[[#This Row],[Français]]&lt;&gt;""),Table1[[#This Row],[Français]]&amp;"//"&amp;Table1[[#This Row],[English]],"")</f>
        <v>Rétrocession//Transfer of risk</v>
      </c>
      <c r="H117" s="13" t="str">
        <f t="shared" si="2"/>
        <v/>
      </c>
    </row>
    <row r="118" spans="1:8" ht="169.5" customHeight="1">
      <c r="A118" s="67" t="s">
        <v>128</v>
      </c>
      <c r="B118" s="67" t="s">
        <v>129</v>
      </c>
      <c r="C118" s="164" t="s">
        <v>907</v>
      </c>
      <c r="D118" s="155" t="s">
        <v>847</v>
      </c>
      <c r="E118" s="155" t="s">
        <v>843</v>
      </c>
      <c r="F118" s="68"/>
      <c r="G118" s="69" t="str">
        <f>IF(OR(Table1[[#This Row],[English]]&lt;&gt;"",Table1[[#This Row],[Français]]&lt;&gt;""),Table1[[#This Row],[Français]]&amp;"//"&amp;Table1[[#This Row],[English]],"")</f>
        <v>Construction et entretien d'infrastructure//Construction and maintenance of infrastructure</v>
      </c>
      <c r="H118" s="70" t="str">
        <f t="shared" si="2"/>
        <v>Horizon Plantations has the right to build infrastructure, such as dams, water boreholes, power houses, irrigation system, roads, bridges, offices, residential buildings, fuel/power supply stations/outlets, health/hospitals/dispensaries, education facilities, at its discretion upon consultation and submission of a permit request with concerned offices, subject to the type and size of the investment project whenever it deems so appropriate--Art. 3.2</v>
      </c>
    </row>
    <row r="119" spans="1:8" ht="15" customHeight="1">
      <c r="A119" s="10" t="s">
        <v>199</v>
      </c>
      <c r="B119" s="10" t="s">
        <v>130</v>
      </c>
      <c r="C119" s="173"/>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c r="A120" s="113" t="s">
        <v>131</v>
      </c>
      <c r="B120" s="114" t="s">
        <v>132</v>
      </c>
      <c r="C120" s="187"/>
      <c r="D120" s="112"/>
      <c r="E120" s="112"/>
      <c r="F120" s="115"/>
      <c r="G120" s="116" t="str">
        <f>IF(OR(Table1[[#This Row],[English]]&lt;&gt;"",Table1[[#This Row],[Français]]&lt;&gt;""),Table1[[#This Row],[Français]]&amp;"//"&amp;Table1[[#This Row],[English]],"")</f>
        <v>Utilisation d’infrastructure par les tiers//Third party use of infrastructure</v>
      </c>
      <c r="H120" s="117" t="str">
        <f t="shared" si="2"/>
        <v/>
      </c>
    </row>
    <row r="121" spans="1:8" ht="22.5" customHeight="1">
      <c r="A121" s="39" t="s">
        <v>133</v>
      </c>
      <c r="B121" s="33" t="s">
        <v>134</v>
      </c>
      <c r="C121" s="165"/>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93.75" customHeight="1">
      <c r="A122" s="39" t="s">
        <v>135</v>
      </c>
      <c r="B122" s="33" t="s">
        <v>136</v>
      </c>
      <c r="C122" s="165" t="s">
        <v>908</v>
      </c>
      <c r="D122" s="10" t="s">
        <v>884</v>
      </c>
      <c r="E122" s="10" t="s">
        <v>854</v>
      </c>
      <c r="F122" s="11"/>
      <c r="G122" s="12" t="str">
        <f>IF(OR(Table1[[#This Row],[English]]&lt;&gt;"",Table1[[#This Row],[Français]]&lt;&gt;""),Table1[[#This Row],[Français]]&amp;"//"&amp;Table1[[#This Row],[English]],"")</f>
        <v>Propriété d’infrastructure//Ownership of infrastructure</v>
      </c>
      <c r="H122" s="13" t="str">
        <f t="shared" si="2"/>
        <v>Upon expiry or termination of the agreement or revocation of the investment license, Horizon Plantations shall remove assets installed on the leased land in good order and hand over the leased land to the Ministry of Agriculture within 1 year--Art. 4.6</v>
      </c>
    </row>
    <row r="123" spans="1:8">
      <c r="A123" s="28" t="s">
        <v>193</v>
      </c>
      <c r="B123" s="27" t="s">
        <v>190</v>
      </c>
      <c r="C123" s="179"/>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175</v>
      </c>
      <c r="B124" s="55" t="s">
        <v>168</v>
      </c>
      <c r="C124" s="181"/>
      <c r="D124" s="56"/>
      <c r="E124" s="196"/>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30">
      <c r="A125" s="137" t="s">
        <v>222</v>
      </c>
      <c r="B125" s="138" t="s">
        <v>169</v>
      </c>
      <c r="C125" s="188"/>
      <c r="D125" s="136"/>
      <c r="E125" s="137"/>
      <c r="F125" s="139"/>
      <c r="G125"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41" t="str">
        <f>IF(C125&lt;&gt;"",IF(D125&lt;&gt;"",C125&amp;"--"&amp;D125,C125),"")</f>
        <v/>
      </c>
    </row>
    <row r="126" spans="1:8" ht="24.75" customHeight="1">
      <c r="A126" s="83" t="s">
        <v>173</v>
      </c>
      <c r="B126" s="205" t="s">
        <v>171</v>
      </c>
      <c r="C126" s="174"/>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201"/>
      <c r="B127" s="40"/>
      <c r="C127" s="202"/>
      <c r="D127" s="203"/>
      <c r="E127" s="203"/>
      <c r="F127" s="15"/>
      <c r="G127" s="16" t="str">
        <f>IF(OR(Table1[[#This Row],[English]]&lt;&gt;"",Table1[[#This Row],[Français]]&lt;&gt;""),Table1[[#This Row],[Français]]&amp;"//"&amp;Table1[[#This Row],[English]],"")</f>
        <v/>
      </c>
      <c r="H127" s="17" t="str">
        <f t="shared" si="2"/>
        <v/>
      </c>
    </row>
    <row r="128" spans="1:8" ht="30">
      <c r="A128" s="21" t="s">
        <v>137</v>
      </c>
      <c r="B128" s="21" t="s">
        <v>138</v>
      </c>
      <c r="C128" s="168"/>
      <c r="D128" s="157"/>
      <c r="E128" s="157"/>
      <c r="F128" s="18"/>
      <c r="G128" s="19" t="str">
        <f>IF(OR(Table1[[#This Row],[English]]&lt;&gt;"",Table1[[#This Row],[Français]]&lt;&gt;""),Table1[[#This Row],[Français]]&amp;"//"&amp;Table1[[#This Row],[English]],"")</f>
        <v>6. Dispositions diverses//6. Miscellaneous provisions</v>
      </c>
      <c r="H128" s="20" t="str">
        <f t="shared" si="2"/>
        <v/>
      </c>
    </row>
    <row r="129" spans="1:8" ht="37" customHeight="1">
      <c r="A129" s="99" t="s">
        <v>139</v>
      </c>
      <c r="B129" s="93" t="s">
        <v>140</v>
      </c>
      <c r="C129" s="164" t="s">
        <v>850</v>
      </c>
      <c r="D129" s="71" t="s">
        <v>851</v>
      </c>
      <c r="E129" s="71" t="s">
        <v>885</v>
      </c>
      <c r="F129" s="68"/>
      <c r="G129" s="69" t="str">
        <f>IF(OR(Table1[[#This Row],[English]]&lt;&gt;"",Table1[[#This Row],[Français]]&lt;&gt;""),Table1[[#This Row],[Français]]&amp;"//"&amp;Table1[[#This Row],[English]],"")</f>
        <v>Loi applicable en cas des différends//Governing law in case of dispute</v>
      </c>
      <c r="H129" s="70" t="str">
        <f t="shared" si="2"/>
        <v>The governing law for operations under the agreement shall be the laws of Ethiopia--Art. 12</v>
      </c>
    </row>
    <row r="130" spans="1:8" ht="151.5" customHeight="1">
      <c r="A130" s="99" t="s">
        <v>141</v>
      </c>
      <c r="B130" s="85" t="s">
        <v>142</v>
      </c>
      <c r="C130" s="164" t="s">
        <v>909</v>
      </c>
      <c r="D130" s="76" t="s">
        <v>852</v>
      </c>
      <c r="E130" s="76" t="s">
        <v>886</v>
      </c>
      <c r="F130" s="68"/>
      <c r="G130" s="69" t="str">
        <f>IF(OR(Table1[[#This Row],[English]]&lt;&gt;"",Table1[[#This Row],[Français]]&lt;&gt;""),Table1[[#This Row],[Français]]&amp;"//"&amp;Table1[[#This Row],[English]],"")</f>
        <v>Arbitrage et règlement des différends//Arbitration and dispute resolution</v>
      </c>
      <c r="H130" s="70" t="str">
        <f t="shared" si="2"/>
        <v>If a dispute arises between the Ministry of Agriculture and Horizon Plantations that is out of or in connection with this agreement, both parties will do their utmost to resolve the dispute amicably and to their mutual satisfaction. If they are unable to achieve such a settlement, the dispute shall be referred to the Ethiopian Federal Court. --Art. 17</v>
      </c>
    </row>
    <row r="131" spans="1:8" ht="41.25" customHeight="1">
      <c r="A131" s="99" t="s">
        <v>143</v>
      </c>
      <c r="B131" s="93" t="s">
        <v>144</v>
      </c>
      <c r="C131" s="176"/>
      <c r="D131" s="71"/>
      <c r="E131" s="71"/>
      <c r="F131" s="68"/>
      <c r="G131" s="69" t="str">
        <f>IF(OR(Table1[[#This Row],[English]]&lt;&gt;"",Table1[[#This Row],[Français]]&lt;&gt;""),Table1[[#This Row],[Français]]&amp;"//"&amp;Table1[[#This Row],[English]],"")</f>
        <v>Clause de stabilisation//Stabilization clause</v>
      </c>
      <c r="H131" s="70" t="str">
        <f t="shared" si="2"/>
        <v/>
      </c>
    </row>
    <row r="132" spans="1:8" ht="168.75" customHeight="1">
      <c r="A132" s="36" t="s">
        <v>145</v>
      </c>
      <c r="B132" s="10" t="s">
        <v>146</v>
      </c>
      <c r="C132" s="165" t="s">
        <v>911</v>
      </c>
      <c r="D132" s="10" t="s">
        <v>853</v>
      </c>
      <c r="E132" s="10" t="s">
        <v>887</v>
      </c>
      <c r="F132" s="11"/>
      <c r="G132" s="12" t="str">
        <f>IF(OR(Table1[[#This Row],[English]]&lt;&gt;"",Table1[[#This Row],[Français]]&lt;&gt;""),Table1[[#This Row],[Français]]&amp;"//"&amp;Table1[[#This Row],[English]],"")</f>
        <v>Cession / transfert//Assignment / transfer</v>
      </c>
      <c r="H132" s="13" t="str">
        <f t="shared" si="2"/>
        <v>Horizon Plantations has no right to transfer the land or properties developed on the land in favor of any other company or individual unless 75% of the leased land is developed. Upon developing 75% of the land, Horizon Plantations can transfer the land or properties developed on the land in favor of any other company or individual only with the prior permit of the Ministry of Agriculture. Horizon Plantations shall not have the right to transfer the remaining land which is not developed. --Arts. 4.12-4.14</v>
      </c>
    </row>
    <row r="133" spans="1:8" ht="334" customHeight="1">
      <c r="A133" s="36" t="s">
        <v>223</v>
      </c>
      <c r="B133" s="10" t="s">
        <v>147</v>
      </c>
      <c r="C133" s="165" t="s">
        <v>913</v>
      </c>
      <c r="D133" s="10" t="s">
        <v>912</v>
      </c>
      <c r="E133" s="10" t="s">
        <v>899</v>
      </c>
      <c r="F133" s="11"/>
      <c r="G133" s="12" t="str">
        <f>IF(OR(Table1[[#This Row],[English]]&lt;&gt;"",Table1[[#This Row],[Français]]&lt;&gt;""),Table1[[#This Row],[Français]]&amp;"//"&amp;Table1[[#This Row],[English]],"")</f>
        <v>Annulation / Résiliation //Cancellation / termination</v>
      </c>
      <c r="H133" s="13" t="str">
        <f t="shared" si="2"/>
        <v>Horizon Plantations has the right to terminate the land lease agreement subject to at least 6 months' prior written notice upon justified good cause. The Government has the right to terminate the land lease agreement subject to at least 6 months' prior written notice (i) for better public benefit, (ii) on the grounds of failure to develop the land within the time limits in accordance the contract obligation, (iii) on the grounds of any damage on the natural resources, or (iv) on the grounds of non-performance of due payment of lease charge. In the case of (ii), (iii) and (iv) above, if Horizon Plantations does not address such issue, the Government may extend the time period for such compliance or terminate the agreement. The land lease agreement may be terminated for a number of reasons, including upon (9.3) failure of the Government to fulfill or observe any of its obligations or covenants in the lease after Horizon Plantations has given written notice of 6 months and the Government fails to perform, (9.4) failure of Horizon Plantations to settle annual rental and other relevant tax payments for 2 consecutive years, (9.5) failure of Horizon Plantations to perform its obligations in the lease after the Government has given a 6 months' written notice calling upon them to observe and perform such obligations. The Government has the right to restore any land which is not developed with 6 months' advance notice and after Horizon Plantations has not cured the failure within 1 year.--Arts. 3.6, 5.4, 6.5, 9, 5.2</v>
      </c>
    </row>
    <row r="134" spans="1:8">
      <c r="A134" s="33" t="s">
        <v>148</v>
      </c>
      <c r="B134" s="33" t="s">
        <v>149</v>
      </c>
      <c r="C134" s="165"/>
      <c r="D134" s="10"/>
      <c r="E134" s="10"/>
      <c r="F134" s="11"/>
      <c r="G134" s="12" t="str">
        <f>IF(OR(Table1[[#This Row],[English]]&lt;&gt;"",Table1[[#This Row],[Français]]&lt;&gt;""),Table1[[#This Row],[Français]]&amp;"//"&amp;Table1[[#This Row],[English]],"")</f>
        <v>Indemnisation//Indemnification</v>
      </c>
      <c r="H134" s="13" t="str">
        <f t="shared" si="2"/>
        <v/>
      </c>
    </row>
    <row r="135" spans="1:8" ht="54" customHeight="1">
      <c r="A135" s="100" t="s">
        <v>150</v>
      </c>
      <c r="B135" s="76" t="s">
        <v>151</v>
      </c>
      <c r="C135" s="198"/>
      <c r="D135" s="71"/>
      <c r="E135" s="71"/>
      <c r="F135" s="68"/>
      <c r="G135" s="69" t="str">
        <f>IF(OR(Table1[[#This Row],[English]]&lt;&gt;"",Table1[[#This Row],[Français]]&lt;&gt;""),Table1[[#This Row],[Français]]&amp;"//"&amp;Table1[[#This Row],[English]],"")</f>
        <v>Confidentialité//Confidentiality</v>
      </c>
      <c r="H135" s="70" t="str">
        <f t="shared" si="2"/>
        <v/>
      </c>
    </row>
    <row r="136" spans="1:8">
      <c r="A136" s="100" t="s">
        <v>152</v>
      </c>
      <c r="B136" s="76" t="s">
        <v>153</v>
      </c>
      <c r="C136" s="176" t="s">
        <v>750</v>
      </c>
      <c r="D136" s="71"/>
      <c r="E136" s="71"/>
      <c r="F136" s="68"/>
      <c r="G136" s="69" t="str">
        <f>IF(OR(Table1[[#This Row],[English]]&lt;&gt;"",Table1[[#This Row],[Français]]&lt;&gt;""),Table1[[#This Row],[Français]]&amp;"//"&amp;Table1[[#This Row],[English]],"")</f>
        <v>Langue//Language</v>
      </c>
      <c r="H136" s="70" t="str">
        <f>IF(C136&lt;&gt;"",IF(D136&lt;&gt;"",C136&amp;"--"&amp;D136,C136),"")</f>
        <v>ENG</v>
      </c>
    </row>
    <row r="137" spans="1:8" ht="114" customHeight="1">
      <c r="A137" s="10" t="s">
        <v>231</v>
      </c>
      <c r="B137" s="10" t="s">
        <v>184</v>
      </c>
      <c r="C137" s="165" t="s">
        <v>871</v>
      </c>
      <c r="D137" s="10" t="s">
        <v>859</v>
      </c>
      <c r="E137" s="10" t="s">
        <v>888</v>
      </c>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Horizon Plantations shall provide correct data and investment activity reports upon request by the Ministry of Agriculture. The Ministry of Agriculture has the right to monitor and establish whether Horizon Plantations is discharging and accomplishing its obligations diligently.--Arts. 4.7, 5.1</v>
      </c>
    </row>
    <row r="138" spans="1:8" ht="75">
      <c r="A138" s="124" t="s">
        <v>217</v>
      </c>
      <c r="B138" s="124" t="s">
        <v>216</v>
      </c>
      <c r="C138" s="165" t="s">
        <v>857</v>
      </c>
      <c r="D138" s="10" t="s">
        <v>858</v>
      </c>
      <c r="E138" s="10" t="s">
        <v>889</v>
      </c>
      <c r="F138" s="11"/>
      <c r="G138" s="12" t="str">
        <f>IF(OR(Table1[[#This Row],[English]]&lt;&gt;"",Table1[[#This Row],[Français]]&lt;&gt;""),Table1[[#This Row],[Français]]&amp;"//"&amp;Table1[[#This Row],[English]],"")</f>
        <v>Clause de hardship ou force majeure//Hardship clause or force majeure</v>
      </c>
      <c r="H138" s="13" t="str">
        <f t="shared" si="2"/>
        <v>Conditions of force majeure shall be governed by the Ethiopian Civil code--Art. 13</v>
      </c>
    </row>
    <row r="139" spans="1:8">
      <c r="A139" s="10" t="s">
        <v>172</v>
      </c>
      <c r="B139" s="124" t="s">
        <v>170</v>
      </c>
      <c r="C139" s="193"/>
      <c r="D139" s="33"/>
      <c r="E139" s="33"/>
      <c r="F139" s="41"/>
      <c r="G139" s="42" t="str">
        <f>IF(OR(Table1[[#This Row],[English]]&lt;&gt;"",Table1[[#This Row],[Français]]&lt;&gt;""),Table1[[#This Row],[Français]]&amp;"//"&amp;Table1[[#This Row],[English]],"")</f>
        <v>Expropriation//Expropriation / nationalization</v>
      </c>
      <c r="H139" s="43" t="str">
        <f t="shared" si="2"/>
        <v/>
      </c>
    </row>
    <row r="140" spans="1:8">
      <c r="A140" s="83" t="s">
        <v>173</v>
      </c>
      <c r="B140" s="82" t="s">
        <v>171</v>
      </c>
      <c r="C140" s="189"/>
      <c r="D140" s="199"/>
      <c r="E140" s="161"/>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94"/>
      <c r="D141" s="156"/>
      <c r="E141" s="156"/>
      <c r="F141" s="15"/>
      <c r="G141" s="16" t="str">
        <f>IF(OR(Table1[[#This Row],[English]]&lt;&gt;"",Table1[[#This Row],[Français]]&lt;&gt;""),Table1[[#This Row],[Français]]&amp;"//"&amp;Table1[[#This Row],[English]],"")</f>
        <v/>
      </c>
      <c r="H141" s="17" t="str">
        <f t="shared" si="2"/>
        <v/>
      </c>
    </row>
    <row r="142" spans="1:8" ht="30">
      <c r="A142" s="21" t="s">
        <v>154</v>
      </c>
      <c r="B142" s="21" t="s">
        <v>155</v>
      </c>
      <c r="C142" s="190"/>
      <c r="D142" s="162"/>
      <c r="E142" s="162"/>
      <c r="F142" s="21"/>
      <c r="G142" s="45" t="str">
        <f>IF(OR(Table1[[#This Row],[English]]&lt;&gt;"",Table1[[#This Row],[Français]]&lt;&gt;""),Table1[[#This Row],[Français]]&amp;"//"&amp;Table1[[#This Row],[English]],"")</f>
        <v>III. Notes sur le document//III. Document notes</v>
      </c>
      <c r="H142" s="46" t="str">
        <f t="shared" si="2"/>
        <v/>
      </c>
    </row>
    <row r="143" spans="1:8" ht="75">
      <c r="A143" s="10" t="s">
        <v>156</v>
      </c>
      <c r="B143" s="10" t="s">
        <v>872</v>
      </c>
      <c r="C143" s="191" t="s">
        <v>855</v>
      </c>
      <c r="D143" s="33" t="s">
        <v>856</v>
      </c>
      <c r="E143" s="33" t="s">
        <v>890</v>
      </c>
      <c r="F143" s="41"/>
      <c r="G143" s="42" t="str">
        <f>IF(OR(Table1[[#This Row],[English]]&lt;&gt;"",Table1[[#This Row],[Français]]&lt;&gt;""),Table1[[#This Row],[Français]]&amp;"//"&amp;Table1[[#This Row],[English]],"")</f>
        <v>Pages Manquantes de la copie//Pages missing from copy</v>
      </c>
      <c r="H143" s="43" t="str">
        <f t="shared" si="2"/>
        <v>The site plan of the leased land and the environmental code of practice--Art. 16</v>
      </c>
    </row>
    <row r="144" spans="1:8" ht="30">
      <c r="A144" s="10" t="s">
        <v>158</v>
      </c>
      <c r="B144" s="10" t="s">
        <v>159</v>
      </c>
      <c r="C144" s="165"/>
      <c r="D144" s="10"/>
      <c r="E144" s="10"/>
      <c r="F144" s="22"/>
      <c r="G144" s="23" t="str">
        <f>IF(OR(Table1[[#This Row],[English]]&lt;&gt;"",Table1[[#This Row],[Français]]&lt;&gt;""),Table1[[#This Row],[Français]]&amp;"//"&amp;Table1[[#This Row],[English]],"")</f>
        <v>Annexes Manquantes de la copie//Annexes missing from copy</v>
      </c>
      <c r="H144" s="13" t="str">
        <f t="shared" si="2"/>
        <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5" type="noConversion"/>
  <dataValidations count="3">
    <dataValidation type="list" allowBlank="1" showInputMessage="1" showErrorMessage="1" sqref="C19">
      <formula1>countries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B7" sqref="B7"/>
    </sheetView>
  </sheetViews>
  <sheetFormatPr baseColWidth="10" defaultColWidth="8.5" defaultRowHeight="16" x14ac:dyDescent="0"/>
  <cols>
    <col min="1" max="1" width="30.5" customWidth="1"/>
    <col min="2" max="2" width="31.83203125" style="215" customWidth="1"/>
    <col min="3" max="3" width="23" bestFit="1" customWidth="1"/>
  </cols>
  <sheetData>
    <row r="1" spans="1:2" ht="15">
      <c r="A1" s="49" t="s">
        <v>160</v>
      </c>
      <c r="B1" s="214" t="s">
        <v>161</v>
      </c>
    </row>
    <row r="2" spans="1:2">
      <c r="A2" s="212" t="s">
        <v>743</v>
      </c>
      <c r="B2" s="215" t="str">
        <f>IF(Categories!C136&lt;&gt;"",Categories!C136,"ENG")</f>
        <v>ENG</v>
      </c>
    </row>
    <row r="3" spans="1:2">
      <c r="A3" s="50" t="s">
        <v>237</v>
      </c>
      <c r="B3" s="216" t="str">
        <f>IF(Categories!C19&lt;&gt;"",Categories!C19,"")</f>
        <v>Ethiopia</v>
      </c>
    </row>
    <row r="4" spans="1:2">
      <c r="A4" s="50" t="s">
        <v>729</v>
      </c>
      <c r="B4" s="216" t="str">
        <f>IF(Categories!C19&lt;&gt;"",VLOOKUP(Categories!C19,picklists!A2:B248,2,FALSE), "")</f>
        <v>ETH</v>
      </c>
    </row>
    <row r="5" spans="1:2">
      <c r="A5" t="s">
        <v>731</v>
      </c>
      <c r="B5" s="215" t="str">
        <f>IF(Categories!C51&lt;&gt;"",Categories!C51,"")</f>
        <v xml:space="preserve">Ground nut farming </v>
      </c>
    </row>
    <row r="6" spans="1:2">
      <c r="A6" s="50" t="s">
        <v>162</v>
      </c>
      <c r="B6" s="216" t="str">
        <f>IF(Categories!C27&lt;&gt;"",VLOOKUP(Categories!C27,picklists!I3:J26,IF(B2="ENG",1,IF(B2="FRE",2,1)),FALSE),"")</f>
        <v>Lease</v>
      </c>
    </row>
    <row r="7" spans="1:2" ht="15">
      <c r="A7" s="50" t="s">
        <v>163</v>
      </c>
      <c r="B7" s="233">
        <v>40914</v>
      </c>
    </row>
    <row r="8" spans="1:2">
      <c r="A8" t="s">
        <v>164</v>
      </c>
      <c r="B8" s="215">
        <f>IF(Categories!C48&lt;&gt;"",Categories!C48,"")</f>
        <v>2012</v>
      </c>
    </row>
    <row r="9" spans="1:2">
      <c r="A9" t="s">
        <v>165</v>
      </c>
      <c r="B9" s="215" t="str">
        <f>IF(Categories!C49&lt;&gt;"",Categories!C49,"")</f>
        <v>25 years</v>
      </c>
    </row>
    <row r="10" spans="1:2" ht="15">
      <c r="A10" s="232" t="s">
        <v>739</v>
      </c>
      <c r="B10" s="232"/>
    </row>
    <row r="11" spans="1:2">
      <c r="A11" s="211" t="s">
        <v>12</v>
      </c>
      <c r="B11" s="215" t="str">
        <f>IF(Categories!C20&lt;&gt;"",Categories!C20,"")</f>
        <v>Horizon Plantations PLC</v>
      </c>
    </row>
    <row r="12" spans="1:2">
      <c r="A12" s="211" t="s">
        <v>235</v>
      </c>
      <c r="B12" s="215" t="str">
        <f>IF(Categories!C21&lt;&gt;"",Categories!C21,"")</f>
        <v/>
      </c>
    </row>
    <row r="13" spans="1:2">
      <c r="A13" s="211" t="s">
        <v>14</v>
      </c>
      <c r="B13" s="215" t="str">
        <f>IF(Categories!C22&lt;&gt;"",Categories!C22,"")</f>
        <v>H.no 1250 Kebele 01, Addis Ketema Sub city, Addis Ababa, Ethiopia</v>
      </c>
    </row>
    <row r="14" spans="1:2">
      <c r="A14" s="211" t="s">
        <v>16</v>
      </c>
      <c r="B14" s="215" t="str">
        <f>IF(Categories!C23&lt;&gt;"",Categories!C23,"")</f>
        <v/>
      </c>
    </row>
    <row r="15" spans="1:2">
      <c r="A15" s="211" t="s">
        <v>740</v>
      </c>
      <c r="B15" s="215" t="str">
        <f>IF(Categories!C24&lt;&gt;"",Categories!C24,"")</f>
        <v/>
      </c>
    </row>
    <row r="16" spans="1:2">
      <c r="A16" s="211" t="s">
        <v>235</v>
      </c>
      <c r="B16" s="215" t="str">
        <f>IF(Categories!C25&lt;&gt;"",Categories!C25,"")</f>
        <v/>
      </c>
    </row>
    <row r="17" spans="1:2">
      <c r="A17" s="211" t="s">
        <v>19</v>
      </c>
      <c r="B17" s="215" t="str">
        <f>IF(Categories!C26&lt;&gt;"",Categories!C26,"")</f>
        <v/>
      </c>
    </row>
    <row r="18" spans="1:2">
      <c r="A18" s="211" t="s">
        <v>22</v>
      </c>
      <c r="B18" s="215" t="str">
        <f>IF(Categories!C28&lt;&gt;"",Categories!C28,"")</f>
        <v/>
      </c>
    </row>
    <row r="19" spans="1:2" ht="30">
      <c r="A19" s="211" t="s">
        <v>23</v>
      </c>
      <c r="B19" s="215" t="str">
        <f>IF(Categories!C29&lt;&gt;"",Categories!C29,"")</f>
        <v/>
      </c>
    </row>
    <row r="20" spans="1:2">
      <c r="A20" s="211" t="s">
        <v>741</v>
      </c>
      <c r="B20" s="215" t="str">
        <f>IF(Categories!C30&lt;&gt;"",Categories!C30,"")</f>
        <v xml:space="preserve">Benshangul Gumuz Regional State, Metekel Zone, Guba District Aychichiniya Abultu kebele </v>
      </c>
    </row>
    <row r="21" spans="1:2">
      <c r="A21" s="211" t="s">
        <v>25</v>
      </c>
      <c r="B21" s="215" t="str">
        <f>IF(Categories!C31&lt;&gt;"",Categories!C31,"")</f>
        <v/>
      </c>
    </row>
    <row r="22" spans="1:2">
      <c r="A22" s="211" t="s">
        <v>27</v>
      </c>
      <c r="B22" s="215" t="str">
        <f>IF(Categories!C32&lt;&gt;"",Categories!C32,"")</f>
        <v/>
      </c>
    </row>
    <row r="23" spans="1:2">
      <c r="A23" s="211" t="s">
        <v>29</v>
      </c>
      <c r="B23" s="215" t="str">
        <f>IF(Categories!C33&lt;&gt;"",Categories!C33,"")</f>
        <v/>
      </c>
    </row>
    <row r="24" spans="1:2">
      <c r="A24" s="211" t="s">
        <v>31</v>
      </c>
      <c r="B24" s="215" t="str">
        <f>IF(Categories!C34&lt;&gt;"",Categories!C34,"")</f>
        <v/>
      </c>
    </row>
    <row r="25" spans="1:2">
      <c r="A25" s="211" t="s">
        <v>742</v>
      </c>
      <c r="B25" s="215" t="str">
        <f>IF(B24&lt;&gt;"",YEAR(B24),"")</f>
        <v/>
      </c>
    </row>
    <row r="26" spans="1:2">
      <c r="A26" s="211" t="s">
        <v>33</v>
      </c>
      <c r="B26" s="215" t="str">
        <f>IF(Categories!C35&lt;&gt;"",Categories!C35,"")</f>
        <v/>
      </c>
    </row>
    <row r="27" spans="1:2">
      <c r="A27" s="211" t="s">
        <v>35</v>
      </c>
      <c r="B27" s="215" t="str">
        <f>IF(Categories!C36&lt;&gt;"",Categories!C36,"")</f>
        <v/>
      </c>
    </row>
    <row r="28" spans="1:2" ht="45">
      <c r="A28" s="211" t="s">
        <v>41</v>
      </c>
      <c r="B28" s="215" t="str">
        <f>IF(Categories!C40&lt;&gt;"",Categories!C40,"")</f>
        <v>Horizon Plantations PLC</v>
      </c>
    </row>
    <row r="29" spans="1:2">
      <c r="A29" s="211" t="s">
        <v>235</v>
      </c>
      <c r="B29" s="215" t="str">
        <f>IF(Categories!C41&lt;&gt;"",Categories!C41,"")</f>
        <v/>
      </c>
    </row>
    <row r="30" spans="1:2">
      <c r="A30" s="211" t="s">
        <v>43</v>
      </c>
      <c r="B30" s="215" t="str">
        <f>IF(Categories!C42&lt;&gt;"",Categories!C42,"")</f>
        <v>Jemal Ahmed, General Manager, Horizon Plantations PLC</v>
      </c>
    </row>
    <row r="31" spans="1:2" ht="30">
      <c r="A31" s="211" t="s">
        <v>45</v>
      </c>
      <c r="B31" s="215" t="str">
        <f>IF(Categories!C43&lt;&gt;"",Categories!C43,"")</f>
        <v>Ministry of Agriculture of the Federal Democratic Republic of Ethiopia</v>
      </c>
    </row>
    <row r="32" spans="1:2">
      <c r="A32" s="211" t="s">
        <v>47</v>
      </c>
      <c r="B32" s="215" t="str">
        <f>IF(Categories!C44&lt;&gt;"",Categories!C44,"")</f>
        <v>Tefera Derbew, Minister of Agriculture</v>
      </c>
    </row>
    <row r="33" spans="1:2" ht="30">
      <c r="A33" s="211" t="s">
        <v>49</v>
      </c>
      <c r="B33" s="215" t="str">
        <f>IF(Categories!C45&lt;&gt;"",Categories!C45,"")</f>
        <v/>
      </c>
    </row>
    <row r="34" spans="1:2" ht="30">
      <c r="A34" s="211" t="s">
        <v>166</v>
      </c>
      <c r="B34" s="215" t="str">
        <f>IF(Categories!C46&lt;&gt;"",Categories!C46,"")</f>
        <v/>
      </c>
    </row>
    <row r="35" spans="1:2">
      <c r="A35" s="211" t="s">
        <v>57</v>
      </c>
      <c r="B35" s="215" t="str">
        <f>IF(Categories!C50&lt;&gt;"",Categories!C50,"")</f>
        <v xml:space="preserve">The agreement can be renewed for another additional years mutually agreed between the parties. The agreement shall be renewed on the same terms and conditions. If any of the parties wish to renew the agreement, it shall inform the other party at least 6 months before the expiration of the contract period. </v>
      </c>
    </row>
    <row r="36" spans="1:2">
      <c r="A36" s="211" t="s">
        <v>212</v>
      </c>
      <c r="B36" s="215" t="str">
        <f>IF(Categories!C52&lt;&gt;"",Categories!C52,"")</f>
        <v>20,000 hectares. Horizon Plantations has the right to get additional land based on its performance, accomplishment and need</v>
      </c>
    </row>
    <row r="37" spans="1:2">
      <c r="A37" s="213" t="s">
        <v>157</v>
      </c>
      <c r="B37" s="215" t="str">
        <f>IF(Categories!C143&lt;&gt;"",Categories!C143,"")</f>
        <v>The site plan of the leased land and the environmental code of practice</v>
      </c>
    </row>
    <row r="38" spans="1:2">
      <c r="A38" s="213" t="s">
        <v>159</v>
      </c>
      <c r="B38" s="215" t="str">
        <f>IF(Categories!C144&lt;&gt;"",Categories!C144,"")</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5" customWidth="1"/>
    <col min="9" max="9" width="23.5" bestFit="1" customWidth="1"/>
    <col min="10" max="10" width="17.83203125" customWidth="1"/>
  </cols>
  <sheetData>
    <row r="1" spans="1:13">
      <c r="A1" t="s">
        <v>237</v>
      </c>
      <c r="B1" t="s">
        <v>238</v>
      </c>
      <c r="D1" t="s">
        <v>730</v>
      </c>
      <c r="H1" t="s">
        <v>732</v>
      </c>
      <c r="I1" t="s">
        <v>732</v>
      </c>
      <c r="L1" t="s">
        <v>743</v>
      </c>
    </row>
    <row r="2" spans="1:13">
      <c r="A2" t="s">
        <v>239</v>
      </c>
      <c r="B2" t="s">
        <v>240</v>
      </c>
      <c r="D2" t="str">
        <f>IF(Metadata!B2="ENG",E2,F2)</f>
        <v>Aluminium</v>
      </c>
      <c r="E2" t="s">
        <v>813</v>
      </c>
      <c r="F2" t="s">
        <v>814</v>
      </c>
      <c r="H2" t="str">
        <f>IF(Metadata!B2="ENG",I2,J2)</f>
        <v>Amodiation contract</v>
      </c>
      <c r="I2" t="s">
        <v>808</v>
      </c>
      <c r="J2" t="s">
        <v>809</v>
      </c>
      <c r="L2" t="s">
        <v>750</v>
      </c>
      <c r="M2" t="s">
        <v>752</v>
      </c>
    </row>
    <row r="3" spans="1:13">
      <c r="A3" t="s">
        <v>241</v>
      </c>
      <c r="B3" t="s">
        <v>242</v>
      </c>
      <c r="D3" t="str">
        <f>IF(Metadata!B2="ENG",E3,F3)</f>
        <v>Base metals</v>
      </c>
      <c r="E3" t="s">
        <v>763</v>
      </c>
      <c r="F3" t="s">
        <v>831</v>
      </c>
      <c r="H3" t="str">
        <f>IF(Metadata!B2="ENG",I3,J3)</f>
        <v>Concession</v>
      </c>
      <c r="I3" s="210" t="s">
        <v>734</v>
      </c>
      <c r="J3" s="210" t="s">
        <v>734</v>
      </c>
      <c r="L3" t="s">
        <v>751</v>
      </c>
      <c r="M3" t="s">
        <v>749</v>
      </c>
    </row>
    <row r="4" spans="1:13">
      <c r="A4" t="s">
        <v>243</v>
      </c>
      <c r="B4" t="s">
        <v>244</v>
      </c>
      <c r="D4" t="str">
        <f>IF(Metadata!B2="ENG",E4,F4)</f>
        <v>Bauxite</v>
      </c>
      <c r="E4" s="217" t="s">
        <v>764</v>
      </c>
      <c r="F4" s="217" t="s">
        <v>764</v>
      </c>
      <c r="H4" t="str">
        <f>IF(Metadata!B2="ENG",I4,J4)</f>
        <v>Convention</v>
      </c>
      <c r="I4" t="s">
        <v>753</v>
      </c>
      <c r="J4" t="s">
        <v>753</v>
      </c>
    </row>
    <row r="5" spans="1:13">
      <c r="A5" t="s">
        <v>245</v>
      </c>
      <c r="B5" t="s">
        <v>246</v>
      </c>
      <c r="D5" t="str">
        <f>IF(Metadata!B2="ENG",E5,F5)</f>
        <v>Coal</v>
      </c>
      <c r="E5" t="s">
        <v>765</v>
      </c>
      <c r="F5" t="s">
        <v>766</v>
      </c>
      <c r="H5" t="str">
        <f>IF(Metadata!B2="ENG",I5,J5)</f>
        <v>Exploration Permit/License</v>
      </c>
      <c r="I5" s="210" t="s">
        <v>733</v>
      </c>
      <c r="J5" t="s">
        <v>744</v>
      </c>
    </row>
    <row r="6" spans="1:13" ht="30">
      <c r="A6" t="s">
        <v>247</v>
      </c>
      <c r="B6" t="s">
        <v>248</v>
      </c>
      <c r="D6" t="str">
        <f>IF(Metadata!B2="ENG",E6,F6)</f>
        <v>Cobalt</v>
      </c>
      <c r="E6" t="s">
        <v>767</v>
      </c>
      <c r="F6" t="s">
        <v>767</v>
      </c>
      <c r="H6" t="str">
        <f>IF(Metadata!B2="ENG",I6,J6)</f>
        <v>Exploitation Permit/License</v>
      </c>
      <c r="I6" s="210" t="s">
        <v>754</v>
      </c>
      <c r="J6" t="s">
        <v>755</v>
      </c>
    </row>
    <row r="7" spans="1:13" ht="30">
      <c r="A7" t="s">
        <v>249</v>
      </c>
      <c r="B7" t="s">
        <v>250</v>
      </c>
      <c r="D7" t="str">
        <f>IF(Metadata!B2="ENG",E7,F7)</f>
        <v>Copper</v>
      </c>
      <c r="E7" t="s">
        <v>768</v>
      </c>
      <c r="F7" t="s">
        <v>820</v>
      </c>
      <c r="H7" t="str">
        <f>IF(Metadata!B2="ENG",I7,J7)</f>
        <v>Forestry Concession Contract</v>
      </c>
      <c r="I7" s="210" t="s">
        <v>761</v>
      </c>
      <c r="J7" t="s">
        <v>762</v>
      </c>
    </row>
    <row r="8" spans="1:13">
      <c r="A8" t="s">
        <v>251</v>
      </c>
      <c r="B8" t="s">
        <v>252</v>
      </c>
      <c r="D8" t="str">
        <f>IF(Metadata!B2="ENG",E8,F8)</f>
        <v>Crude oil</v>
      </c>
      <c r="E8" t="s">
        <v>769</v>
      </c>
      <c r="F8" t="s">
        <v>770</v>
      </c>
      <c r="H8" t="str">
        <f>IF(Metadata!B2="ENG",I8,J8)</f>
        <v>Investment Agreement</v>
      </c>
      <c r="I8" s="210" t="s">
        <v>756</v>
      </c>
      <c r="J8" t="s">
        <v>803</v>
      </c>
    </row>
    <row r="9" spans="1:13" ht="30">
      <c r="A9" t="s">
        <v>253</v>
      </c>
      <c r="B9" t="s">
        <v>254</v>
      </c>
      <c r="D9" t="str">
        <f>IF(Metadata!B2="ENG",E9,F9)</f>
        <v>Diamonds</v>
      </c>
      <c r="E9" t="s">
        <v>771</v>
      </c>
      <c r="F9" t="s">
        <v>821</v>
      </c>
      <c r="H9" t="str">
        <f>IF(Metadata!B2="ENG",I9,J9)</f>
        <v>Investment Incentive Contract</v>
      </c>
      <c r="I9" s="210" t="s">
        <v>757</v>
      </c>
      <c r="J9" t="s">
        <v>804</v>
      </c>
    </row>
    <row r="10" spans="1:13">
      <c r="A10" t="s">
        <v>255</v>
      </c>
      <c r="B10" t="s">
        <v>256</v>
      </c>
      <c r="D10" t="str">
        <f>IF(Metadata!B2="ENG",E10,F10)</f>
        <v>Gas</v>
      </c>
      <c r="E10" t="s">
        <v>772</v>
      </c>
      <c r="F10" t="s">
        <v>773</v>
      </c>
      <c r="H10" t="str">
        <f>IF(Metadata!B2="ENG",I10,J10)</f>
        <v>Joint Venture Contract</v>
      </c>
      <c r="I10" t="s">
        <v>758</v>
      </c>
      <c r="J10" t="s">
        <v>805</v>
      </c>
      <c r="K10" s="220"/>
    </row>
    <row r="11" spans="1:13">
      <c r="A11" t="s">
        <v>257</v>
      </c>
      <c r="B11" t="s">
        <v>258</v>
      </c>
      <c r="D11" t="str">
        <f>IF(Metadata!B2="ENG",E11,F11)</f>
        <v>Gold</v>
      </c>
      <c r="E11" t="s">
        <v>774</v>
      </c>
      <c r="F11" t="s">
        <v>775</v>
      </c>
      <c r="H11" t="str">
        <f>IF(Metadata!B2="ENG",I11,J11)</f>
        <v>Lease</v>
      </c>
      <c r="I11" t="s">
        <v>737</v>
      </c>
      <c r="J11" t="s">
        <v>747</v>
      </c>
    </row>
    <row r="12" spans="1:13" ht="30">
      <c r="A12" t="s">
        <v>259</v>
      </c>
      <c r="B12" t="s">
        <v>260</v>
      </c>
      <c r="D12" t="str">
        <f>IF(Metadata!B2="ENG",E12,F12)</f>
        <v>Iron ore</v>
      </c>
      <c r="E12" t="s">
        <v>776</v>
      </c>
      <c r="F12" t="s">
        <v>812</v>
      </c>
      <c r="H12" t="str">
        <f>IF(Metadata!B2="ENG",I12,J12)</f>
        <v>Production Sharing Agreement</v>
      </c>
      <c r="I12" s="210" t="s">
        <v>738</v>
      </c>
      <c r="J12" t="s">
        <v>745</v>
      </c>
    </row>
    <row r="13" spans="1:13" ht="45">
      <c r="A13" t="s">
        <v>261</v>
      </c>
      <c r="B13" t="s">
        <v>262</v>
      </c>
      <c r="D13" t="str">
        <f>IF(Metadata!B2="ENG",E13,F13)</f>
        <v>Lapis lazuli</v>
      </c>
      <c r="E13" t="s">
        <v>777</v>
      </c>
      <c r="F13" t="s">
        <v>817</v>
      </c>
      <c r="H13" t="str">
        <f>IF(Metadata!B2="ENG",I13,J13)</f>
        <v>Operating Agreement between Private Companies</v>
      </c>
      <c r="I13" s="210" t="s">
        <v>759</v>
      </c>
      <c r="J13" t="s">
        <v>806</v>
      </c>
    </row>
    <row r="14" spans="1:13">
      <c r="A14" t="s">
        <v>263</v>
      </c>
      <c r="B14" t="s">
        <v>264</v>
      </c>
      <c r="D14" t="str">
        <f>IF(Metadata!B2="ENG",E14,F14)</f>
        <v>Lead</v>
      </c>
      <c r="E14" t="s">
        <v>778</v>
      </c>
      <c r="F14" t="s">
        <v>818</v>
      </c>
      <c r="H14" t="str">
        <f>IF(Metadata!B2="ENG",I14,J14)</f>
        <v>Options contract</v>
      </c>
      <c r="I14" s="210" t="s">
        <v>810</v>
      </c>
      <c r="J14" t="s">
        <v>811</v>
      </c>
    </row>
    <row r="15" spans="1:13">
      <c r="A15" t="s">
        <v>265</v>
      </c>
      <c r="B15" t="s">
        <v>266</v>
      </c>
      <c r="D15" t="str">
        <f>IF(Metadata!B2="ENG",E15,F15)</f>
        <v>Lithium</v>
      </c>
      <c r="E15" t="s">
        <v>779</v>
      </c>
      <c r="F15" t="s">
        <v>779</v>
      </c>
      <c r="H15" t="str">
        <f>IF(Metadata!B2="ENG",I15,J15)</f>
        <v>Profit Sharing Contract</v>
      </c>
      <c r="I15" s="210" t="s">
        <v>760</v>
      </c>
      <c r="J15" t="s">
        <v>807</v>
      </c>
    </row>
    <row r="16" spans="1:13">
      <c r="A16" t="s">
        <v>267</v>
      </c>
      <c r="B16" t="s">
        <v>268</v>
      </c>
      <c r="D16" t="str">
        <f>IF(Metadata!B2="ENG",E16,F16)</f>
        <v>Manganese</v>
      </c>
      <c r="E16" t="s">
        <v>780</v>
      </c>
      <c r="F16" t="s">
        <v>819</v>
      </c>
      <c r="H16" t="str">
        <f>IF(Metadata!B2="ENG",I16,J16)</f>
        <v>Service Contract</v>
      </c>
      <c r="I16" s="210" t="s">
        <v>735</v>
      </c>
      <c r="J16" t="s">
        <v>746</v>
      </c>
    </row>
    <row r="17" spans="1:10">
      <c r="A17" t="s">
        <v>269</v>
      </c>
      <c r="B17" t="s">
        <v>270</v>
      </c>
      <c r="D17" t="str">
        <f>IF(Metadata!B2="ENG",E17,F17)</f>
        <v>Molybdenum</v>
      </c>
      <c r="E17" t="s">
        <v>815</v>
      </c>
      <c r="F17" t="s">
        <v>816</v>
      </c>
      <c r="H17" t="str">
        <f>IF(Metadata!B2="ENG",I17,J17)</f>
        <v>Other</v>
      </c>
      <c r="I17" s="210" t="s">
        <v>736</v>
      </c>
      <c r="J17" t="s">
        <v>748</v>
      </c>
    </row>
    <row r="18" spans="1:10">
      <c r="A18" t="s">
        <v>271</v>
      </c>
      <c r="B18" t="s">
        <v>272</v>
      </c>
      <c r="D18" t="str">
        <f>IF(Metadata!B2="ENG",E18,F18)</f>
        <v>Nickel</v>
      </c>
      <c r="E18" t="s">
        <v>781</v>
      </c>
      <c r="F18" t="s">
        <v>781</v>
      </c>
      <c r="H18">
        <f>IF(Metadata!B2="ENG",I18,J18)</f>
        <v>0</v>
      </c>
    </row>
    <row r="19" spans="1:10">
      <c r="A19" t="s">
        <v>273</v>
      </c>
      <c r="B19" t="s">
        <v>274</v>
      </c>
      <c r="D19" t="str">
        <f>IF(Metadata!B2="ENG",E19,F19)</f>
        <v>Phosphate rock</v>
      </c>
      <c r="E19" t="s">
        <v>782</v>
      </c>
      <c r="F19" t="s">
        <v>822</v>
      </c>
      <c r="H19">
        <f>IF(Metadata!B2="ENG",I19,J19)</f>
        <v>0</v>
      </c>
    </row>
    <row r="20" spans="1:10">
      <c r="A20" t="s">
        <v>275</v>
      </c>
      <c r="B20" t="s">
        <v>276</v>
      </c>
      <c r="D20" t="str">
        <f>IF(Metadata!B2="ENG",E20,F20)</f>
        <v>Platinum Group Metals</v>
      </c>
      <c r="E20" t="s">
        <v>783</v>
      </c>
      <c r="F20" t="s">
        <v>823</v>
      </c>
      <c r="H20">
        <f>IF(Metadata!B2="ENG",I20,J20)</f>
        <v>0</v>
      </c>
    </row>
    <row r="21" spans="1:10">
      <c r="A21" t="s">
        <v>277</v>
      </c>
      <c r="B21" t="s">
        <v>278</v>
      </c>
      <c r="D21" t="str">
        <f>IF(Metadata!B2="ENG",E21,F21)</f>
        <v>Precious stones</v>
      </c>
      <c r="E21" t="s">
        <v>784</v>
      </c>
      <c r="F21" t="s">
        <v>824</v>
      </c>
      <c r="H21">
        <f>IF(Metadata!B2="ENG",I21,J21)</f>
        <v>0</v>
      </c>
    </row>
    <row r="22" spans="1:10">
      <c r="A22" t="s">
        <v>279</v>
      </c>
      <c r="B22" t="s">
        <v>280</v>
      </c>
      <c r="D22" t="str">
        <f>IF(Metadata!B2="ENG",E22,F22)</f>
        <v>Quartz</v>
      </c>
      <c r="E22" t="s">
        <v>785</v>
      </c>
      <c r="F22" t="s">
        <v>785</v>
      </c>
      <c r="H22">
        <f>IF(Metadata!B2="ENG",I22,J22)</f>
        <v>0</v>
      </c>
    </row>
    <row r="23" spans="1:10">
      <c r="A23" t="s">
        <v>281</v>
      </c>
      <c r="B23" t="s">
        <v>282</v>
      </c>
      <c r="D23" t="str">
        <f>IF(Metadata!B2="ENG",E23,F23)</f>
        <v>Semi-precious stones</v>
      </c>
      <c r="E23" t="s">
        <v>786</v>
      </c>
      <c r="F23" t="s">
        <v>825</v>
      </c>
      <c r="H23">
        <f>IF(Metadata!B2="ENG",I23,J23)</f>
        <v>0</v>
      </c>
    </row>
    <row r="24" spans="1:10">
      <c r="A24" t="s">
        <v>283</v>
      </c>
      <c r="B24" t="s">
        <v>284</v>
      </c>
      <c r="D24" t="str">
        <f>IF(Metadata!B2="ENG",E24,F24)</f>
        <v>Silver</v>
      </c>
      <c r="E24" t="s">
        <v>787</v>
      </c>
      <c r="F24" t="s">
        <v>826</v>
      </c>
      <c r="H24">
        <f>IF(Metadata!B2="ENG",I24,J24)</f>
        <v>0</v>
      </c>
    </row>
    <row r="25" spans="1:10">
      <c r="A25" t="s">
        <v>285</v>
      </c>
      <c r="B25" t="s">
        <v>286</v>
      </c>
      <c r="D25" t="str">
        <f>IF(Metadata!B2="ENG",E25,F25)</f>
        <v>Titanium</v>
      </c>
      <c r="E25" t="s">
        <v>788</v>
      </c>
      <c r="F25" t="s">
        <v>827</v>
      </c>
      <c r="H25">
        <f>IF(Metadata!B2="ENG",I25,J25)</f>
        <v>0</v>
      </c>
    </row>
    <row r="26" spans="1:10">
      <c r="A26" t="s">
        <v>287</v>
      </c>
      <c r="B26" t="s">
        <v>288</v>
      </c>
      <c r="D26" t="str">
        <f>IF(Metadata!B2="ENG",E26,F26)</f>
        <v>Uranium</v>
      </c>
      <c r="E26" t="s">
        <v>789</v>
      </c>
      <c r="F26" t="s">
        <v>789</v>
      </c>
      <c r="H26">
        <f>IF(Metadata!B2="ENG",I26,J26)</f>
        <v>0</v>
      </c>
    </row>
    <row r="27" spans="1:10">
      <c r="A27" t="s">
        <v>289</v>
      </c>
      <c r="B27" t="s">
        <v>290</v>
      </c>
      <c r="D27" t="str">
        <f>IF(Metadata!B2="ENG",E27,F27)</f>
        <v>Zinc</v>
      </c>
      <c r="E27" t="s">
        <v>790</v>
      </c>
      <c r="F27" t="s">
        <v>790</v>
      </c>
      <c r="H27">
        <f>IF(Metadata!B2="ENG",I27,J27)</f>
        <v>0</v>
      </c>
    </row>
    <row r="28" spans="1:10">
      <c r="A28" t="s">
        <v>291</v>
      </c>
      <c r="B28" t="s">
        <v>292</v>
      </c>
      <c r="D28" t="str">
        <f>IF(Metadata!B2="ENG",E28,F28)</f>
        <v>Citrus</v>
      </c>
      <c r="E28" t="s">
        <v>791</v>
      </c>
      <c r="F28" t="s">
        <v>791</v>
      </c>
      <c r="H28">
        <f>IF(Metadata!B2="ENG",I28,J28)</f>
        <v>0</v>
      </c>
    </row>
    <row r="29" spans="1:10">
      <c r="A29" t="s">
        <v>293</v>
      </c>
      <c r="B29" t="s">
        <v>294</v>
      </c>
      <c r="D29" t="str">
        <f>IF(Metadata!B2="ENG",E29,F29)</f>
        <v>Food crops</v>
      </c>
      <c r="E29" t="s">
        <v>792</v>
      </c>
      <c r="F29" t="s">
        <v>793</v>
      </c>
      <c r="H29">
        <f>IF(Metadata!B2="ENG",I29,J29)</f>
        <v>0</v>
      </c>
    </row>
    <row r="30" spans="1:10">
      <c r="A30" t="s">
        <v>295</v>
      </c>
      <c r="B30" t="s">
        <v>296</v>
      </c>
      <c r="D30" t="str">
        <f>IF(Metadata!B2="ENG",E30,F30)</f>
        <v>Hydrocarbons</v>
      </c>
      <c r="E30" t="s">
        <v>794</v>
      </c>
      <c r="F30" t="s">
        <v>828</v>
      </c>
      <c r="H30">
        <f>IF(Metadata!B2="ENG",I30,J30)</f>
        <v>0</v>
      </c>
    </row>
    <row r="31" spans="1:10">
      <c r="A31" t="s">
        <v>297</v>
      </c>
      <c r="B31" t="s">
        <v>298</v>
      </c>
      <c r="D31" t="str">
        <f>IF(Metadata!B2="ENG",E31,F31)</f>
        <v>Palm oil</v>
      </c>
      <c r="E31" t="s">
        <v>795</v>
      </c>
      <c r="F31" t="s">
        <v>796</v>
      </c>
      <c r="H31">
        <f>IF(Metadata!B2="ENG",I31,J31)</f>
        <v>0</v>
      </c>
    </row>
    <row r="32" spans="1:10">
      <c r="A32" t="s">
        <v>299</v>
      </c>
      <c r="B32" t="s">
        <v>300</v>
      </c>
      <c r="D32" t="str">
        <f>IF(Metadata!B2="ENG",E32,F32)</f>
        <v>Rubber</v>
      </c>
      <c r="E32" t="s">
        <v>797</v>
      </c>
      <c r="F32" t="s">
        <v>829</v>
      </c>
      <c r="H32">
        <f>IF(Metadata!B2="ENG",I32,J32)</f>
        <v>0</v>
      </c>
    </row>
    <row r="33" spans="1:8">
      <c r="A33" t="s">
        <v>301</v>
      </c>
      <c r="B33" t="s">
        <v>302</v>
      </c>
      <c r="D33" t="str">
        <f>IF(Metadata!B2="ENG",E33,F33)</f>
        <v>Soy</v>
      </c>
      <c r="E33" t="s">
        <v>798</v>
      </c>
      <c r="F33" t="s">
        <v>830</v>
      </c>
      <c r="H33">
        <f>IF(Metadata!B2="ENG",I33,J33)</f>
        <v>0</v>
      </c>
    </row>
    <row r="34" spans="1:8">
      <c r="A34" t="s">
        <v>303</v>
      </c>
      <c r="B34" t="s">
        <v>304</v>
      </c>
      <c r="D34" t="str">
        <f>IF(Metadata!B2="ENG",E34,F34)</f>
        <v>Sugar</v>
      </c>
      <c r="E34" t="s">
        <v>799</v>
      </c>
      <c r="F34" t="s">
        <v>800</v>
      </c>
      <c r="H34">
        <f>IF(Metadata!B2="ENG",I34,J34)</f>
        <v>0</v>
      </c>
    </row>
    <row r="35" spans="1:8">
      <c r="A35" t="s">
        <v>305</v>
      </c>
      <c r="B35" t="s">
        <v>306</v>
      </c>
      <c r="D35" t="str">
        <f>IF(Metadata!B2="ENG",E35,F35)</f>
        <v>Timber</v>
      </c>
      <c r="E35" t="s">
        <v>801</v>
      </c>
      <c r="F35" t="s">
        <v>802</v>
      </c>
      <c r="H35">
        <f>IF(Metadata!B2="ENG",I35,J35)</f>
        <v>0</v>
      </c>
    </row>
    <row r="36" spans="1:8">
      <c r="A36" t="s">
        <v>307</v>
      </c>
      <c r="B36" t="s">
        <v>308</v>
      </c>
      <c r="D36">
        <f>IF(Metadata!B2="ENG",E36,F36)</f>
        <v>0</v>
      </c>
      <c r="H36">
        <f>IF(Metadata!B2="ENG",I36,J36)</f>
        <v>0</v>
      </c>
    </row>
    <row r="37" spans="1:8">
      <c r="A37" t="s">
        <v>309</v>
      </c>
      <c r="B37" t="s">
        <v>310</v>
      </c>
      <c r="D37">
        <f>IF(Metadata!B2="ENG",E37,F37)</f>
        <v>0</v>
      </c>
      <c r="H37">
        <f>IF(Metadata!B2="ENG",I37,J37)</f>
        <v>0</v>
      </c>
    </row>
    <row r="38" spans="1:8">
      <c r="A38" t="s">
        <v>311</v>
      </c>
      <c r="B38" t="s">
        <v>312</v>
      </c>
      <c r="D38">
        <f>IF(Metadata!B2="ENG",E38,F38)</f>
        <v>0</v>
      </c>
      <c r="H38">
        <f>IF(Metadata!B2="ENG",I38,J38)</f>
        <v>0</v>
      </c>
    </row>
    <row r="39" spans="1:8">
      <c r="A39" t="s">
        <v>313</v>
      </c>
      <c r="B39" t="s">
        <v>314</v>
      </c>
      <c r="D39">
        <f>IF(Metadata!B2="ENG",E39,F39)</f>
        <v>0</v>
      </c>
      <c r="H39">
        <f>IF(Metadata!B2="ENG",I39,J39)</f>
        <v>0</v>
      </c>
    </row>
    <row r="40" spans="1:8">
      <c r="A40" t="s">
        <v>315</v>
      </c>
      <c r="B40" t="s">
        <v>316</v>
      </c>
      <c r="D40">
        <f>IF(Metadata!B2="ENG",E40,F40)</f>
        <v>0</v>
      </c>
      <c r="H40">
        <f>IF(Metadata!B2="ENG",I40,J40)</f>
        <v>0</v>
      </c>
    </row>
    <row r="41" spans="1:8">
      <c r="A41" t="s">
        <v>317</v>
      </c>
      <c r="B41" t="s">
        <v>318</v>
      </c>
      <c r="D41">
        <f>IF(Metadata!B2="ENG",E41,F41)</f>
        <v>0</v>
      </c>
      <c r="H41">
        <f>IF(Metadata!B2="ENG",I41,J41)</f>
        <v>0</v>
      </c>
    </row>
    <row r="42" spans="1:8">
      <c r="A42" t="s">
        <v>319</v>
      </c>
      <c r="B42" t="s">
        <v>320</v>
      </c>
      <c r="D42">
        <f>IF(Metadata!B2="ENG",E42,F42)</f>
        <v>0</v>
      </c>
      <c r="H42">
        <f>IF(Metadata!B2="ENG",I42,J42)</f>
        <v>0</v>
      </c>
    </row>
    <row r="43" spans="1:8">
      <c r="A43" t="s">
        <v>321</v>
      </c>
      <c r="B43" t="s">
        <v>322</v>
      </c>
      <c r="D43">
        <f>IF(Metadata!B2="ENG",E43,F43)</f>
        <v>0</v>
      </c>
      <c r="H43">
        <f>IF(Metadata!B2="ENG",I43,J43)</f>
        <v>0</v>
      </c>
    </row>
    <row r="44" spans="1:8">
      <c r="A44" t="s">
        <v>323</v>
      </c>
      <c r="B44" t="s">
        <v>324</v>
      </c>
      <c r="D44">
        <f>IF(Metadata!B2="ENG",E44,F44)</f>
        <v>0</v>
      </c>
      <c r="H44">
        <f>IF(Metadata!B2="ENG",I44,J44)</f>
        <v>0</v>
      </c>
    </row>
    <row r="45" spans="1:8">
      <c r="A45" t="s">
        <v>325</v>
      </c>
      <c r="B45" t="s">
        <v>326</v>
      </c>
      <c r="D45">
        <f>IF(Metadata!B2="ENG",E45,F45)</f>
        <v>0</v>
      </c>
      <c r="H45">
        <f>IF(Metadata!B2="ENG",I45,J45)</f>
        <v>0</v>
      </c>
    </row>
    <row r="46" spans="1:8">
      <c r="A46" t="s">
        <v>327</v>
      </c>
      <c r="B46" t="s">
        <v>328</v>
      </c>
      <c r="D46">
        <f>IF(Metadata!B2="ENG",E46,F46)</f>
        <v>0</v>
      </c>
      <c r="H46">
        <f>IF(Metadata!B2="ENG",I46,J46)</f>
        <v>0</v>
      </c>
    </row>
    <row r="47" spans="1:8">
      <c r="A47" t="s">
        <v>329</v>
      </c>
      <c r="B47" t="s">
        <v>330</v>
      </c>
      <c r="D47">
        <f>IF(Metadata!B2="ENG",E47,F47)</f>
        <v>0</v>
      </c>
      <c r="H47">
        <f>IF(Metadata!B2="ENG",I47,J47)</f>
        <v>0</v>
      </c>
    </row>
    <row r="48" spans="1:8">
      <c r="A48" t="s">
        <v>331</v>
      </c>
      <c r="B48" t="s">
        <v>332</v>
      </c>
      <c r="D48">
        <f>IF(Metadata!B2="ENG",E48,F48)</f>
        <v>0</v>
      </c>
      <c r="H48">
        <f>IF(Metadata!B2="ENG",I48,J48)</f>
        <v>0</v>
      </c>
    </row>
    <row r="49" spans="1:8">
      <c r="A49" t="s">
        <v>333</v>
      </c>
      <c r="B49" t="s">
        <v>334</v>
      </c>
      <c r="D49">
        <f>IF(Metadata!B2="ENG",E49,F49)</f>
        <v>0</v>
      </c>
      <c r="H49">
        <f>IF(Metadata!B2="ENG",I49,J49)</f>
        <v>0</v>
      </c>
    </row>
    <row r="50" spans="1:8">
      <c r="A50" t="s">
        <v>335</v>
      </c>
      <c r="B50" t="s">
        <v>336</v>
      </c>
      <c r="D50">
        <f>IF(Metadata!B2="ENG",E50,F50)</f>
        <v>0</v>
      </c>
      <c r="H50">
        <f>IF(Metadata!B2="ENG",I50,J50)</f>
        <v>0</v>
      </c>
    </row>
    <row r="51" spans="1:8">
      <c r="A51" t="s">
        <v>337</v>
      </c>
      <c r="B51" t="s">
        <v>338</v>
      </c>
      <c r="D51">
        <f>IF(Metadata!B2="ENG",E51,F51)</f>
        <v>0</v>
      </c>
      <c r="H51">
        <f>IF(Metadata!B2="ENG",I51,J51)</f>
        <v>0</v>
      </c>
    </row>
    <row r="52" spans="1:8">
      <c r="A52" t="s">
        <v>339</v>
      </c>
      <c r="B52" t="s">
        <v>340</v>
      </c>
      <c r="D52">
        <f>IF(Metadata!B2="ENG",E52,F52)</f>
        <v>0</v>
      </c>
      <c r="H52">
        <f>IF(Metadata!B2="ENG",I52,J52)</f>
        <v>0</v>
      </c>
    </row>
    <row r="53" spans="1:8">
      <c r="A53" t="s">
        <v>341</v>
      </c>
      <c r="B53" t="s">
        <v>342</v>
      </c>
      <c r="D53">
        <f>IF(Metadata!B2="ENG",E53,F53)</f>
        <v>0</v>
      </c>
      <c r="H53">
        <f>IF(Metadata!B2="ENG",I53,J53)</f>
        <v>0</v>
      </c>
    </row>
    <row r="54" spans="1:8">
      <c r="A54" t="s">
        <v>343</v>
      </c>
      <c r="B54" t="s">
        <v>344</v>
      </c>
      <c r="D54">
        <f>IF(Metadata!B2="ENG",E54,F54)</f>
        <v>0</v>
      </c>
      <c r="H54">
        <f>IF(Metadata!B2="ENG",I54,J54)</f>
        <v>0</v>
      </c>
    </row>
    <row r="55" spans="1:8">
      <c r="A55" t="s">
        <v>345</v>
      </c>
      <c r="B55" t="s">
        <v>346</v>
      </c>
      <c r="D55">
        <f>IF(Metadata!B2="ENG",E55,F55)</f>
        <v>0</v>
      </c>
      <c r="H55">
        <f>IF(Metadata!B2="ENG",I55,J55)</f>
        <v>0</v>
      </c>
    </row>
    <row r="56" spans="1:8">
      <c r="A56" t="s">
        <v>347</v>
      </c>
      <c r="B56" t="s">
        <v>348</v>
      </c>
      <c r="D56">
        <f>IF(Metadata!B2="ENG",E56,F56)</f>
        <v>0</v>
      </c>
      <c r="H56">
        <f>IF(Metadata!B2="ENG",I56,J56)</f>
        <v>0</v>
      </c>
    </row>
    <row r="57" spans="1:8">
      <c r="A57" t="s">
        <v>349</v>
      </c>
      <c r="B57" t="s">
        <v>350</v>
      </c>
      <c r="D57">
        <f>IF(Metadata!B2="ENG",E57,F57)</f>
        <v>0</v>
      </c>
      <c r="H57">
        <f>IF(Metadata!B2="ENG",I57,J57)</f>
        <v>0</v>
      </c>
    </row>
    <row r="58" spans="1:8">
      <c r="A58" t="s">
        <v>351</v>
      </c>
      <c r="B58" t="s">
        <v>352</v>
      </c>
      <c r="D58">
        <f>IF(Metadata!B2="ENG",E58,F58)</f>
        <v>0</v>
      </c>
      <c r="H58">
        <f>IF(Metadata!B2="ENG",I58,J58)</f>
        <v>0</v>
      </c>
    </row>
    <row r="59" spans="1:8">
      <c r="A59" t="s">
        <v>353</v>
      </c>
      <c r="B59" t="s">
        <v>354</v>
      </c>
      <c r="D59">
        <f>IF(Metadata!B2="ENG",E59,F59)</f>
        <v>0</v>
      </c>
      <c r="H59">
        <f>IF(Metadata!B2="ENG",I59,J59)</f>
        <v>0</v>
      </c>
    </row>
    <row r="60" spans="1:8">
      <c r="A60" t="s">
        <v>355</v>
      </c>
      <c r="B60" t="s">
        <v>356</v>
      </c>
      <c r="D60">
        <f>IF(Metadata!B2="ENG",E60,F60)</f>
        <v>0</v>
      </c>
      <c r="H60">
        <f>IF(Metadata!B2="ENG",I60,J60)</f>
        <v>0</v>
      </c>
    </row>
    <row r="61" spans="1:8">
      <c r="A61" t="s">
        <v>357</v>
      </c>
      <c r="B61" t="s">
        <v>358</v>
      </c>
      <c r="D61">
        <f>IF(Metadata!B2="ENG",E61,F61)</f>
        <v>0</v>
      </c>
      <c r="H61">
        <f>IF(Metadata!B2="ENG",I61,J61)</f>
        <v>0</v>
      </c>
    </row>
    <row r="62" spans="1:8">
      <c r="A62" t="s">
        <v>359</v>
      </c>
      <c r="B62" t="s">
        <v>360</v>
      </c>
    </row>
    <row r="63" spans="1:8">
      <c r="A63" t="s">
        <v>361</v>
      </c>
      <c r="B63" t="s">
        <v>362</v>
      </c>
    </row>
    <row r="64" spans="1:8">
      <c r="A64" t="s">
        <v>363</v>
      </c>
      <c r="B64" t="s">
        <v>364</v>
      </c>
    </row>
    <row r="65" spans="1:2">
      <c r="A65" t="s">
        <v>365</v>
      </c>
      <c r="B65" t="s">
        <v>366</v>
      </c>
    </row>
    <row r="66" spans="1:2">
      <c r="A66" t="s">
        <v>367</v>
      </c>
      <c r="B66" t="s">
        <v>368</v>
      </c>
    </row>
    <row r="67" spans="1:2">
      <c r="A67" t="s">
        <v>369</v>
      </c>
      <c r="B67" t="s">
        <v>370</v>
      </c>
    </row>
    <row r="68" spans="1:2">
      <c r="A68" t="s">
        <v>371</v>
      </c>
      <c r="B68" t="s">
        <v>372</v>
      </c>
    </row>
    <row r="69" spans="1:2">
      <c r="A69" t="s">
        <v>373</v>
      </c>
      <c r="B69" t="s">
        <v>374</v>
      </c>
    </row>
    <row r="70" spans="1:2">
      <c r="A70" t="s">
        <v>375</v>
      </c>
      <c r="B70" t="s">
        <v>376</v>
      </c>
    </row>
    <row r="71" spans="1:2">
      <c r="A71" t="s">
        <v>377</v>
      </c>
      <c r="B71" t="s">
        <v>378</v>
      </c>
    </row>
    <row r="72" spans="1:2">
      <c r="A72" t="s">
        <v>379</v>
      </c>
      <c r="B72" t="s">
        <v>380</v>
      </c>
    </row>
    <row r="73" spans="1:2">
      <c r="A73" t="s">
        <v>381</v>
      </c>
      <c r="B73" t="s">
        <v>382</v>
      </c>
    </row>
    <row r="74" spans="1:2">
      <c r="A74" t="s">
        <v>383</v>
      </c>
      <c r="B74" t="s">
        <v>384</v>
      </c>
    </row>
    <row r="75" spans="1:2">
      <c r="A75" t="s">
        <v>385</v>
      </c>
      <c r="B75" t="s">
        <v>386</v>
      </c>
    </row>
    <row r="76" spans="1:2">
      <c r="A76" t="s">
        <v>387</v>
      </c>
      <c r="B76" t="s">
        <v>388</v>
      </c>
    </row>
    <row r="77" spans="1:2">
      <c r="A77" t="s">
        <v>389</v>
      </c>
      <c r="B77" t="s">
        <v>390</v>
      </c>
    </row>
    <row r="78" spans="1:2">
      <c r="A78" t="s">
        <v>391</v>
      </c>
      <c r="B78" t="s">
        <v>392</v>
      </c>
    </row>
    <row r="79" spans="1:2">
      <c r="A79" t="s">
        <v>393</v>
      </c>
      <c r="B79" t="s">
        <v>394</v>
      </c>
    </row>
    <row r="80" spans="1:2">
      <c r="A80" t="s">
        <v>395</v>
      </c>
      <c r="B80" t="s">
        <v>396</v>
      </c>
    </row>
    <row r="81" spans="1:2">
      <c r="A81" t="s">
        <v>397</v>
      </c>
      <c r="B81" t="s">
        <v>398</v>
      </c>
    </row>
    <row r="82" spans="1:2">
      <c r="A82" t="s">
        <v>399</v>
      </c>
      <c r="B82" t="s">
        <v>400</v>
      </c>
    </row>
    <row r="83" spans="1:2">
      <c r="A83" t="s">
        <v>401</v>
      </c>
      <c r="B83" t="s">
        <v>402</v>
      </c>
    </row>
    <row r="84" spans="1:2">
      <c r="A84" t="s">
        <v>403</v>
      </c>
      <c r="B84" t="s">
        <v>404</v>
      </c>
    </row>
    <row r="85" spans="1:2">
      <c r="A85" t="s">
        <v>405</v>
      </c>
      <c r="B85" t="s">
        <v>406</v>
      </c>
    </row>
    <row r="86" spans="1:2">
      <c r="A86" t="s">
        <v>407</v>
      </c>
      <c r="B86" t="s">
        <v>408</v>
      </c>
    </row>
    <row r="87" spans="1:2">
      <c r="A87" t="s">
        <v>409</v>
      </c>
      <c r="B87" t="s">
        <v>410</v>
      </c>
    </row>
    <row r="88" spans="1:2">
      <c r="A88" t="s">
        <v>411</v>
      </c>
      <c r="B88" t="s">
        <v>412</v>
      </c>
    </row>
    <row r="89" spans="1:2">
      <c r="A89" t="s">
        <v>413</v>
      </c>
      <c r="B89" t="s">
        <v>414</v>
      </c>
    </row>
    <row r="90" spans="1:2">
      <c r="A90" t="s">
        <v>415</v>
      </c>
      <c r="B90" t="s">
        <v>416</v>
      </c>
    </row>
    <row r="91" spans="1:2">
      <c r="A91" t="s">
        <v>417</v>
      </c>
      <c r="B91" t="s">
        <v>418</v>
      </c>
    </row>
    <row r="92" spans="1:2">
      <c r="A92" t="s">
        <v>419</v>
      </c>
      <c r="B92" t="s">
        <v>420</v>
      </c>
    </row>
    <row r="93" spans="1:2">
      <c r="A93" t="s">
        <v>421</v>
      </c>
      <c r="B93" t="s">
        <v>422</v>
      </c>
    </row>
    <row r="94" spans="1:2">
      <c r="A94" t="s">
        <v>423</v>
      </c>
      <c r="B94" t="s">
        <v>424</v>
      </c>
    </row>
    <row r="95" spans="1:2">
      <c r="A95" t="s">
        <v>425</v>
      </c>
      <c r="B95" t="s">
        <v>426</v>
      </c>
    </row>
    <row r="96" spans="1:2">
      <c r="A96" t="s">
        <v>427</v>
      </c>
      <c r="B96" t="s">
        <v>106</v>
      </c>
    </row>
    <row r="97" spans="1:2">
      <c r="A97" t="s">
        <v>428</v>
      </c>
      <c r="B97" t="s">
        <v>429</v>
      </c>
    </row>
    <row r="98" spans="1:2">
      <c r="A98" t="s">
        <v>430</v>
      </c>
      <c r="B98" t="s">
        <v>431</v>
      </c>
    </row>
    <row r="99" spans="1:2">
      <c r="A99" t="s">
        <v>432</v>
      </c>
      <c r="B99" t="s">
        <v>433</v>
      </c>
    </row>
    <row r="100" spans="1:2">
      <c r="A100" t="s">
        <v>434</v>
      </c>
      <c r="B100" t="s">
        <v>435</v>
      </c>
    </row>
    <row r="101" spans="1:2">
      <c r="A101" t="s">
        <v>436</v>
      </c>
      <c r="B101" t="s">
        <v>437</v>
      </c>
    </row>
    <row r="102" spans="1:2">
      <c r="A102" t="s">
        <v>438</v>
      </c>
      <c r="B102" t="s">
        <v>439</v>
      </c>
    </row>
    <row r="103" spans="1:2">
      <c r="A103" t="s">
        <v>440</v>
      </c>
      <c r="B103" t="s">
        <v>441</v>
      </c>
    </row>
    <row r="104" spans="1:2">
      <c r="A104" t="s">
        <v>442</v>
      </c>
      <c r="B104" t="s">
        <v>443</v>
      </c>
    </row>
    <row r="105" spans="1:2">
      <c r="A105" t="s">
        <v>444</v>
      </c>
      <c r="B105" t="s">
        <v>445</v>
      </c>
    </row>
    <row r="106" spans="1:2">
      <c r="A106" t="s">
        <v>446</v>
      </c>
      <c r="B106" t="s">
        <v>447</v>
      </c>
    </row>
    <row r="107" spans="1:2">
      <c r="A107" t="s">
        <v>448</v>
      </c>
      <c r="B107" t="s">
        <v>449</v>
      </c>
    </row>
    <row r="108" spans="1:2">
      <c r="A108" t="s">
        <v>450</v>
      </c>
      <c r="B108" t="s">
        <v>451</v>
      </c>
    </row>
    <row r="109" spans="1:2">
      <c r="A109" t="s">
        <v>452</v>
      </c>
      <c r="B109" t="s">
        <v>453</v>
      </c>
    </row>
    <row r="110" spans="1:2">
      <c r="A110" t="s">
        <v>454</v>
      </c>
      <c r="B110" t="s">
        <v>455</v>
      </c>
    </row>
    <row r="111" spans="1:2">
      <c r="A111" t="s">
        <v>456</v>
      </c>
      <c r="B111" t="s">
        <v>457</v>
      </c>
    </row>
    <row r="112" spans="1:2">
      <c r="A112" t="s">
        <v>458</v>
      </c>
      <c r="B112" t="s">
        <v>459</v>
      </c>
    </row>
    <row r="113" spans="1:2">
      <c r="A113" t="s">
        <v>460</v>
      </c>
      <c r="B113" t="s">
        <v>461</v>
      </c>
    </row>
    <row r="114" spans="1:2">
      <c r="A114" t="s">
        <v>462</v>
      </c>
      <c r="B114" t="s">
        <v>463</v>
      </c>
    </row>
    <row r="115" spans="1:2">
      <c r="A115" t="s">
        <v>464</v>
      </c>
      <c r="B115" t="s">
        <v>465</v>
      </c>
    </row>
    <row r="116" spans="1:2">
      <c r="A116" t="s">
        <v>466</v>
      </c>
      <c r="B116" t="s">
        <v>467</v>
      </c>
    </row>
    <row r="117" spans="1:2">
      <c r="A117" t="s">
        <v>468</v>
      </c>
      <c r="B117" t="s">
        <v>469</v>
      </c>
    </row>
    <row r="118" spans="1:2">
      <c r="A118" t="s">
        <v>470</v>
      </c>
      <c r="B118" t="s">
        <v>471</v>
      </c>
    </row>
    <row r="119" spans="1:2">
      <c r="A119" t="s">
        <v>472</v>
      </c>
      <c r="B119" t="s">
        <v>473</v>
      </c>
    </row>
    <row r="120" spans="1:2">
      <c r="A120" t="s">
        <v>474</v>
      </c>
      <c r="B120" t="s">
        <v>475</v>
      </c>
    </row>
    <row r="121" spans="1:2">
      <c r="A121" t="s">
        <v>476</v>
      </c>
      <c r="B121" t="s">
        <v>477</v>
      </c>
    </row>
    <row r="122" spans="1:2">
      <c r="A122" t="s">
        <v>478</v>
      </c>
      <c r="B122" t="s">
        <v>479</v>
      </c>
    </row>
    <row r="123" spans="1:2">
      <c r="A123" t="s">
        <v>480</v>
      </c>
      <c r="B123" t="s">
        <v>481</v>
      </c>
    </row>
    <row r="124" spans="1:2">
      <c r="A124" t="s">
        <v>482</v>
      </c>
      <c r="B124" t="s">
        <v>483</v>
      </c>
    </row>
    <row r="125" spans="1:2">
      <c r="A125" t="s">
        <v>484</v>
      </c>
      <c r="B125" t="s">
        <v>485</v>
      </c>
    </row>
    <row r="126" spans="1:2">
      <c r="A126" t="s">
        <v>486</v>
      </c>
      <c r="B126" t="s">
        <v>487</v>
      </c>
    </row>
    <row r="127" spans="1:2">
      <c r="A127" t="s">
        <v>488</v>
      </c>
      <c r="B127" t="s">
        <v>489</v>
      </c>
    </row>
    <row r="128" spans="1:2">
      <c r="A128" t="s">
        <v>490</v>
      </c>
      <c r="B128" t="s">
        <v>491</v>
      </c>
    </row>
    <row r="129" spans="1:2">
      <c r="A129" t="s">
        <v>492</v>
      </c>
      <c r="B129" t="s">
        <v>493</v>
      </c>
    </row>
    <row r="130" spans="1:2">
      <c r="A130" t="s">
        <v>494</v>
      </c>
      <c r="B130" t="s">
        <v>495</v>
      </c>
    </row>
    <row r="131" spans="1:2">
      <c r="A131" t="s">
        <v>496</v>
      </c>
      <c r="B131" t="s">
        <v>497</v>
      </c>
    </row>
    <row r="132" spans="1:2">
      <c r="A132" t="s">
        <v>498</v>
      </c>
      <c r="B132" t="s">
        <v>499</v>
      </c>
    </row>
    <row r="133" spans="1:2">
      <c r="A133" t="s">
        <v>500</v>
      </c>
      <c r="B133" t="s">
        <v>501</v>
      </c>
    </row>
    <row r="134" spans="1:2">
      <c r="A134" t="s">
        <v>502</v>
      </c>
      <c r="B134" t="s">
        <v>503</v>
      </c>
    </row>
    <row r="135" spans="1:2">
      <c r="A135" t="s">
        <v>504</v>
      </c>
      <c r="B135" t="s">
        <v>505</v>
      </c>
    </row>
    <row r="136" spans="1:2">
      <c r="A136" t="s">
        <v>506</v>
      </c>
      <c r="B136" t="s">
        <v>507</v>
      </c>
    </row>
    <row r="137" spans="1:2">
      <c r="A137" t="s">
        <v>508</v>
      </c>
      <c r="B137" t="s">
        <v>509</v>
      </c>
    </row>
    <row r="138" spans="1:2">
      <c r="A138" t="s">
        <v>510</v>
      </c>
      <c r="B138" t="s">
        <v>511</v>
      </c>
    </row>
    <row r="139" spans="1:2">
      <c r="A139" t="s">
        <v>512</v>
      </c>
      <c r="B139" t="s">
        <v>513</v>
      </c>
    </row>
    <row r="140" spans="1:2">
      <c r="A140" t="s">
        <v>514</v>
      </c>
      <c r="B140" t="s">
        <v>515</v>
      </c>
    </row>
    <row r="141" spans="1:2">
      <c r="A141" t="s">
        <v>516</v>
      </c>
      <c r="B141" t="s">
        <v>517</v>
      </c>
    </row>
    <row r="142" spans="1:2">
      <c r="A142" t="s">
        <v>518</v>
      </c>
      <c r="B142" t="s">
        <v>519</v>
      </c>
    </row>
    <row r="143" spans="1:2">
      <c r="A143" t="s">
        <v>520</v>
      </c>
      <c r="B143" t="s">
        <v>521</v>
      </c>
    </row>
    <row r="144" spans="1:2">
      <c r="A144" t="s">
        <v>522</v>
      </c>
      <c r="B144" t="s">
        <v>523</v>
      </c>
    </row>
    <row r="145" spans="1:2">
      <c r="A145" t="s">
        <v>524</v>
      </c>
      <c r="B145" t="s">
        <v>525</v>
      </c>
    </row>
    <row r="146" spans="1:2">
      <c r="A146" t="s">
        <v>526</v>
      </c>
      <c r="B146" t="s">
        <v>527</v>
      </c>
    </row>
    <row r="147" spans="1:2">
      <c r="A147" t="s">
        <v>528</v>
      </c>
      <c r="B147" t="s">
        <v>529</v>
      </c>
    </row>
    <row r="148" spans="1:2">
      <c r="A148" t="s">
        <v>530</v>
      </c>
      <c r="B148" t="s">
        <v>531</v>
      </c>
    </row>
    <row r="149" spans="1:2">
      <c r="A149" t="s">
        <v>532</v>
      </c>
      <c r="B149" t="s">
        <v>533</v>
      </c>
    </row>
    <row r="150" spans="1:2">
      <c r="A150" t="s">
        <v>534</v>
      </c>
      <c r="B150" t="s">
        <v>535</v>
      </c>
    </row>
    <row r="151" spans="1:2">
      <c r="A151" t="s">
        <v>536</v>
      </c>
      <c r="B151" t="s">
        <v>537</v>
      </c>
    </row>
    <row r="152" spans="1:2">
      <c r="A152" t="s">
        <v>538</v>
      </c>
      <c r="B152" t="s">
        <v>539</v>
      </c>
    </row>
    <row r="153" spans="1:2">
      <c r="A153" t="s">
        <v>540</v>
      </c>
      <c r="B153" t="s">
        <v>541</v>
      </c>
    </row>
    <row r="154" spans="1:2">
      <c r="A154" t="s">
        <v>542</v>
      </c>
      <c r="B154" t="s">
        <v>543</v>
      </c>
    </row>
    <row r="155" spans="1:2">
      <c r="A155" t="s">
        <v>544</v>
      </c>
      <c r="B155" t="s">
        <v>545</v>
      </c>
    </row>
    <row r="156" spans="1:2">
      <c r="A156" t="s">
        <v>546</v>
      </c>
      <c r="B156" t="s">
        <v>547</v>
      </c>
    </row>
    <row r="157" spans="1:2">
      <c r="A157" t="s">
        <v>548</v>
      </c>
      <c r="B157" t="s">
        <v>549</v>
      </c>
    </row>
    <row r="158" spans="1:2">
      <c r="A158" t="s">
        <v>550</v>
      </c>
      <c r="B158" t="s">
        <v>551</v>
      </c>
    </row>
    <row r="159" spans="1:2">
      <c r="A159" t="s">
        <v>552</v>
      </c>
      <c r="B159" t="s">
        <v>553</v>
      </c>
    </row>
    <row r="160" spans="1:2">
      <c r="A160" t="s">
        <v>554</v>
      </c>
      <c r="B160" t="s">
        <v>555</v>
      </c>
    </row>
    <row r="161" spans="1:2">
      <c r="A161" t="s">
        <v>556</v>
      </c>
      <c r="B161" t="s">
        <v>557</v>
      </c>
    </row>
    <row r="162" spans="1:2">
      <c r="A162" t="s">
        <v>558</v>
      </c>
      <c r="B162" t="s">
        <v>559</v>
      </c>
    </row>
    <row r="163" spans="1:2">
      <c r="A163" t="s">
        <v>560</v>
      </c>
      <c r="B163" t="s">
        <v>561</v>
      </c>
    </row>
    <row r="164" spans="1:2">
      <c r="A164" t="s">
        <v>562</v>
      </c>
      <c r="B164" t="s">
        <v>563</v>
      </c>
    </row>
    <row r="165" spans="1:2">
      <c r="A165" t="s">
        <v>564</v>
      </c>
      <c r="B165" t="s">
        <v>565</v>
      </c>
    </row>
    <row r="166" spans="1:2">
      <c r="A166" t="s">
        <v>566</v>
      </c>
      <c r="B166" t="s">
        <v>567</v>
      </c>
    </row>
    <row r="167" spans="1:2">
      <c r="A167" t="s">
        <v>568</v>
      </c>
      <c r="B167" t="s">
        <v>569</v>
      </c>
    </row>
    <row r="168" spans="1:2">
      <c r="A168" t="s">
        <v>570</v>
      </c>
      <c r="B168" t="s">
        <v>571</v>
      </c>
    </row>
    <row r="169" spans="1:2">
      <c r="A169" t="s">
        <v>572</v>
      </c>
      <c r="B169" t="s">
        <v>573</v>
      </c>
    </row>
    <row r="170" spans="1:2">
      <c r="A170" t="s">
        <v>574</v>
      </c>
      <c r="B170" t="s">
        <v>575</v>
      </c>
    </row>
    <row r="171" spans="1:2">
      <c r="A171" t="s">
        <v>576</v>
      </c>
      <c r="B171" t="s">
        <v>577</v>
      </c>
    </row>
    <row r="172" spans="1:2">
      <c r="A172" t="s">
        <v>578</v>
      </c>
      <c r="B172" t="s">
        <v>579</v>
      </c>
    </row>
    <row r="173" spans="1:2">
      <c r="A173" t="s">
        <v>580</v>
      </c>
      <c r="B173" t="s">
        <v>581</v>
      </c>
    </row>
    <row r="174" spans="1:2">
      <c r="A174" t="s">
        <v>582</v>
      </c>
      <c r="B174" t="s">
        <v>583</v>
      </c>
    </row>
    <row r="175" spans="1:2">
      <c r="A175" t="s">
        <v>584</v>
      </c>
      <c r="B175" t="s">
        <v>585</v>
      </c>
    </row>
    <row r="176" spans="1:2">
      <c r="A176" t="s">
        <v>586</v>
      </c>
      <c r="B176" t="s">
        <v>587</v>
      </c>
    </row>
    <row r="177" spans="1:2">
      <c r="A177" t="s">
        <v>588</v>
      </c>
      <c r="B177" t="s">
        <v>589</v>
      </c>
    </row>
    <row r="178" spans="1:2">
      <c r="A178" t="s">
        <v>590</v>
      </c>
      <c r="B178" t="s">
        <v>591</v>
      </c>
    </row>
    <row r="179" spans="1:2">
      <c r="A179" t="s">
        <v>592</v>
      </c>
      <c r="B179" t="s">
        <v>593</v>
      </c>
    </row>
    <row r="180" spans="1:2">
      <c r="A180" t="s">
        <v>594</v>
      </c>
      <c r="B180" t="s">
        <v>595</v>
      </c>
    </row>
    <row r="181" spans="1:2">
      <c r="A181" t="s">
        <v>596</v>
      </c>
      <c r="B181" t="s">
        <v>597</v>
      </c>
    </row>
    <row r="182" spans="1:2">
      <c r="A182" t="s">
        <v>598</v>
      </c>
      <c r="B182" t="s">
        <v>599</v>
      </c>
    </row>
    <row r="183" spans="1:2">
      <c r="A183" t="s">
        <v>600</v>
      </c>
      <c r="B183" t="s">
        <v>601</v>
      </c>
    </row>
    <row r="184" spans="1:2">
      <c r="A184" t="s">
        <v>602</v>
      </c>
      <c r="B184" t="s">
        <v>290</v>
      </c>
    </row>
    <row r="185" spans="1:2">
      <c r="A185" t="s">
        <v>603</v>
      </c>
      <c r="B185" t="s">
        <v>604</v>
      </c>
    </row>
    <row r="186" spans="1:2">
      <c r="A186" t="s">
        <v>605</v>
      </c>
      <c r="B186" t="s">
        <v>606</v>
      </c>
    </row>
    <row r="187" spans="1:2">
      <c r="A187" t="s">
        <v>607</v>
      </c>
      <c r="B187" t="s">
        <v>608</v>
      </c>
    </row>
    <row r="188" spans="1:2">
      <c r="A188" t="s">
        <v>609</v>
      </c>
      <c r="B188" t="s">
        <v>610</v>
      </c>
    </row>
    <row r="189" spans="1:2">
      <c r="A189" t="s">
        <v>611</v>
      </c>
      <c r="B189" t="s">
        <v>612</v>
      </c>
    </row>
    <row r="190" spans="1:2">
      <c r="A190" t="s">
        <v>613</v>
      </c>
      <c r="B190" t="s">
        <v>614</v>
      </c>
    </row>
    <row r="191" spans="1:2">
      <c r="A191" t="s">
        <v>615</v>
      </c>
      <c r="B191" t="s">
        <v>616</v>
      </c>
    </row>
    <row r="192" spans="1:2">
      <c r="A192" t="s">
        <v>617</v>
      </c>
      <c r="B192" t="s">
        <v>618</v>
      </c>
    </row>
    <row r="193" spans="1:2">
      <c r="A193" t="s">
        <v>619</v>
      </c>
      <c r="B193" t="s">
        <v>620</v>
      </c>
    </row>
    <row r="194" spans="1:2">
      <c r="A194" t="s">
        <v>621</v>
      </c>
      <c r="B194" t="s">
        <v>622</v>
      </c>
    </row>
    <row r="195" spans="1:2">
      <c r="A195" t="s">
        <v>623</v>
      </c>
      <c r="B195" t="s">
        <v>624</v>
      </c>
    </row>
    <row r="196" spans="1:2">
      <c r="A196" t="s">
        <v>625</v>
      </c>
      <c r="B196" t="s">
        <v>626</v>
      </c>
    </row>
    <row r="197" spans="1:2">
      <c r="A197" t="s">
        <v>627</v>
      </c>
      <c r="B197" t="s">
        <v>628</v>
      </c>
    </row>
    <row r="198" spans="1:2">
      <c r="A198" t="s">
        <v>629</v>
      </c>
      <c r="B198" t="s">
        <v>630</v>
      </c>
    </row>
    <row r="199" spans="1:2">
      <c r="A199" t="s">
        <v>631</v>
      </c>
      <c r="B199" t="s">
        <v>632</v>
      </c>
    </row>
    <row r="200" spans="1:2">
      <c r="A200" t="s">
        <v>633</v>
      </c>
      <c r="B200" t="s">
        <v>634</v>
      </c>
    </row>
    <row r="201" spans="1:2">
      <c r="A201" t="s">
        <v>635</v>
      </c>
      <c r="B201" t="s">
        <v>290</v>
      </c>
    </row>
    <row r="202" spans="1:2">
      <c r="A202" t="s">
        <v>636</v>
      </c>
      <c r="B202" t="s">
        <v>637</v>
      </c>
    </row>
    <row r="203" spans="1:2">
      <c r="A203" t="s">
        <v>638</v>
      </c>
      <c r="B203" t="s">
        <v>639</v>
      </c>
    </row>
    <row r="204" spans="1:2">
      <c r="A204" t="s">
        <v>640</v>
      </c>
      <c r="B204" t="s">
        <v>641</v>
      </c>
    </row>
    <row r="205" spans="1:2">
      <c r="A205" t="s">
        <v>642</v>
      </c>
      <c r="B205" t="s">
        <v>643</v>
      </c>
    </row>
    <row r="206" spans="1:2">
      <c r="A206" t="s">
        <v>644</v>
      </c>
      <c r="B206" t="s">
        <v>645</v>
      </c>
    </row>
    <row r="207" spans="1:2">
      <c r="A207" t="s">
        <v>646</v>
      </c>
      <c r="B207" t="s">
        <v>645</v>
      </c>
    </row>
    <row r="208" spans="1:2">
      <c r="A208" t="s">
        <v>647</v>
      </c>
      <c r="B208" t="s">
        <v>648</v>
      </c>
    </row>
    <row r="209" spans="1:2">
      <c r="A209" t="s">
        <v>649</v>
      </c>
      <c r="B209" t="s">
        <v>650</v>
      </c>
    </row>
    <row r="210" spans="1:2">
      <c r="A210" t="s">
        <v>651</v>
      </c>
      <c r="B210" t="s">
        <v>652</v>
      </c>
    </row>
    <row r="211" spans="1:2">
      <c r="A211" t="s">
        <v>653</v>
      </c>
      <c r="B211" t="s">
        <v>654</v>
      </c>
    </row>
    <row r="212" spans="1:2">
      <c r="A212" t="s">
        <v>655</v>
      </c>
      <c r="B212" t="s">
        <v>656</v>
      </c>
    </row>
    <row r="213" spans="1:2">
      <c r="A213" t="s">
        <v>657</v>
      </c>
      <c r="B213" t="s">
        <v>658</v>
      </c>
    </row>
    <row r="214" spans="1:2">
      <c r="A214" t="s">
        <v>659</v>
      </c>
      <c r="B214" t="s">
        <v>660</v>
      </c>
    </row>
    <row r="215" spans="1:2">
      <c r="A215" t="s">
        <v>661</v>
      </c>
      <c r="B215" t="s">
        <v>662</v>
      </c>
    </row>
    <row r="216" spans="1:2">
      <c r="A216" t="s">
        <v>663</v>
      </c>
      <c r="B216" t="s">
        <v>664</v>
      </c>
    </row>
    <row r="217" spans="1:2">
      <c r="A217" t="s">
        <v>665</v>
      </c>
      <c r="B217" t="s">
        <v>666</v>
      </c>
    </row>
    <row r="218" spans="1:2">
      <c r="A218" t="s">
        <v>667</v>
      </c>
      <c r="B218" t="s">
        <v>668</v>
      </c>
    </row>
    <row r="219" spans="1:2">
      <c r="A219" t="s">
        <v>669</v>
      </c>
      <c r="B219" t="s">
        <v>670</v>
      </c>
    </row>
    <row r="220" spans="1:2">
      <c r="A220" t="s">
        <v>671</v>
      </c>
      <c r="B220" t="s">
        <v>672</v>
      </c>
    </row>
    <row r="221" spans="1:2">
      <c r="A221" t="s">
        <v>673</v>
      </c>
      <c r="B221" t="s">
        <v>674</v>
      </c>
    </row>
    <row r="222" spans="1:2">
      <c r="A222" t="s">
        <v>675</v>
      </c>
      <c r="B222" t="s">
        <v>676</v>
      </c>
    </row>
    <row r="223" spans="1:2">
      <c r="A223" t="s">
        <v>677</v>
      </c>
      <c r="B223" t="s">
        <v>678</v>
      </c>
    </row>
    <row r="224" spans="1:2">
      <c r="A224" t="s">
        <v>679</v>
      </c>
      <c r="B224" t="s">
        <v>680</v>
      </c>
    </row>
    <row r="225" spans="1:2">
      <c r="A225" t="s">
        <v>681</v>
      </c>
      <c r="B225" t="s">
        <v>682</v>
      </c>
    </row>
    <row r="226" spans="1:2">
      <c r="A226" t="s">
        <v>683</v>
      </c>
      <c r="B226" t="s">
        <v>684</v>
      </c>
    </row>
    <row r="227" spans="1:2">
      <c r="A227" t="s">
        <v>685</v>
      </c>
      <c r="B227" t="s">
        <v>686</v>
      </c>
    </row>
    <row r="228" spans="1:2">
      <c r="A228" t="s">
        <v>687</v>
      </c>
      <c r="B228" t="s">
        <v>688</v>
      </c>
    </row>
    <row r="229" spans="1:2">
      <c r="A229" t="s">
        <v>689</v>
      </c>
      <c r="B229" t="s">
        <v>690</v>
      </c>
    </row>
    <row r="230" spans="1:2">
      <c r="A230" t="s">
        <v>691</v>
      </c>
      <c r="B230" t="s">
        <v>692</v>
      </c>
    </row>
    <row r="231" spans="1:2">
      <c r="A231" t="s">
        <v>693</v>
      </c>
      <c r="B231" t="s">
        <v>694</v>
      </c>
    </row>
    <row r="232" spans="1:2">
      <c r="A232" t="s">
        <v>695</v>
      </c>
      <c r="B232" t="s">
        <v>696</v>
      </c>
    </row>
    <row r="233" spans="1:2">
      <c r="A233" t="s">
        <v>697</v>
      </c>
      <c r="B233" t="s">
        <v>698</v>
      </c>
    </row>
    <row r="234" spans="1:2">
      <c r="A234" t="s">
        <v>699</v>
      </c>
      <c r="B234" t="s">
        <v>700</v>
      </c>
    </row>
    <row r="235" spans="1:2">
      <c r="A235" t="s">
        <v>701</v>
      </c>
      <c r="B235" t="s">
        <v>702</v>
      </c>
    </row>
    <row r="236" spans="1:2">
      <c r="A236" t="s">
        <v>703</v>
      </c>
      <c r="B236" t="s">
        <v>704</v>
      </c>
    </row>
    <row r="237" spans="1:2">
      <c r="A237" t="s">
        <v>705</v>
      </c>
      <c r="B237" t="s">
        <v>706</v>
      </c>
    </row>
    <row r="238" spans="1:2">
      <c r="A238" t="s">
        <v>707</v>
      </c>
      <c r="B238" t="s">
        <v>708</v>
      </c>
    </row>
    <row r="239" spans="1:2">
      <c r="A239" t="s">
        <v>709</v>
      </c>
      <c r="B239" t="s">
        <v>710</v>
      </c>
    </row>
    <row r="240" spans="1:2">
      <c r="A240" t="s">
        <v>711</v>
      </c>
      <c r="B240" t="s">
        <v>712</v>
      </c>
    </row>
    <row r="241" spans="1:2">
      <c r="A241" t="s">
        <v>713</v>
      </c>
      <c r="B241" t="s">
        <v>714</v>
      </c>
    </row>
    <row r="242" spans="1:2">
      <c r="A242" t="s">
        <v>715</v>
      </c>
      <c r="B242" t="s">
        <v>716</v>
      </c>
    </row>
    <row r="243" spans="1:2">
      <c r="A243" t="s">
        <v>717</v>
      </c>
      <c r="B243" t="s">
        <v>718</v>
      </c>
    </row>
    <row r="244" spans="1:2">
      <c r="A244" t="s">
        <v>719</v>
      </c>
      <c r="B244" t="s">
        <v>720</v>
      </c>
    </row>
    <row r="245" spans="1:2">
      <c r="A245" t="s">
        <v>721</v>
      </c>
      <c r="B245" t="s">
        <v>722</v>
      </c>
    </row>
    <row r="246" spans="1:2">
      <c r="A246" t="s">
        <v>723</v>
      </c>
      <c r="B246" t="s">
        <v>724</v>
      </c>
    </row>
    <row r="247" spans="1:2">
      <c r="A247" t="s">
        <v>725</v>
      </c>
      <c r="B247" t="s">
        <v>726</v>
      </c>
    </row>
    <row r="248" spans="1:2">
      <c r="A248" t="s">
        <v>727</v>
      </c>
      <c r="B248" t="s">
        <v>728</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2015-08-18T17:36:39Z</dcterms:modified>
</cp:coreProperties>
</file>