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png" ContentType="image/png"/>
  <Default Extension="jpg" ContentType="image/jpe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024" codeName="{8C4F1C90-05EB-6A55-5F09-09C24B55AC0B}"/>
  <workbookPr showInkAnnotation="0" codeName="ThisWorkbook" autoCompressPictures="0"/>
  <bookViews>
    <workbookView xWindow="0" yWindow="0" windowWidth="20740" windowHeight="11760" tabRatio="500" activeTab="1"/>
  </bookViews>
  <sheets>
    <sheet name="Categories" sheetId="1" r:id="rId1"/>
    <sheet name="Metadata" sheetId="2" r:id="rId2"/>
    <sheet name="picklists" sheetId="3" r:id="rId3"/>
  </sheets>
  <definedNames>
    <definedName name="countries">picklists!$A$2:$A$248</definedName>
    <definedName name="language">picklists!$J$2:$J$3</definedName>
    <definedName name="license_type">picklists!$G$2:$G$32</definedName>
    <definedName name="resources">picklists!$D$2:$D$60</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B2" i="2" l="1"/>
  <c r="B5" i="2"/>
  <c r="B38" i="2"/>
  <c r="B37" i="2"/>
  <c r="G18" i="1"/>
  <c r="C33" i="1"/>
  <c r="C48" i="1"/>
  <c r="B24" i="2"/>
  <c r="B25" i="2"/>
  <c r="B36" i="2"/>
  <c r="B35" i="2"/>
  <c r="B9" i="2"/>
  <c r="B8" i="2"/>
  <c r="B34" i="2"/>
  <c r="B33" i="2"/>
  <c r="B32" i="2"/>
  <c r="B31" i="2"/>
  <c r="B30" i="2"/>
  <c r="B29" i="2"/>
  <c r="B28" i="2"/>
  <c r="B27" i="2"/>
  <c r="B26" i="2"/>
  <c r="B23" i="2"/>
  <c r="B22" i="2"/>
  <c r="B21" i="2"/>
  <c r="B20" i="2"/>
  <c r="B19" i="2"/>
  <c r="B18" i="2"/>
  <c r="B17" i="2"/>
  <c r="B16" i="2"/>
  <c r="B15" i="2"/>
  <c r="B14" i="2"/>
  <c r="B13" i="2"/>
  <c r="B12" i="2"/>
  <c r="B11" i="2"/>
  <c r="B3" i="2"/>
  <c r="H25" i="1"/>
  <c r="G25" i="1"/>
  <c r="H41" i="1"/>
  <c r="G41" i="1"/>
  <c r="G21" i="1"/>
  <c r="H21" i="1"/>
  <c r="G52" i="1"/>
  <c r="H52" i="1"/>
  <c r="G67" i="1"/>
  <c r="H67" i="1"/>
  <c r="G111" i="1"/>
  <c r="H111" i="1"/>
  <c r="G79" i="1"/>
  <c r="H79" i="1"/>
  <c r="G66" i="1"/>
  <c r="H66" i="1"/>
  <c r="G115" i="1"/>
  <c r="H115" i="1"/>
  <c r="G65" i="1"/>
  <c r="H65" i="1"/>
  <c r="G140" i="1"/>
  <c r="H140" i="1"/>
  <c r="G137" i="1"/>
  <c r="H137" i="1"/>
  <c r="G126" i="1"/>
  <c r="H126" i="1"/>
  <c r="G110" i="1"/>
  <c r="H110" i="1"/>
  <c r="G125" i="1"/>
  <c r="H125" i="1"/>
  <c r="G124" i="1"/>
  <c r="H124" i="1"/>
  <c r="G99" i="1"/>
  <c r="H99" i="1"/>
  <c r="G64" i="1"/>
  <c r="H64" i="1"/>
  <c r="G63" i="1"/>
  <c r="H63" i="1"/>
  <c r="G46" i="1"/>
  <c r="H46" i="1"/>
  <c r="H144" i="1"/>
  <c r="G144" i="1"/>
  <c r="H143" i="1"/>
  <c r="G143" i="1"/>
  <c r="H142" i="1"/>
  <c r="G142" i="1"/>
  <c r="H141" i="1"/>
  <c r="G141" i="1"/>
  <c r="H139" i="1"/>
  <c r="G139" i="1"/>
  <c r="H138" i="1"/>
  <c r="G138" i="1"/>
  <c r="H136" i="1"/>
  <c r="G136" i="1"/>
  <c r="H135" i="1"/>
  <c r="G135" i="1"/>
  <c r="H134" i="1"/>
  <c r="G134" i="1"/>
  <c r="H133" i="1"/>
  <c r="G133" i="1"/>
  <c r="H132" i="1"/>
  <c r="G132" i="1"/>
  <c r="H131" i="1"/>
  <c r="G131" i="1"/>
  <c r="H130" i="1"/>
  <c r="G130" i="1"/>
  <c r="H129" i="1"/>
  <c r="G129" i="1"/>
  <c r="H128" i="1"/>
  <c r="G128" i="1"/>
  <c r="H127" i="1"/>
  <c r="G127" i="1"/>
  <c r="H123" i="1"/>
  <c r="G123" i="1"/>
  <c r="H122" i="1"/>
  <c r="G122" i="1"/>
  <c r="H121" i="1"/>
  <c r="G121" i="1"/>
  <c r="H120" i="1"/>
  <c r="G120" i="1"/>
  <c r="H119" i="1"/>
  <c r="G119" i="1"/>
  <c r="H118" i="1"/>
  <c r="G118" i="1"/>
  <c r="H117" i="1"/>
  <c r="G117" i="1"/>
  <c r="H116" i="1"/>
  <c r="G116" i="1"/>
  <c r="H114" i="1"/>
  <c r="G114" i="1"/>
  <c r="H113" i="1"/>
  <c r="G113" i="1"/>
  <c r="H112" i="1"/>
  <c r="G112" i="1"/>
  <c r="H109" i="1"/>
  <c r="G109" i="1"/>
  <c r="H108" i="1"/>
  <c r="G108" i="1"/>
  <c r="H107" i="1"/>
  <c r="G107" i="1"/>
  <c r="H106" i="1"/>
  <c r="G106" i="1"/>
  <c r="H105" i="1"/>
  <c r="G105" i="1"/>
  <c r="H104" i="1"/>
  <c r="G104" i="1"/>
  <c r="H103" i="1"/>
  <c r="G103" i="1"/>
  <c r="H102" i="1"/>
  <c r="G102" i="1"/>
  <c r="H101" i="1"/>
  <c r="G101" i="1"/>
  <c r="H100" i="1"/>
  <c r="G100" i="1"/>
  <c r="H98" i="1"/>
  <c r="G98" i="1"/>
  <c r="H97" i="1"/>
  <c r="G97" i="1"/>
  <c r="H96" i="1"/>
  <c r="G96" i="1"/>
  <c r="H95" i="1"/>
  <c r="G95" i="1"/>
  <c r="H94" i="1"/>
  <c r="G94" i="1"/>
  <c r="H93" i="1"/>
  <c r="G93" i="1"/>
  <c r="H92" i="1"/>
  <c r="G92" i="1"/>
  <c r="H91" i="1"/>
  <c r="G91" i="1"/>
  <c r="H90" i="1"/>
  <c r="G90" i="1"/>
  <c r="H89" i="1"/>
  <c r="G89" i="1"/>
  <c r="H88" i="1"/>
  <c r="G88" i="1"/>
  <c r="H87" i="1"/>
  <c r="G87" i="1"/>
  <c r="H86" i="1"/>
  <c r="G86" i="1"/>
  <c r="H85" i="1"/>
  <c r="G85" i="1"/>
  <c r="H84" i="1"/>
  <c r="G84" i="1"/>
  <c r="H83" i="1"/>
  <c r="G83" i="1"/>
  <c r="H82" i="1"/>
  <c r="G82" i="1"/>
  <c r="H81" i="1"/>
  <c r="G81" i="1"/>
  <c r="H80" i="1"/>
  <c r="G80" i="1"/>
  <c r="H78" i="1"/>
  <c r="G78" i="1"/>
  <c r="H77" i="1"/>
  <c r="G77" i="1"/>
  <c r="H76" i="1"/>
  <c r="G76" i="1"/>
  <c r="H75" i="1"/>
  <c r="G75" i="1"/>
  <c r="H74" i="1"/>
  <c r="G74" i="1"/>
  <c r="H73" i="1"/>
  <c r="G73" i="1"/>
  <c r="H72" i="1"/>
  <c r="G72" i="1"/>
  <c r="H71" i="1"/>
  <c r="G71" i="1"/>
  <c r="H70" i="1"/>
  <c r="G70" i="1"/>
  <c r="H69" i="1"/>
  <c r="G69" i="1"/>
  <c r="H68" i="1"/>
  <c r="G68" i="1"/>
  <c r="H62" i="1"/>
  <c r="G62" i="1"/>
  <c r="H61" i="1"/>
  <c r="G61" i="1"/>
  <c r="H60" i="1"/>
  <c r="G60" i="1"/>
  <c r="H59" i="1"/>
  <c r="G59" i="1"/>
  <c r="H58" i="1"/>
  <c r="G58" i="1"/>
  <c r="H57" i="1"/>
  <c r="G57" i="1"/>
  <c r="H56" i="1"/>
  <c r="G56" i="1"/>
  <c r="H55" i="1"/>
  <c r="G55" i="1"/>
  <c r="H54" i="1"/>
  <c r="G54" i="1"/>
  <c r="H53" i="1"/>
  <c r="G53" i="1"/>
  <c r="H51" i="1"/>
  <c r="G51" i="1"/>
  <c r="H50" i="1"/>
  <c r="G50" i="1"/>
  <c r="H49" i="1"/>
  <c r="G49" i="1"/>
  <c r="H48" i="1"/>
  <c r="G48" i="1"/>
  <c r="H47" i="1"/>
  <c r="G47" i="1"/>
  <c r="H45" i="1"/>
  <c r="G45" i="1"/>
  <c r="H44" i="1"/>
  <c r="G44" i="1"/>
  <c r="H43" i="1"/>
  <c r="G43" i="1"/>
  <c r="H42" i="1"/>
  <c r="G42" i="1"/>
  <c r="H40" i="1"/>
  <c r="G40" i="1"/>
  <c r="H39" i="1"/>
  <c r="G39" i="1"/>
  <c r="H38" i="1"/>
  <c r="G38" i="1"/>
  <c r="H37" i="1"/>
  <c r="G37" i="1"/>
  <c r="H36" i="1"/>
  <c r="G36" i="1"/>
  <c r="H35" i="1"/>
  <c r="G35" i="1"/>
  <c r="H34" i="1"/>
  <c r="G34" i="1"/>
  <c r="H33" i="1"/>
  <c r="G33" i="1"/>
  <c r="H32" i="1"/>
  <c r="G32" i="1"/>
  <c r="H31" i="1"/>
  <c r="G31" i="1"/>
  <c r="H30" i="1"/>
  <c r="G30" i="1"/>
  <c r="H29" i="1"/>
  <c r="G29" i="1"/>
  <c r="H28" i="1"/>
  <c r="G28" i="1"/>
  <c r="H27" i="1"/>
  <c r="G27" i="1"/>
  <c r="H26" i="1"/>
  <c r="G26" i="1"/>
  <c r="H24" i="1"/>
  <c r="G24" i="1"/>
  <c r="H23" i="1"/>
  <c r="G23" i="1"/>
  <c r="H22" i="1"/>
  <c r="G22" i="1"/>
  <c r="H20" i="1"/>
  <c r="G20" i="1"/>
  <c r="H19" i="1"/>
  <c r="G19" i="1"/>
  <c r="H18" i="1"/>
</calcChain>
</file>

<file path=xl/sharedStrings.xml><?xml version="1.0" encoding="utf-8"?>
<sst xmlns="http://schemas.openxmlformats.org/spreadsheetml/2006/main" count="955" uniqueCount="890">
  <si>
    <t>FOR UPLOADERS - AUTOMATICALLY FILLED</t>
  </si>
  <si>
    <t>Français</t>
  </si>
  <si>
    <t>English</t>
  </si>
  <si>
    <t xml:space="preserve">Article/
Reference </t>
  </si>
  <si>
    <t>Notes</t>
  </si>
  <si>
    <t>Details with Reference</t>
  </si>
  <si>
    <t>Details-Reference (AUTOMATIC)</t>
  </si>
  <si>
    <t xml:space="preserve">I. Information générale sur le projet </t>
  </si>
  <si>
    <t>General information</t>
  </si>
  <si>
    <t>Pays</t>
  </si>
  <si>
    <t>Country</t>
  </si>
  <si>
    <t>Nom de la société locale</t>
  </si>
  <si>
    <t>Local company name</t>
  </si>
  <si>
    <t xml:space="preserve">Siège social </t>
  </si>
  <si>
    <t xml:space="preserve">Corporate headquarters </t>
  </si>
  <si>
    <t>Structure du Capital</t>
  </si>
  <si>
    <t>Company structure</t>
  </si>
  <si>
    <t xml:space="preserve">Société(s) mère(s) ou affiliée(s) hors du pays, si diffèrent de celle(s) notée(s) ci-dessus; et leurs sièges sociales </t>
  </si>
  <si>
    <t>Site web de l’entreprise</t>
  </si>
  <si>
    <t>Company website</t>
  </si>
  <si>
    <t>Type of document / right (Concession, Lease, Production Sharing Agreement, Service Agreement, etc.)</t>
  </si>
  <si>
    <t>Nom du projet</t>
  </si>
  <si>
    <t>Project title</t>
  </si>
  <si>
    <t>Name and/or number of field, block or deposit</t>
  </si>
  <si>
    <t>Lieu-dit habité le plus proche</t>
  </si>
  <si>
    <t>Closest community</t>
  </si>
  <si>
    <t>Date d'octroi du permis d'exploitation ou concession</t>
  </si>
  <si>
    <t>Date of issue of title/permit</t>
  </si>
  <si>
    <t>Année d'octroi du permis d'exploitation ou concession</t>
  </si>
  <si>
    <t>Year of issue of title/permit</t>
  </si>
  <si>
    <t>Date de ratification</t>
  </si>
  <si>
    <t>Date of ratification</t>
  </si>
  <si>
    <t>Investissement estimé</t>
  </si>
  <si>
    <t>Estimated investment</t>
  </si>
  <si>
    <t>Production attendue</t>
  </si>
  <si>
    <t>Expected production</t>
  </si>
  <si>
    <t>II. Résumé des dispositions du contrat</t>
  </si>
  <si>
    <t>II. Summary of terms</t>
  </si>
  <si>
    <t>1. Dispositions du base</t>
  </si>
  <si>
    <t>1. Fundamental provisions</t>
  </si>
  <si>
    <t>Nom de la société signataire du contrat et composition des actionnaires mentionnés dans le document</t>
  </si>
  <si>
    <t>Name of company executing the document and composition of the shareholders</t>
  </si>
  <si>
    <t xml:space="preserve">Signataire(s), société </t>
  </si>
  <si>
    <t>Signatories, company</t>
  </si>
  <si>
    <t>Agence de l'Etat, société nationale, ministère signataire du contrat</t>
  </si>
  <si>
    <t>State agency, national company, ministry executing the document</t>
  </si>
  <si>
    <t>Signataire(s), Etat</t>
  </si>
  <si>
    <t>Signatories, State</t>
  </si>
  <si>
    <t>Nom et/ou composition de la société du projet crée ou envisagée</t>
  </si>
  <si>
    <t>Name and/or composition of the company created or anticipated</t>
  </si>
  <si>
    <t>Date de signature du contrat</t>
  </si>
  <si>
    <t>Date of contract signature</t>
  </si>
  <si>
    <t>Année de signature du contrat</t>
  </si>
  <si>
    <t>Year of contract signature</t>
  </si>
  <si>
    <t>Durée</t>
  </si>
  <si>
    <t>Term</t>
  </si>
  <si>
    <t>Conditions de renouvellement</t>
  </si>
  <si>
    <t xml:space="preserve">Conditions for renewal </t>
  </si>
  <si>
    <t>2. Obligations à l'égard des communautés, la protection sociale et l’économie locale/régionale</t>
  </si>
  <si>
    <t>Convention de développement local</t>
  </si>
  <si>
    <t>Local development agreement</t>
  </si>
  <si>
    <t>Protection of sacred locations, resources and environment</t>
  </si>
  <si>
    <t xml:space="preserve">Requirements for community consultation </t>
  </si>
  <si>
    <t>Management training requirement for nationals</t>
  </si>
  <si>
    <t>Local employment requirements</t>
  </si>
  <si>
    <t>Local procurement requirements</t>
  </si>
  <si>
    <t>Assurance</t>
  </si>
  <si>
    <t>Insurance</t>
  </si>
  <si>
    <t>3. Obligations financières du détenteur du titre</t>
  </si>
  <si>
    <t>3. Developer's financial obligations</t>
  </si>
  <si>
    <t>Taxe minière / redevance</t>
  </si>
  <si>
    <t>Mining tax / royalty tax</t>
  </si>
  <si>
    <t>Impôt sur les bénéfices: taux</t>
  </si>
  <si>
    <t>Income tax: rate</t>
  </si>
  <si>
    <t>Income tax: exemptions</t>
  </si>
  <si>
    <t>Other income tax features (amortization, deductibility of expenses, loss carry forward, ring-fencing)</t>
  </si>
  <si>
    <t>Production Share - "Cost Oil" features  (basis of calculation, limits on cost recovery - e.g. as % of revenue or production, capex uplift, etc.)</t>
  </si>
  <si>
    <t>Production Share - "Profit Oil" features  (triggers for variations in split - IRR, "r" factor, production, etc.)</t>
  </si>
  <si>
    <t>Service Agreement - Fee to developer / contractor (basis for calculation)</t>
  </si>
  <si>
    <t>Capital gains tax</t>
  </si>
  <si>
    <t>Retenue à la source sur les salaires des nationaux</t>
  </si>
  <si>
    <t>Witholding tax on national salaries</t>
  </si>
  <si>
    <t>Retenue à la source sur les salaires des expatriés</t>
  </si>
  <si>
    <t>Witholding tax on expatriate salaries</t>
  </si>
  <si>
    <t>Retenue à la source sur les prestations de service par des entreprises non résidentes</t>
  </si>
  <si>
    <t>Witholding tax on services of non-resident companies</t>
  </si>
  <si>
    <t>Retenue à la source sur les loyers des immeubles</t>
  </si>
  <si>
    <t>Witholding tax on rent</t>
  </si>
  <si>
    <t>Déductibilité des frais financiers</t>
  </si>
  <si>
    <t>Deductibility of expenses</t>
  </si>
  <si>
    <t xml:space="preserve">Méthode d’évaluation de prix </t>
  </si>
  <si>
    <t>Method for evaluating price</t>
  </si>
  <si>
    <t>Provision pour la reconstitution des gisements</t>
  </si>
  <si>
    <t>Provisions for renewing reserves</t>
  </si>
  <si>
    <t>Crédit d'investissement</t>
  </si>
  <si>
    <t>Investment credit</t>
  </si>
  <si>
    <t>Droits de douane en phase de recherche</t>
  </si>
  <si>
    <t>Custom duties during exploration phase</t>
  </si>
  <si>
    <t>Droits de douane en phase de construction</t>
  </si>
  <si>
    <t>Custom duties during construction phase</t>
  </si>
  <si>
    <t>Droits de douane en phase d'exploitation</t>
  </si>
  <si>
    <t>Droits de douane pour le matériel de traitement</t>
  </si>
  <si>
    <t>Custom duties on processing equipment</t>
  </si>
  <si>
    <t>Droits de douane pour le matériel de transformation</t>
  </si>
  <si>
    <t>Custom duties on transformation equipment</t>
  </si>
  <si>
    <t>Droits de douane pour le matériel de transport</t>
  </si>
  <si>
    <t>Custom duties on transportation equipment</t>
  </si>
  <si>
    <t>TVA</t>
  </si>
  <si>
    <t>VAT</t>
  </si>
  <si>
    <t>Droits fixes d'octroi et de renouvellement des permis</t>
  </si>
  <si>
    <t xml:space="preserve">Fixed fee for grant and renewal of license  </t>
  </si>
  <si>
    <t>Part patronale des cotisations de sécurité sociale</t>
  </si>
  <si>
    <t>Social security contributions by employer</t>
  </si>
  <si>
    <t>Redevances superficiaires</t>
  </si>
  <si>
    <t>Surface fees</t>
  </si>
  <si>
    <t>Obligations communautaires ou sous-nationales</t>
  </si>
  <si>
    <t>Community and regional obligations</t>
  </si>
  <si>
    <t>Primes</t>
  </si>
  <si>
    <t>Bonuses</t>
  </si>
  <si>
    <t>Participation de l'Etat</t>
  </si>
  <si>
    <t>State participation</t>
  </si>
  <si>
    <t>Exonérations non-précisées ailleurs</t>
  </si>
  <si>
    <t>Other exemptions</t>
  </si>
  <si>
    <t>Restrictions sur les transactions avec les parties liées</t>
  </si>
  <si>
    <t>Restrictions on transactions with affiliated parties</t>
  </si>
  <si>
    <t>4. Environmental provisions</t>
  </si>
  <si>
    <t>5. Operational provisions</t>
  </si>
  <si>
    <t>Obligations de travaux, d'investissements</t>
  </si>
  <si>
    <t>Work and investment commitments</t>
  </si>
  <si>
    <t>Rétrocession</t>
  </si>
  <si>
    <t>Transfer of risk</t>
  </si>
  <si>
    <t>Construction et entretien d'infrastructure</t>
  </si>
  <si>
    <t>Construction and maintenance of infrastructure</t>
  </si>
  <si>
    <t>Marketing of output and state access to output</t>
  </si>
  <si>
    <t>Utilisation d’infrastructure par les tiers</t>
  </si>
  <si>
    <t>Third party use of infrastructure</t>
  </si>
  <si>
    <t>Financement d’infrastructure</t>
  </si>
  <si>
    <t>Financing of infrastructure</t>
  </si>
  <si>
    <t>Propriété d’infrastructure</t>
  </si>
  <si>
    <t>Ownership of infrastructure</t>
  </si>
  <si>
    <t>6. Dispositions diverses</t>
  </si>
  <si>
    <t>6. Miscellaneous provisions</t>
  </si>
  <si>
    <t>Loi applicable en cas des différends</t>
  </si>
  <si>
    <t>Governing law in case of dispute</t>
  </si>
  <si>
    <t>Arbitrage et règlement des différends</t>
  </si>
  <si>
    <t>Arbitration and dispute resolution</t>
  </si>
  <si>
    <t>Clause de stabilisation</t>
  </si>
  <si>
    <t>Stabilization clause</t>
  </si>
  <si>
    <t>Cession / transfert</t>
  </si>
  <si>
    <t>Assignment / transfer</t>
  </si>
  <si>
    <t>Cancellation / termination</t>
  </si>
  <si>
    <t>Indemnisation</t>
  </si>
  <si>
    <t>Indemnification</t>
  </si>
  <si>
    <t>Confidentialité</t>
  </si>
  <si>
    <t>Confidentiality</t>
  </si>
  <si>
    <t>Langue</t>
  </si>
  <si>
    <t>Language</t>
  </si>
  <si>
    <t>III. Notes sur le document</t>
  </si>
  <si>
    <t>III. Document notes</t>
  </si>
  <si>
    <t>Pages Manquantes de la copie</t>
  </si>
  <si>
    <t>Pages missing from  copy</t>
  </si>
  <si>
    <t>Annexes Manquantes de la copie</t>
  </si>
  <si>
    <t>Annexes missing from copy</t>
  </si>
  <si>
    <t>Category</t>
  </si>
  <si>
    <t>Terms</t>
  </si>
  <si>
    <t>Type of Mining Title</t>
  </si>
  <si>
    <t>Signature Date</t>
  </si>
  <si>
    <t>Signature Year</t>
  </si>
  <si>
    <t>Contract Term (duration) in Years</t>
  </si>
  <si>
    <t>Name of third party to contract (where applicable)</t>
  </si>
  <si>
    <t>Carbon credits</t>
  </si>
  <si>
    <t>Value addition/downstream activities</t>
  </si>
  <si>
    <t>Contracting party's permitted use of public or private land outside concession area</t>
  </si>
  <si>
    <t>Expropriation / nationalization</t>
  </si>
  <si>
    <t>Other - [Name of Category]</t>
  </si>
  <si>
    <t>Expropriation</t>
  </si>
  <si>
    <t>Autre - [le nom de catégorie]</t>
  </si>
  <si>
    <t>Type of resources (mineral type, crude oil, gas, timber, etc.) OR specific crops planned (ex:  food crops, oil palm, etc.)</t>
  </si>
  <si>
    <t>Nom de la partie tiers (si applicable)</t>
  </si>
  <si>
    <t>Activité de beneficiation/ valeur ajoutée</t>
  </si>
  <si>
    <t>Right to take and/or use water within/near contract concession area (including fees, licenses, and permits required)</t>
  </si>
  <si>
    <t>L'étude de faisabilité et le plan d'affaires</t>
  </si>
  <si>
    <t>Feasibility studies and requirement of business plan</t>
  </si>
  <si>
    <t>5. Dispositions relatives aux opérations et à l’infrastructure</t>
  </si>
  <si>
    <t>Requirements regarding workers or farm/concession dwellers within concession areas or in nearby communities in respect of occupational health and safety, access to clean water, housing, medical care, or education</t>
  </si>
  <si>
    <t>Obligations concernant les travailleurs ou les habitants dans ou près des concessions en ce qui concerne la santé et la sécurité au travail, l'accès à l'eau potable, le logement, les soins médicaux ou l'éducation</t>
  </si>
  <si>
    <t>Physical security, protection of property, and/or use of guards</t>
  </si>
  <si>
    <t>La sécurité physique, la protection de la propriété, et / ou l'utilisation des gardes</t>
  </si>
  <si>
    <t>Reporting Requirements and other methods of monitoring compliance</t>
  </si>
  <si>
    <t>Mécanismes de réclamation pour les parties non contractantes</t>
  </si>
  <si>
    <t>Grievance mechanisms for non-contractual harms to non-contracting parties</t>
  </si>
  <si>
    <t xml:space="preserve">4. Dispositions environnementales </t>
  </si>
  <si>
    <t>2. Community and social obligations</t>
  </si>
  <si>
    <t>Parent companies or affilates outside of the country, if different from the above mentioned; and their corporate headquarters</t>
  </si>
  <si>
    <t>Audit mechanisms - operational obligations</t>
  </si>
  <si>
    <t>Audit mechanisms - financial obligations</t>
  </si>
  <si>
    <t>Modes d'audit à l'égard des obligations financières du détenteur du titre</t>
  </si>
  <si>
    <t>Modes d'audit à l'égard des dispositions opérationnelles</t>
  </si>
  <si>
    <t>Crédits de carbone</t>
  </si>
  <si>
    <t>Partage de production - Eléments de "Cost Oil" (base de calcul, limites sur le recouvrement des coûts, e.g. comme % des revenues ou de la production, crédit d'investissement, etc.)</t>
  </si>
  <si>
    <t>Partage de production - Eléments de "Profit Oil" (critères pour la modification du partage, - TRI, facteur "r", niveau de production, etc.)</t>
  </si>
  <si>
    <t>Nom du gisement/ champ de pétrole/ gas</t>
  </si>
  <si>
    <t>Retenue à la source sur les intérêts et/ou dividendes</t>
  </si>
  <si>
    <t xml:space="preserve">Commercialisation et accès gouvernemental à la production </t>
  </si>
  <si>
    <t>Type du titre associé au contrat (concession, bail, contrat de partage, contrat de service…)</t>
  </si>
  <si>
    <t xml:space="preserve">Location, longitude and latitude /  Onshore vs Offshore (shallow vs. deep) </t>
  </si>
  <si>
    <t xml:space="preserve">Emplacement, longitude et latitude / terrestre vs marin (peu profond vs. profond) </t>
  </si>
  <si>
    <t>Réinstallation des habitants</t>
  </si>
  <si>
    <t>Resettlement</t>
  </si>
  <si>
    <t>Withholding tax on payment of interest and/or dividends</t>
  </si>
  <si>
    <t>Other requirements regarding protection of the environment (including prevention of pollution and watercourse protection)</t>
  </si>
  <si>
    <t>Les autres obligations pour la protection de l'environnement (y compris la prévention de la pollution et la protection des cours d'eau)</t>
  </si>
  <si>
    <t>Etude d'impact social, environnemental ou des droits humains, et les plans de gestion des risques</t>
  </si>
  <si>
    <t>Social, environmental and/or human rights monitoring requirements</t>
  </si>
  <si>
    <t>Mode et fréquence de suivi des risques sociaux (y compris enfreinte aux droits de l'homme) ou environnementaux</t>
  </si>
  <si>
    <t xml:space="preserve">Rights of non-contracting parties to access/use concession area (including permitted independent farming in concession area) </t>
  </si>
  <si>
    <t>Droits d'accès/utilisation à la zone de concession pour les parties non contractantes qui utilisaient la terre au préalable (y compris l'agriculture indépendante autorisée dans la zone de concession)</t>
  </si>
  <si>
    <t>Size of the concession area</t>
  </si>
  <si>
    <t>Superficie de la concession</t>
  </si>
  <si>
    <t>Custum duties during operation phase</t>
  </si>
  <si>
    <t>Social, environmental and/or human rights impact assessments, as well as related management plans</t>
  </si>
  <si>
    <t>Hardship clause or force majeure</t>
  </si>
  <si>
    <t>Clause de hardship ou force majeure</t>
  </si>
  <si>
    <t>Outgrowers Program (details, additional land provided, etc)</t>
  </si>
  <si>
    <t>Impôt sur les bénéfices: exonération</t>
  </si>
  <si>
    <t>Autre aspects de l'impôt sur les bénéfices: (l’amortissement, déductibilité des frais financiers, report des pertes, cloisonnement)</t>
  </si>
  <si>
    <t>Droit de prendre ou d'utiliser l'eau dans la zone de concession (ou à coté) (y compris les tarifs, licences, et permis)</t>
  </si>
  <si>
    <t>Autorisation pour utiliser les terres publique ou privées à l'extérieur de la zone de concession</t>
  </si>
  <si>
    <t xml:space="preserve">Annulation / Résiliation </t>
  </si>
  <si>
    <t>Ressource(s) concernées (type de minéral, pétrole, gas, bois) ou les récoltes/denrées</t>
  </si>
  <si>
    <t>Protection des lieux sacrés, des ressources et du milieu de vie</t>
  </si>
  <si>
    <t>Obligations liées à l'emploi du personnel local</t>
  </si>
  <si>
    <t>Programme de sous-traitance  avec les petits planteurs (détails, des terres supplémentaires fournis, etc)</t>
  </si>
  <si>
    <t>Obligations liées a l'approvisionnement en biens et services locaux</t>
  </si>
  <si>
    <t>Contrat de Service - Frais du détenteur du titre défrayés  (base de calcul)</t>
  </si>
  <si>
    <t>Consultations communautaires requises</t>
  </si>
  <si>
    <t>Obligations liées a la formation des cadres locaux</t>
  </si>
  <si>
    <t>Impôt sur les Revenus des Valeurs Mobilières (IRVM)</t>
  </si>
  <si>
    <t>Obligations de reporting et autres méthodes de contrôle de la conformité</t>
  </si>
  <si>
    <t>Other - [Environmental liability]</t>
  </si>
  <si>
    <t>Autre - [Responsabilité environnementale]</t>
  </si>
  <si>
    <t>Numéro d'entreprise légal</t>
  </si>
  <si>
    <t>Legal Enterprise Identifier</t>
  </si>
  <si>
    <t>Details  - value</t>
  </si>
  <si>
    <t>Page (permalink) page = page top, middle, bottom</t>
  </si>
  <si>
    <t>country</t>
  </si>
  <si>
    <t>iso3</t>
  </si>
  <si>
    <t>Afganistan</t>
  </si>
  <si>
    <t>AFG</t>
  </si>
  <si>
    <t>Albania</t>
  </si>
  <si>
    <t>ALB</t>
  </si>
  <si>
    <t>Algeria</t>
  </si>
  <si>
    <t>DZA</t>
  </si>
  <si>
    <t>American Samoa</t>
  </si>
  <si>
    <t>ASM</t>
  </si>
  <si>
    <t>Andorra</t>
  </si>
  <si>
    <t>AND</t>
  </si>
  <si>
    <t>Angola</t>
  </si>
  <si>
    <t>AGO</t>
  </si>
  <si>
    <t>Anguilla</t>
  </si>
  <si>
    <t>AIA</t>
  </si>
  <si>
    <t>Antigua &amp; Barbuda</t>
  </si>
  <si>
    <t>ATG</t>
  </si>
  <si>
    <t>Argentina</t>
  </si>
  <si>
    <t>ARG</t>
  </si>
  <si>
    <t>Armenia</t>
  </si>
  <si>
    <t>ARM</t>
  </si>
  <si>
    <t>Aruba</t>
  </si>
  <si>
    <t>ABW</t>
  </si>
  <si>
    <t>Australia</t>
  </si>
  <si>
    <t>AUS</t>
  </si>
  <si>
    <t>Austria</t>
  </si>
  <si>
    <t>AUT</t>
  </si>
  <si>
    <t>Azerbaijan</t>
  </si>
  <si>
    <t>AZE</t>
  </si>
  <si>
    <t>Bahamas</t>
  </si>
  <si>
    <t>BHS</t>
  </si>
  <si>
    <t>Bahrain</t>
  </si>
  <si>
    <t>BHR</t>
  </si>
  <si>
    <t>Bangladesh</t>
  </si>
  <si>
    <t>BGD</t>
  </si>
  <si>
    <t>Barbados</t>
  </si>
  <si>
    <t>BRB</t>
  </si>
  <si>
    <t>Belarus</t>
  </si>
  <si>
    <t>BLR</t>
  </si>
  <si>
    <t>Belgium</t>
  </si>
  <si>
    <t>BEL</t>
  </si>
  <si>
    <t>Belize</t>
  </si>
  <si>
    <t>BLZ</t>
  </si>
  <si>
    <t>Benin</t>
  </si>
  <si>
    <t>BEN</t>
  </si>
  <si>
    <t>Bermuda</t>
  </si>
  <si>
    <t>BMU</t>
  </si>
  <si>
    <t>Bhutan</t>
  </si>
  <si>
    <t>BTN</t>
  </si>
  <si>
    <t>Bolivia</t>
  </si>
  <si>
    <t>BOL</t>
  </si>
  <si>
    <t>Bonaire</t>
  </si>
  <si>
    <t>BES</t>
  </si>
  <si>
    <t>Bosnia-Herzegovina</t>
  </si>
  <si>
    <t>BIH</t>
  </si>
  <si>
    <t>Botswana</t>
  </si>
  <si>
    <t>BWA</t>
  </si>
  <si>
    <t>Brazil</t>
  </si>
  <si>
    <t>BRA</t>
  </si>
  <si>
    <t>British Indian Ocean Territory</t>
  </si>
  <si>
    <t>IOT</t>
  </si>
  <si>
    <t>British Virgin Islands</t>
  </si>
  <si>
    <t>VGB</t>
  </si>
  <si>
    <t>Brunei Darussalam</t>
  </si>
  <si>
    <t>BRN</t>
  </si>
  <si>
    <t>Bulgaria</t>
  </si>
  <si>
    <t>BGR</t>
  </si>
  <si>
    <t>Burkina Faso</t>
  </si>
  <si>
    <t>BFA</t>
  </si>
  <si>
    <t>Burundi</t>
  </si>
  <si>
    <t>BDI</t>
  </si>
  <si>
    <t>Cambodia</t>
  </si>
  <si>
    <t>KHM</t>
  </si>
  <si>
    <t>Cameroon</t>
  </si>
  <si>
    <t>CMR</t>
  </si>
  <si>
    <t>Canada</t>
  </si>
  <si>
    <t>CAN</t>
  </si>
  <si>
    <t>Cape Verde Islands</t>
  </si>
  <si>
    <t>CPV</t>
  </si>
  <si>
    <t>Cayman Islands</t>
  </si>
  <si>
    <t>CYM</t>
  </si>
  <si>
    <t>Central African Republic</t>
  </si>
  <si>
    <t>CAF</t>
  </si>
  <si>
    <t>Chad</t>
  </si>
  <si>
    <t>TCD</t>
  </si>
  <si>
    <t>Chile</t>
  </si>
  <si>
    <t>CHL</t>
  </si>
  <si>
    <t>China</t>
  </si>
  <si>
    <t>CHN</t>
  </si>
  <si>
    <t>Christmas Island</t>
  </si>
  <si>
    <t>CXR</t>
  </si>
  <si>
    <t>Cocos (Keeling) Islands</t>
  </si>
  <si>
    <t>CCK</t>
  </si>
  <si>
    <t>Colombia</t>
  </si>
  <si>
    <t>COL</t>
  </si>
  <si>
    <t>Comoros</t>
  </si>
  <si>
    <t>COM</t>
  </si>
  <si>
    <t>Congo (Brazzaville)</t>
  </si>
  <si>
    <t>COG</t>
  </si>
  <si>
    <t>Congo (Kinshasa)</t>
  </si>
  <si>
    <t>ZAR</t>
  </si>
  <si>
    <t>Cook Islands</t>
  </si>
  <si>
    <t>COK</t>
  </si>
  <si>
    <t>Costa Rica</t>
  </si>
  <si>
    <t>CRI</t>
  </si>
  <si>
    <t>Croatia</t>
  </si>
  <si>
    <t>HRV</t>
  </si>
  <si>
    <t>Cuba</t>
  </si>
  <si>
    <t>CUB</t>
  </si>
  <si>
    <t>CuraÃ§ao</t>
  </si>
  <si>
    <t>CUW</t>
  </si>
  <si>
    <t>Cyprus</t>
  </si>
  <si>
    <t>CYP</t>
  </si>
  <si>
    <t>Czech Republic</t>
  </si>
  <si>
    <t>CZE</t>
  </si>
  <si>
    <t>Denmark</t>
  </si>
  <si>
    <t>DNK</t>
  </si>
  <si>
    <t>Djibouti</t>
  </si>
  <si>
    <t>DJI</t>
  </si>
  <si>
    <t>Dominica</t>
  </si>
  <si>
    <t>DMA</t>
  </si>
  <si>
    <t>Dominican Republic</t>
  </si>
  <si>
    <t>DOM</t>
  </si>
  <si>
    <t>East Timor</t>
  </si>
  <si>
    <t>TLS</t>
  </si>
  <si>
    <t>Ecuador</t>
  </si>
  <si>
    <t>ECU</t>
  </si>
  <si>
    <t>Egypt</t>
  </si>
  <si>
    <t>EGY</t>
  </si>
  <si>
    <t>El Salvador</t>
  </si>
  <si>
    <t>SLV</t>
  </si>
  <si>
    <t>Equatorial Guinea</t>
  </si>
  <si>
    <t>GNQ</t>
  </si>
  <si>
    <t>Eritrea</t>
  </si>
  <si>
    <t>ERI</t>
  </si>
  <si>
    <t>Estonia</t>
  </si>
  <si>
    <t>EST</t>
  </si>
  <si>
    <t>Ethiopia</t>
  </si>
  <si>
    <t>ETH</t>
  </si>
  <si>
    <t>Faeroe Islands</t>
  </si>
  <si>
    <t>FRO</t>
  </si>
  <si>
    <t>Falkland Islands</t>
  </si>
  <si>
    <t>FLK</t>
  </si>
  <si>
    <t>Fiji</t>
  </si>
  <si>
    <t>FJI</t>
  </si>
  <si>
    <t>Finland</t>
  </si>
  <si>
    <t>FIN</t>
  </si>
  <si>
    <t>France</t>
  </si>
  <si>
    <t>FRA</t>
  </si>
  <si>
    <t>French Guiana</t>
  </si>
  <si>
    <t>GUF</t>
  </si>
  <si>
    <t>French Polynesia</t>
  </si>
  <si>
    <t>PYF</t>
  </si>
  <si>
    <t>French Southern Territories</t>
  </si>
  <si>
    <t>ATF</t>
  </si>
  <si>
    <t>Gabon</t>
  </si>
  <si>
    <t>GAB</t>
  </si>
  <si>
    <t>Gambia</t>
  </si>
  <si>
    <t>GMB</t>
  </si>
  <si>
    <t>Georgia</t>
  </si>
  <si>
    <t>GEO</t>
  </si>
  <si>
    <t>Germany</t>
  </si>
  <si>
    <t>DEU</t>
  </si>
  <si>
    <t>Ghana</t>
  </si>
  <si>
    <t>GHA</t>
  </si>
  <si>
    <t>Gibralter</t>
  </si>
  <si>
    <t>GIB</t>
  </si>
  <si>
    <t>Greece</t>
  </si>
  <si>
    <t>GRC</t>
  </si>
  <si>
    <t>Greenland</t>
  </si>
  <si>
    <t>GRL</t>
  </si>
  <si>
    <t>Grenada</t>
  </si>
  <si>
    <t>GRD</t>
  </si>
  <si>
    <t>Guadeloupe</t>
  </si>
  <si>
    <t>GLP</t>
  </si>
  <si>
    <t>Guam</t>
  </si>
  <si>
    <t>GUM</t>
  </si>
  <si>
    <t>Guatemala</t>
  </si>
  <si>
    <t>GTM</t>
  </si>
  <si>
    <t>Guernsey</t>
  </si>
  <si>
    <t>GGY</t>
  </si>
  <si>
    <t>Guinea</t>
  </si>
  <si>
    <t>GIN</t>
  </si>
  <si>
    <t>Guinea-Bissau</t>
  </si>
  <si>
    <t>GNB</t>
  </si>
  <si>
    <t>Guyana</t>
  </si>
  <si>
    <t>GUY</t>
  </si>
  <si>
    <t>Haiti</t>
  </si>
  <si>
    <t>HTI</t>
  </si>
  <si>
    <t>Holy See</t>
  </si>
  <si>
    <t>Honduras</t>
  </si>
  <si>
    <t>HND</t>
  </si>
  <si>
    <t>Hong Kong</t>
  </si>
  <si>
    <t>HKG</t>
  </si>
  <si>
    <t>Hungary</t>
  </si>
  <si>
    <t>HUN</t>
  </si>
  <si>
    <t>Iceland</t>
  </si>
  <si>
    <t>ISL</t>
  </si>
  <si>
    <t>India</t>
  </si>
  <si>
    <t>IND</t>
  </si>
  <si>
    <t>Indonesia</t>
  </si>
  <si>
    <t>IDN</t>
  </si>
  <si>
    <t>Iran</t>
  </si>
  <si>
    <t>IRN</t>
  </si>
  <si>
    <t>Iraq</t>
  </si>
  <si>
    <t>IRQ</t>
  </si>
  <si>
    <t>Ireland</t>
  </si>
  <si>
    <t>IRL</t>
  </si>
  <si>
    <t>Isle of Man</t>
  </si>
  <si>
    <t>IMN</t>
  </si>
  <si>
    <t>Israel</t>
  </si>
  <si>
    <t>ISR</t>
  </si>
  <si>
    <t>Italy</t>
  </si>
  <si>
    <t>ITA</t>
  </si>
  <si>
    <t>Ivory Coast</t>
  </si>
  <si>
    <t>CIV</t>
  </si>
  <si>
    <t>Jamaica</t>
  </si>
  <si>
    <t>JAM</t>
  </si>
  <si>
    <t>Japan</t>
  </si>
  <si>
    <t>JPN</t>
  </si>
  <si>
    <t>Jersey</t>
  </si>
  <si>
    <t>JEY</t>
  </si>
  <si>
    <t>Jordan</t>
  </si>
  <si>
    <t>JOR</t>
  </si>
  <si>
    <t>Kazakhstan</t>
  </si>
  <si>
    <t>KAZ</t>
  </si>
  <si>
    <t>Kenya</t>
  </si>
  <si>
    <t>KEN</t>
  </si>
  <si>
    <t>Kiribati</t>
  </si>
  <si>
    <t>KIR</t>
  </si>
  <si>
    <t>Kuwait</t>
  </si>
  <si>
    <t>KWT</t>
  </si>
  <si>
    <t>Kyrgyzstan</t>
  </si>
  <si>
    <t>KGZ</t>
  </si>
  <si>
    <t>Laos</t>
  </si>
  <si>
    <t>LAO</t>
  </si>
  <si>
    <t>Latvia</t>
  </si>
  <si>
    <t>LVA</t>
  </si>
  <si>
    <t>Lebanon</t>
  </si>
  <si>
    <t>LBN</t>
  </si>
  <si>
    <t>Lesotho</t>
  </si>
  <si>
    <t>LSO</t>
  </si>
  <si>
    <t>Liberia</t>
  </si>
  <si>
    <t>LBR</t>
  </si>
  <si>
    <t>Libya</t>
  </si>
  <si>
    <t>LBY</t>
  </si>
  <si>
    <t>Liechtenstein</t>
  </si>
  <si>
    <t>LIE</t>
  </si>
  <si>
    <t>Lithuania</t>
  </si>
  <si>
    <t>LTU</t>
  </si>
  <si>
    <t>Luxembourg</t>
  </si>
  <si>
    <t>LUX</t>
  </si>
  <si>
    <t>Macau</t>
  </si>
  <si>
    <t>MAC</t>
  </si>
  <si>
    <t>Macedonia</t>
  </si>
  <si>
    <t>MKD</t>
  </si>
  <si>
    <t>Madagascar</t>
  </si>
  <si>
    <t>MDG</t>
  </si>
  <si>
    <t>Malawi</t>
  </si>
  <si>
    <t>MWI</t>
  </si>
  <si>
    <t>Malaysia</t>
  </si>
  <si>
    <t>MYS</t>
  </si>
  <si>
    <t>Maldives</t>
  </si>
  <si>
    <t>MDV</t>
  </si>
  <si>
    <t>Mali</t>
  </si>
  <si>
    <t>MLI</t>
  </si>
  <si>
    <t>Malta</t>
  </si>
  <si>
    <t>MLT</t>
  </si>
  <si>
    <t>Marshall Islands</t>
  </si>
  <si>
    <t>MHL</t>
  </si>
  <si>
    <t>Martinique</t>
  </si>
  <si>
    <t>MTQ</t>
  </si>
  <si>
    <t>Mauritania</t>
  </si>
  <si>
    <t>MRT</t>
  </si>
  <si>
    <t>Mauritius</t>
  </si>
  <si>
    <t>MUS</t>
  </si>
  <si>
    <t>Mayotte</t>
  </si>
  <si>
    <t>MYT</t>
  </si>
  <si>
    <t>Mexico</t>
  </si>
  <si>
    <t>MEX</t>
  </si>
  <si>
    <t>Micronesia</t>
  </si>
  <si>
    <t>FSM</t>
  </si>
  <si>
    <t>Moldova</t>
  </si>
  <si>
    <t>MDA</t>
  </si>
  <si>
    <t>Monaco</t>
  </si>
  <si>
    <t>MCO</t>
  </si>
  <si>
    <t>Mongolia</t>
  </si>
  <si>
    <t>MNG</t>
  </si>
  <si>
    <t>Montenegro</t>
  </si>
  <si>
    <t>MNE</t>
  </si>
  <si>
    <t>Montserrat</t>
  </si>
  <si>
    <t>MSR</t>
  </si>
  <si>
    <t>Morocco</t>
  </si>
  <si>
    <t>MAR</t>
  </si>
  <si>
    <t>Mozambique</t>
  </si>
  <si>
    <t>MOZ</t>
  </si>
  <si>
    <t>Myanmar</t>
  </si>
  <si>
    <t>MMR</t>
  </si>
  <si>
    <t>Namibia</t>
  </si>
  <si>
    <t>NAM</t>
  </si>
  <si>
    <t>Nauru</t>
  </si>
  <si>
    <t>NRU</t>
  </si>
  <si>
    <t>Nepal</t>
  </si>
  <si>
    <t>NPL</t>
  </si>
  <si>
    <t>Netherlands Antilles</t>
  </si>
  <si>
    <t>ANT</t>
  </si>
  <si>
    <t>Netherlands</t>
  </si>
  <si>
    <t>NLD</t>
  </si>
  <si>
    <t>New Caledonia</t>
  </si>
  <si>
    <t>NCL</t>
  </si>
  <si>
    <t>New Zealand</t>
  </si>
  <si>
    <t>NZL</t>
  </si>
  <si>
    <t>Nicaragua</t>
  </si>
  <si>
    <t>NIC</t>
  </si>
  <si>
    <t>Niger</t>
  </si>
  <si>
    <t>NER</t>
  </si>
  <si>
    <t>Nigeria</t>
  </si>
  <si>
    <t>NGA</t>
  </si>
  <si>
    <t>Niue</t>
  </si>
  <si>
    <t>NIU</t>
  </si>
  <si>
    <t>Norfolk Island</t>
  </si>
  <si>
    <t>NFK</t>
  </si>
  <si>
    <t>North Korea</t>
  </si>
  <si>
    <t>PRK</t>
  </si>
  <si>
    <t>Northern Mariana Islands</t>
  </si>
  <si>
    <t>MNP</t>
  </si>
  <si>
    <t>Norway</t>
  </si>
  <si>
    <t>NOR</t>
  </si>
  <si>
    <t>Oman</t>
  </si>
  <si>
    <t>OMN</t>
  </si>
  <si>
    <t>Pakistan</t>
  </si>
  <si>
    <t>PAK</t>
  </si>
  <si>
    <t>Palau</t>
  </si>
  <si>
    <t>PLW</t>
  </si>
  <si>
    <t>Palestinian Territories</t>
  </si>
  <si>
    <t>PSE</t>
  </si>
  <si>
    <t>Panama</t>
  </si>
  <si>
    <t>PAN</t>
  </si>
  <si>
    <t>Papua New Guinea</t>
  </si>
  <si>
    <t>PNG</t>
  </si>
  <si>
    <t>Paraguay</t>
  </si>
  <si>
    <t>PRY</t>
  </si>
  <si>
    <t>Peru</t>
  </si>
  <si>
    <t>PER</t>
  </si>
  <si>
    <t>Philippines</t>
  </si>
  <si>
    <t>PHL</t>
  </si>
  <si>
    <t>Pitcairn Islands</t>
  </si>
  <si>
    <t>PCN</t>
  </si>
  <si>
    <t>Poland</t>
  </si>
  <si>
    <t>POL</t>
  </si>
  <si>
    <t>Portugal</t>
  </si>
  <si>
    <t>PRT</t>
  </si>
  <si>
    <t>Puerto Rico</t>
  </si>
  <si>
    <t>PRI</t>
  </si>
  <si>
    <t>Qatar</t>
  </si>
  <si>
    <t>QAT</t>
  </si>
  <si>
    <t>Romania</t>
  </si>
  <si>
    <t>ROU</t>
  </si>
  <si>
    <t>Russia</t>
  </si>
  <si>
    <t>RUS</t>
  </si>
  <si>
    <t>Rwanda</t>
  </si>
  <si>
    <t>RWA</t>
  </si>
  <si>
    <t>RÃ©union</t>
  </si>
  <si>
    <t>REU</t>
  </si>
  <si>
    <t>Saba</t>
  </si>
  <si>
    <t>Saint BarthÃ©lemy</t>
  </si>
  <si>
    <t>BLM</t>
  </si>
  <si>
    <t>Saint Christopher &amp; Nevis</t>
  </si>
  <si>
    <t>KNA</t>
  </si>
  <si>
    <t>Saint Helena</t>
  </si>
  <si>
    <t>SHN</t>
  </si>
  <si>
    <t>Saint Lucia</t>
  </si>
  <si>
    <t>LCA</t>
  </si>
  <si>
    <t>Saint Martin</t>
  </si>
  <si>
    <t>MAF</t>
  </si>
  <si>
    <t>Saint Pierre &amp; Miquelon</t>
  </si>
  <si>
    <t>SPM</t>
  </si>
  <si>
    <t>Saint Vincent &amp; The Grenadines</t>
  </si>
  <si>
    <t>VCT</t>
  </si>
  <si>
    <t>Samoa</t>
  </si>
  <si>
    <t>WSM</t>
  </si>
  <si>
    <t>San Marino</t>
  </si>
  <si>
    <t>SMR</t>
  </si>
  <si>
    <t>Sao Tome &amp; Principe</t>
  </si>
  <si>
    <t>STP</t>
  </si>
  <si>
    <t>Saudi Arabia</t>
  </si>
  <si>
    <t>SAU</t>
  </si>
  <si>
    <t>Senegal</t>
  </si>
  <si>
    <t>SEN</t>
  </si>
  <si>
    <t>Serbia</t>
  </si>
  <si>
    <t>SRB</t>
  </si>
  <si>
    <t>Seychelles</t>
  </si>
  <si>
    <t>SYC</t>
  </si>
  <si>
    <t>Sierra Leone</t>
  </si>
  <si>
    <t>SLE</t>
  </si>
  <si>
    <t>Singapore</t>
  </si>
  <si>
    <t>SGP</t>
  </si>
  <si>
    <t>Sint Eustatius</t>
  </si>
  <si>
    <t>Sint Maarten</t>
  </si>
  <si>
    <t>SXM</t>
  </si>
  <si>
    <t>Slovakia</t>
  </si>
  <si>
    <t>SVK</t>
  </si>
  <si>
    <t>Slovenia</t>
  </si>
  <si>
    <t>SVN</t>
  </si>
  <si>
    <t>Solomon Islands</t>
  </si>
  <si>
    <t>SLB</t>
  </si>
  <si>
    <t>Somalia</t>
  </si>
  <si>
    <t>SOM</t>
  </si>
  <si>
    <t>Somaliland</t>
  </si>
  <si>
    <t>South Africa</t>
  </si>
  <si>
    <t>ZAF</t>
  </si>
  <si>
    <t>South Georgia &amp; The South Sandwish Islands</t>
  </si>
  <si>
    <t>SGS</t>
  </si>
  <si>
    <t>South Korea</t>
  </si>
  <si>
    <t>KOR</t>
  </si>
  <si>
    <t>South Sudan</t>
  </si>
  <si>
    <t>SSD</t>
  </si>
  <si>
    <t>Spain</t>
  </si>
  <si>
    <t>ESP</t>
  </si>
  <si>
    <t>Sri Lanka</t>
  </si>
  <si>
    <t>LKA</t>
  </si>
  <si>
    <t>Sudan</t>
  </si>
  <si>
    <t>SDN</t>
  </si>
  <si>
    <t>Suriname</t>
  </si>
  <si>
    <t>SUR</t>
  </si>
  <si>
    <t>Swaziland</t>
  </si>
  <si>
    <t>SWZ</t>
  </si>
  <si>
    <t>Sweden</t>
  </si>
  <si>
    <t>SWE</t>
  </si>
  <si>
    <t>Switzerland</t>
  </si>
  <si>
    <t>CHE</t>
  </si>
  <si>
    <t>Syria</t>
  </si>
  <si>
    <t>SYR</t>
  </si>
  <si>
    <t>Taiwan</t>
  </si>
  <si>
    <t>TWN</t>
  </si>
  <si>
    <t>Tajikistan</t>
  </si>
  <si>
    <t>TJK</t>
  </si>
  <si>
    <t>Tanzania</t>
  </si>
  <si>
    <t>TZA</t>
  </si>
  <si>
    <t>Thailand</t>
  </si>
  <si>
    <t>THA</t>
  </si>
  <si>
    <t>Togo</t>
  </si>
  <si>
    <t>TGO</t>
  </si>
  <si>
    <t>Tokelau</t>
  </si>
  <si>
    <t>TKL</t>
  </si>
  <si>
    <t>Tonga</t>
  </si>
  <si>
    <t>TON</t>
  </si>
  <si>
    <t>Trinidad &amp; Tobago</t>
  </si>
  <si>
    <t>TTO</t>
  </si>
  <si>
    <t>Tunisia</t>
  </si>
  <si>
    <t>TUN</t>
  </si>
  <si>
    <t>Turkey</t>
  </si>
  <si>
    <t>TUR</t>
  </si>
  <si>
    <t>Turkmenistan</t>
  </si>
  <si>
    <t>TKM</t>
  </si>
  <si>
    <t>Turks &amp; Caicos Islands</t>
  </si>
  <si>
    <t>TCA</t>
  </si>
  <si>
    <t>Tuvalu</t>
  </si>
  <si>
    <t>TUV</t>
  </si>
  <si>
    <t>Uganda</t>
  </si>
  <si>
    <t>UGA</t>
  </si>
  <si>
    <t>Ukraine</t>
  </si>
  <si>
    <t>UKR</t>
  </si>
  <si>
    <t>United Arab Emirates</t>
  </si>
  <si>
    <t>ARE</t>
  </si>
  <si>
    <t>United Kingdom</t>
  </si>
  <si>
    <t>GBR</t>
  </si>
  <si>
    <t>United States</t>
  </si>
  <si>
    <t>USA</t>
  </si>
  <si>
    <t>United States Virgin Islands</t>
  </si>
  <si>
    <t>VIR</t>
  </si>
  <si>
    <t>Uruguay</t>
  </si>
  <si>
    <t>URY</t>
  </si>
  <si>
    <t>Uzbekistan</t>
  </si>
  <si>
    <t>UZB</t>
  </si>
  <si>
    <t>Vanuatu</t>
  </si>
  <si>
    <t>VUT</t>
  </si>
  <si>
    <t>Venezuela</t>
  </si>
  <si>
    <t>VEN</t>
  </si>
  <si>
    <t>Vietnam</t>
  </si>
  <si>
    <t>VNM</t>
  </si>
  <si>
    <t>Wallis &amp; Futuna</t>
  </si>
  <si>
    <t>WLF</t>
  </si>
  <si>
    <t>Western Sahara</t>
  </si>
  <si>
    <t>ESH</t>
  </si>
  <si>
    <t>Yemen</t>
  </si>
  <si>
    <t>YEM</t>
  </si>
  <si>
    <t>Zambia</t>
  </si>
  <si>
    <t>ZMB</t>
  </si>
  <si>
    <t>Zimbabwe</t>
  </si>
  <si>
    <t>ZWE</t>
  </si>
  <si>
    <t>countriy-iso3</t>
  </si>
  <si>
    <t>resources</t>
  </si>
  <si>
    <t>coal</t>
  </si>
  <si>
    <t>resource</t>
  </si>
  <si>
    <t>bauxite</t>
  </si>
  <si>
    <t>license type</t>
  </si>
  <si>
    <t>Exploration Permit/License</t>
  </si>
  <si>
    <t>Concession</t>
  </si>
  <si>
    <t>Service Contract</t>
  </si>
  <si>
    <t>Other</t>
  </si>
  <si>
    <t>Lease</t>
  </si>
  <si>
    <t>Production Sharing Agreement</t>
  </si>
  <si>
    <t>PROPOSED ADDITIONAL FIELDS (AUTOPOPULATED)</t>
  </si>
  <si>
    <t>crude oil</t>
  </si>
  <si>
    <t>gas</t>
  </si>
  <si>
    <t>timber</t>
  </si>
  <si>
    <t>food crops</t>
  </si>
  <si>
    <t>palm oil</t>
  </si>
  <si>
    <t>Parent companies or affilates</t>
  </si>
  <si>
    <t>location</t>
  </si>
  <si>
    <t>Year of ratifciation</t>
  </si>
  <si>
    <t>language</t>
  </si>
  <si>
    <t>huile brute</t>
  </si>
  <si>
    <t>charbon</t>
  </si>
  <si>
    <t>gaz</t>
  </si>
  <si>
    <t>bois</t>
  </si>
  <si>
    <t>les cultures vivrières</t>
  </si>
  <si>
    <t>huile de palme</t>
  </si>
  <si>
    <t>Permis d'exploration</t>
  </si>
  <si>
    <t>Accord de partage</t>
  </si>
  <si>
    <t>Contrat de service</t>
  </si>
  <si>
    <t>Bail</t>
  </si>
  <si>
    <t>Autre</t>
  </si>
  <si>
    <t>french</t>
  </si>
  <si>
    <t>ENG</t>
  </si>
  <si>
    <t>FRE</t>
  </si>
  <si>
    <t>english</t>
  </si>
  <si>
    <t xml:space="preserve">TEMPLATE OIL/GAS/MINING/LAND -   </t>
  </si>
  <si>
    <t>Convention</t>
  </si>
  <si>
    <t>Exploitation Permit/License</t>
  </si>
  <si>
    <t>Investment Agreement</t>
  </si>
  <si>
    <t>Investment Incentive Contract</t>
  </si>
  <si>
    <t>Joint Venture Contract</t>
  </si>
  <si>
    <t>Operating Agreement between Private Companies</t>
  </si>
  <si>
    <t>Profit Sharing Contract</t>
  </si>
  <si>
    <t>Base metals</t>
  </si>
  <si>
    <t>Bauxite</t>
  </si>
  <si>
    <t>Coal</t>
  </si>
  <si>
    <t>Cobalt</t>
  </si>
  <si>
    <t>Copper</t>
  </si>
  <si>
    <t>Crude oil</t>
  </si>
  <si>
    <t>Diamonds</t>
  </si>
  <si>
    <t>Gas</t>
  </si>
  <si>
    <t>Gold</t>
  </si>
  <si>
    <t>Iron ore</t>
  </si>
  <si>
    <t>Lapis lazuli</t>
  </si>
  <si>
    <t>Lead</t>
  </si>
  <si>
    <t>Lithium</t>
  </si>
  <si>
    <t>Manganese</t>
  </si>
  <si>
    <t>Nickel</t>
  </si>
  <si>
    <t>Phosphate rock</t>
  </si>
  <si>
    <t>Platinum Group Metals</t>
  </si>
  <si>
    <t>Precious stones</t>
  </si>
  <si>
    <t>Quartz</t>
  </si>
  <si>
    <t>Semi-precious stones</t>
  </si>
  <si>
    <t>Silver</t>
  </si>
  <si>
    <t>Titanium</t>
  </si>
  <si>
    <t>Uranium</t>
  </si>
  <si>
    <t>Zinc</t>
  </si>
  <si>
    <t>Citrus</t>
  </si>
  <si>
    <t>Food crops</t>
  </si>
  <si>
    <t>Hydrocarbons</t>
  </si>
  <si>
    <t>Palm oil</t>
  </si>
  <si>
    <t>Rubber</t>
  </si>
  <si>
    <t>Soy</t>
  </si>
  <si>
    <t>Sugar</t>
  </si>
  <si>
    <t>Timber</t>
  </si>
  <si>
    <t>Charbon</t>
  </si>
  <si>
    <t>Huile brute</t>
  </si>
  <si>
    <t>Gaz</t>
  </si>
  <si>
    <t>Bois d'œuvre</t>
  </si>
  <si>
    <t>Sucre</t>
  </si>
  <si>
    <t>Or</t>
  </si>
  <si>
    <t>Huile de palme</t>
  </si>
  <si>
    <t>Les cultures vivrières</t>
  </si>
  <si>
    <t>Permis d'exploitation</t>
  </si>
  <si>
    <t>Industrie de Transformation de Bois</t>
  </si>
  <si>
    <t>N° 5501, Avenue de l'Ouest, Quartier Kingabwa, Commune de Limete, Ville-Province de Kinshasa, en République Démocratique du Congo</t>
  </si>
  <si>
    <t>Préambule</t>
  </si>
  <si>
    <t>1 (middle)</t>
  </si>
  <si>
    <t>1 (top)</t>
  </si>
  <si>
    <t>Art. 2</t>
  </si>
  <si>
    <t>2 (top)</t>
  </si>
  <si>
    <t>Fouad Sarrouf, Gérant Statutaire</t>
  </si>
  <si>
    <t>Page de signatures</t>
  </si>
  <si>
    <t>13 (bottom)</t>
  </si>
  <si>
    <t>Le Ministre de l'Environnement, Conservation de la Nature et Tourisme</t>
  </si>
  <si>
    <t>José E.B. Endundo, Ministre de l'Environnement, Conservation de la Nature et Tourisme</t>
  </si>
  <si>
    <t>25 ans renouvelables. Le contrat prend fin le 11/08/2036.</t>
  </si>
  <si>
    <t>Arts. 3, 27</t>
  </si>
  <si>
    <t>2 (bottom), 12 (bottom)</t>
  </si>
  <si>
    <t>Arts. 8, 27</t>
  </si>
  <si>
    <t>4 (top), 12 (middle)</t>
  </si>
  <si>
    <t>Art. 5</t>
  </si>
  <si>
    <t>3 (middle)</t>
  </si>
  <si>
    <t>Arts. 9(4), 17</t>
  </si>
  <si>
    <t>Industrie de Transformation de Bois est tenu de respecter les droits d'usage traditionnels des communautés locales et/ou peuples autochtones riverains de la concession tels que définis aux articles 36, 37 et 44 du code forestier. Il lui est interdit de créer toute entrave à l'exercice par les communautés locales et/ou peuples autochtones riverains des droits d'usage forestiers ainsi reconnus.</t>
  </si>
  <si>
    <t>Art. 6</t>
  </si>
  <si>
    <t>Art. 19</t>
  </si>
  <si>
    <t>9 (bottom)</t>
  </si>
  <si>
    <t>Art. 10</t>
  </si>
  <si>
    <t>5 (bottom), 6 (top)</t>
  </si>
  <si>
    <t>Industrie de Transformation de Bois doit mettre en œuvre les mesures environnementales et de protection de la biodiversité inscrites au présent contrat, y compris les mesures convenues dans le plan de relance dans le cas d'une conversion ou dans la proposition technique dans le cas de l'adjudication selon les termes du cahier des charges. Industrie de Transformation de Bois est tenu de respecter la législation en vigueur en matière de protection de l'environnement et de conservation de la diversité biologique. Industrie de Transformation de Bois contribue, en particulier, sur toute l'étendue de sa concession, à la lutte contre les feux de brousse, le braconnage et l'exploitation illégale du bois. Industrie de Transformation de Bois définit et met en œuvre des mesurés appropriées de contrôle pour minimiser, réduire ou compenser tant à l'intérieur de la concession que dans ses environs immédiats, tout impact négatif sur l'environnement, des travaux de réalisation d'infrastructures. Industrie de Transformation de Bois est tenu de respecter la mise en réserve de certaines essences et toutes restrictions édictées par l'administration chargée des forêts dans le but de protéger la diversité biologique. Dès qu'il y a un risque d'altération importante de la couverture végétale ou d'altération du sol, le plan d'aménagement indique toutes essences confondues, un nombre maximum de pieds exploitables par assiette annuelle de coupe.</t>
  </si>
  <si>
    <t>Arts. 9(3), 11, 11(6), 12, 14</t>
  </si>
  <si>
    <t>Industrie de Transformation de Bois bénéficie d'une servitude de passage sur les fonds riverains, destinée à favoriser l'accès à sa concession et l'évacuation de sa production. Il exerce cette servitude uniquement dans les limites de ce qui est strictement nécessaire à son droit de passage.</t>
  </si>
  <si>
    <t>Art. 7</t>
  </si>
  <si>
    <t>3 (bottom)</t>
  </si>
  <si>
    <t>En cas de différend sur le tracé des voies d'accès ou d'évacuation à la concession, Industrie de Transformation de Bois fera appel aux mécanismes de règlement des différends définis aux articles 103 et 104 du code forestier. En cas de résiliation du contrat ou de déchéance, Industrie de Transformation de Bois dispose des recours légaux devant les juridictions compétentes. Tout différend relatif à l'interprétation ou l'exécution du présent contrat de concession et du cahier des charges sera réglé à l'amiable. En cas d'échec, le litige sera soumis aux juridictions compétentes à moins que les parties conviennent de recourir à l'arbitrage prévu par les articles 159 à 174 du code de procédure civile.</t>
  </si>
  <si>
    <t>Arts. 7, 26, 30</t>
  </si>
  <si>
    <t xml:space="preserve">Industrie de Transformation de Bois a la faculté de renoncer au bénéfice de la concession avant l'expiration du contrat de concession forestière. En cas de non respect par Industrie de Transformation de Bois de l'une des quelconques clauses du présent contrat et/ou du cahier des charges et après une mise en demeure assortie d'un délai ne dépassant pas 3 mois, le Gouvernement prescrit toutes mesures conservatoires destinées à assurer le respect des dispositions du présent contrat et du cahier des charges. Le contrat est résilié dans certains cas, y compris: (1) la commission de tout acte ou tentative d'acte de corruption, de dol ou de violence; ou (2) la violation répétée, après expiration des délais légaux mise en demeure, d'obligations sociales et environnementales découlant du présent contrat et du cahier des charges. L'état de cessation de paiement d'Industrie de Transformation de Bois constitue une cause de déchéance et entraîne la résiliation du présent contrat. Le Gouvernement constate la déchéance et procède à la résiliation du contrat par voie d'arrêté. </t>
  </si>
  <si>
    <t>Arts. 22, 23, 25</t>
  </si>
  <si>
    <t>10 (bottom), 11 (top), 12 (top)</t>
  </si>
  <si>
    <t>Si le Gouvernement constate la déchéance et procède à la résiliation du contrat par voie d'arrêté, l'arrêté est publié au journal officiel et une copie est transmise aux cadastres forestiers national et provincial concerne. Le présent contrat ainsi que le cahier des charges sont publiés au journal officiel, déposés au cadastre forestier national, notifiés aux autorités provinciales et locales du ressort, et rendus publics par tout moyen approprié dans les localités riveraines de la concession.</t>
  </si>
  <si>
    <t>Arts. 25, 31</t>
  </si>
  <si>
    <t>12 (top), 13 (middle)</t>
  </si>
  <si>
    <t>1 (bottom), 2 (bottom)</t>
  </si>
  <si>
    <t>Secteur: Ekonda, territoire: Bikoro et Ingende, district: Equateur, province: Equateur.  La délimitation physique se décrit dans l'article 2(II).</t>
  </si>
  <si>
    <t>Le cahier des charges, la carte de la concession forestière</t>
  </si>
  <si>
    <t>256.545 hectares</t>
  </si>
  <si>
    <t>4 (bottom), 5 (middle), 9 (middle)</t>
  </si>
  <si>
    <t>5 (top), 7 (top), 7 (middle), 7 (bottom), 8 (bottom)</t>
  </si>
  <si>
    <t>5 (bottom)</t>
  </si>
  <si>
    <t xml:space="preserve">Industrie de Transformation de Bois s'engage à préparer et à soumettre pour approbation à l'administration chargée des forêts, dans une période maximum de 4 ans, le plan d'aménagement. Le plan de gestion constitue l'ensemble des engagements d'Industrie de Transformation de Bois avant l'approbation du plan d'aménagement. Dans l'intervalle qui sépare la signature du contrat de l'approbation du plan, Industrie de Transformation de Bois exploite la forêt concédée en conformité avec un plan de gestion. </t>
  </si>
  <si>
    <t>4 (top), 12 (middle), 13 (top)</t>
  </si>
  <si>
    <t>3 (bottom), 6 (middle), 6 (bottom), 9 (middle), 14 (middle)</t>
  </si>
  <si>
    <t>5 (middle), 15 (top)</t>
  </si>
  <si>
    <t>Contrat de concession forrestière</t>
  </si>
  <si>
    <r>
      <rPr>
        <sz val="12"/>
        <color theme="0" tint="-0.34998626667073579"/>
        <rFont val="Calibri"/>
        <scheme val="minor"/>
      </rPr>
      <t>A l'expiration du contrat de concession, ou un an avant la date d'expiration, Industrie de Transformation de Bois peut demander le renouvellement du contrat dans les conditions déterminées par les règlements en vigueur et à condition que les obligations découlant du contrat et du cahier des charges aient été exécutées.</t>
    </r>
    <r>
      <rPr>
        <sz val="12"/>
        <color rgb="FFFF0000"/>
        <rFont val="Calibri"/>
        <family val="2"/>
        <charset val="134"/>
        <scheme val="minor"/>
      </rPr>
      <t xml:space="preserve"> </t>
    </r>
    <r>
      <rPr>
        <sz val="12"/>
        <color theme="0" tint="-0.34998626667073579"/>
        <rFont val="Calibri"/>
        <scheme val="minor"/>
      </rPr>
      <t>En demandant un renouvellement, Industrie de Transformation de Bois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t>
    </r>
  </si>
  <si>
    <t>Aucun - Industrie de Transformation de Bois est tenu au paiement régulier et dans les délais légaux des taxes et redevances forestières en vigueur et ne peut bénéficier d'aucune exonération</t>
  </si>
  <si>
    <t>Art. 29</t>
  </si>
  <si>
    <t>12 (bottom)</t>
  </si>
  <si>
    <t>DRC, Industrie de Transformation des Bois, Contrat de concession forestière N. 013, 12 août 2011</t>
  </si>
  <si>
    <t>Congo, the Democratic Republic of the</t>
  </si>
  <si>
    <t>Le tracé de toute route ou de toute voie d'accès ou d'évacuation à partir du territoire de la concession doit être soumis à une consultation avec les communautés locales et/ou peuples autochtones riverains durant la préparation du plan d'aménagement. La préparation du plan de gestion et du plan d'aménagement de la concession donne lieu à une diffusion de toute documentation appropriée auprès des communautés locales et/ou des peuples autochtones riverains et à une consultation régulière avec eux sur les questions intéressant la concession et leurs droits. L'administration peut assister aux séances de consultations. Le plan de gestion indique le calendrier et les modalités de consultation avec les communautés locales et/ou peuples autochtones sur le contenu et les modalités de réalisation du plan socio-économique y compris les infrastructures en leur faveur pour la durée de la concession. Pendant la période de préparation du plan d'aménagement, Industrie de Transformation de Bois doit consulter les communautés locales et/ou peuples autochtones riverains sur le plan socio-économique et les infrastructures qui feront l'objet du cahier des charges définitif qui sera annexé au plan d'aménagement.</t>
  </si>
  <si>
    <t>Arts. 7, 10, 10(3), 17</t>
  </si>
  <si>
    <t>Industrie de Transformation de Bois doit payer la redevance de superficie forestière et toutes autres taxes et redevances en vigueur liées a l'exploitation de la concession, dans les délais prescrits par la réglementation fiscale.</t>
  </si>
  <si>
    <t>Arts. 9(6), 19bis</t>
  </si>
  <si>
    <t>Industrie de Transformation de Bois doit réaliser les infrastructures socio-économiques et des services sociaux au profit des communautés locales et/ou peuples autochtones riverains contenues: (1) dans le plan de relance dans le cadre d'une conversion; ou (2) dans la proposition technique dans les cas d'une adjudication et définies dans le cahier des charges. Industrie de Transformation de Bois s'engage à mettre en œuvre un plan socio-économique, y compris les infrastructures socio-économiques et services sociaux, pour la période du plan d'aménagement.</t>
  </si>
  <si>
    <t>A la fin de la concession, un bilan de clôture des comptes est dressé par Industrie de Transformation de Bois dans un délai maximum de 6 mois à compter de la date d'expiration du présent contrat de concession</t>
  </si>
  <si>
    <t xml:space="preserve">Industrie de Transformation de Bois s'engage à préparer et à soumettre pour approbation à l'administration chargée des forêts, dans une période maximum de 4 ans, le plan d'aménagement conformément à la législation et à la réglementation en vigueur. Ce plan doit comprendre l'ensemble des obligations d'Industrie de Transformation de Bois en vue de s'assurer une gestion durable de la forêt concédée. Dans l'intervalle qui sépare la signature du présent contrat et l'approbation du plan, Industrie de Transformation de Bois ne peut exploiter la forêt concédée qu’en conformité avec un plan de gestion. Le plan de gestion doit être approuvé en même temps que le contrat de concession et constitue l'ensemble des engagements de Industrie de Transformation de Bois avant l'approbation du plan d'aménagement En particulier, le plan de gestion indique la description des activités de protection de l'environnement et de la conservation de la biodiversité et notamment les mesures de réduction, d'atténuation et de compensation de tout impact négatif des activités du concessionnaire sur l'environnement. </t>
  </si>
  <si>
    <t>Industrie de Transformation de Bois doit réaliser les investissements, y compris l'acquisition des équipements prévus, la remise en état ou la modernisation de l'outil de transformation, ainsi que le recrutement du personnel nécessaire et autres activités prévues dans la proposition du plan de relance, dans le cas d' une concession ou dans la proposition technique dans le cas d'une adjudication, et écrits dans le cahier des charges</t>
  </si>
  <si>
    <t>Art. 9(5)</t>
  </si>
  <si>
    <t>6 (middle)</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</si>
</sst>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2"/>
      <color theme="1"/>
      <name val="Calibri"/>
      <family val="2"/>
      <scheme val="minor"/>
    </font>
    <font>
      <sz val="12"/>
      <color theme="1"/>
      <name val="Calibri"/>
      <family val="2"/>
      <scheme val="minor"/>
    </font>
    <font>
      <b/>
      <sz val="11"/>
      <color theme="1"/>
      <name val="Calibri"/>
      <family val="2"/>
      <scheme val="minor"/>
    </font>
    <font>
      <sz val="12"/>
      <color rgb="FF000000"/>
      <name val="Calibri"/>
      <family val="2"/>
      <scheme val="minor"/>
    </font>
    <font>
      <sz val="12"/>
      <color theme="0" tint="-0.34998626667073579"/>
      <name val="Calibri"/>
      <scheme val="minor"/>
    </font>
    <font>
      <sz val="12"/>
      <name val="Calibri"/>
    </font>
    <font>
      <sz val="12"/>
      <name val="Calibri"/>
      <family val="2"/>
      <scheme val="minor"/>
    </font>
    <font>
      <u/>
      <sz val="12"/>
      <color theme="10"/>
      <name val="Calibri"/>
      <family val="2"/>
      <scheme val="minor"/>
    </font>
    <font>
      <u/>
      <sz val="12"/>
      <color theme="11"/>
      <name val="Calibri"/>
      <family val="2"/>
      <scheme val="minor"/>
    </font>
    <font>
      <sz val="12"/>
      <color theme="0" tint="-0.249977111117893"/>
      <name val="Calibri"/>
      <scheme val="minor"/>
    </font>
    <font>
      <b/>
      <sz val="18"/>
      <color theme="1"/>
      <name val="Calibri"/>
      <scheme val="minor"/>
    </font>
    <font>
      <b/>
      <sz val="22"/>
      <color theme="1"/>
      <name val="Calibri"/>
      <scheme val="minor"/>
    </font>
    <font>
      <sz val="20"/>
      <color theme="1"/>
      <name val="Calibri"/>
      <scheme val="minor"/>
    </font>
    <font>
      <b/>
      <sz val="12"/>
      <color rgb="FFFF0000"/>
      <name val="Calibri"/>
      <scheme val="minor"/>
    </font>
    <font>
      <sz val="12"/>
      <color theme="0" tint="-0.34998626667073579"/>
      <name val="Calibri"/>
      <family val="2"/>
      <scheme val="minor"/>
    </font>
    <font>
      <sz val="8"/>
      <name val="Calibri"/>
      <family val="2"/>
      <scheme val="minor"/>
    </font>
    <font>
      <sz val="12"/>
      <color rgb="FFFF0000"/>
      <name val="Calibri"/>
      <family val="2"/>
      <charset val="134"/>
      <scheme val="minor"/>
    </font>
    <font>
      <sz val="12"/>
      <name val="Calibri (Body)"/>
    </font>
    <font>
      <b/>
      <sz val="11"/>
      <name val="Calibri (Body)"/>
    </font>
    <font>
      <sz val="12"/>
      <color rgb="FFFF0000"/>
      <name val="Calibri"/>
      <scheme val="minor"/>
    </font>
    <font>
      <sz val="12"/>
      <name val="Calibri"/>
      <family val="2"/>
      <charset val="134"/>
      <scheme val="minor"/>
    </font>
  </fonts>
  <fills count="1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rgb="FFFFC200"/>
        <bgColor indexed="64"/>
      </patternFill>
    </fill>
    <fill>
      <patternFill patternType="solid">
        <fgColor rgb="FFFFC200"/>
        <bgColor rgb="FF000000"/>
      </patternFill>
    </fill>
    <fill>
      <patternFill patternType="solid">
        <fgColor rgb="FFFFC000"/>
        <bgColor indexed="64"/>
      </patternFill>
    </fill>
    <fill>
      <patternFill patternType="solid">
        <fgColor theme="6" tint="0.59999389629810485"/>
        <bgColor indexed="64"/>
      </patternFill>
    </fill>
    <fill>
      <patternFill patternType="solid">
        <fgColor rgb="FFEAB200"/>
        <bgColor indexed="64"/>
      </patternFill>
    </fill>
    <fill>
      <patternFill patternType="solid">
        <fgColor theme="0"/>
        <bgColor rgb="FF000000"/>
      </patternFill>
    </fill>
    <fill>
      <patternFill patternType="solid">
        <fgColor theme="7" tint="0.59999389629810485"/>
        <bgColor indexed="64"/>
      </patternFill>
    </fill>
    <fill>
      <patternFill patternType="solid">
        <fgColor rgb="FFFFB405"/>
        <bgColor rgb="FF000000"/>
      </patternFill>
    </fill>
    <fill>
      <patternFill patternType="solid">
        <fgColor rgb="FFFFB405"/>
        <bgColor indexed="64"/>
      </patternFill>
    </fill>
    <fill>
      <patternFill patternType="solid">
        <fgColor rgb="FFFEB434"/>
        <bgColor indexed="64"/>
      </patternFill>
    </fill>
    <fill>
      <patternFill patternType="solid">
        <fgColor rgb="FFFFFFFF"/>
        <bgColor rgb="FF000000"/>
      </patternFill>
    </fill>
  </fills>
  <borders count="13">
    <border>
      <left/>
      <right/>
      <top/>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auto="1"/>
      </bottom>
      <diagonal/>
    </border>
    <border>
      <left style="medium">
        <color auto="1"/>
      </left>
      <right/>
      <top style="thin">
        <color auto="1"/>
      </top>
      <bottom style="thin">
        <color auto="1"/>
      </bottom>
      <diagonal/>
    </border>
    <border>
      <left style="thin">
        <color rgb="FF000000"/>
      </left>
      <right style="thin">
        <color rgb="FF000000"/>
      </right>
      <top style="thin">
        <color rgb="FF000000"/>
      </top>
      <bottom style="thin">
        <color rgb="FF000000"/>
      </bottom>
      <diagonal/>
    </border>
  </borders>
  <cellStyleXfs count="175">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218">
    <xf numFmtId="0" fontId="0" fillId="0" borderId="0" xfId="0"/>
    <xf numFmtId="0" fontId="0" fillId="0" borderId="0" xfId="0" applyAlignment="1">
      <alignment wrapText="1"/>
    </xf>
    <xf numFmtId="49" fontId="1" fillId="0" borderId="0" xfId="0" applyNumberFormat="1" applyFont="1"/>
    <xf numFmtId="49" fontId="1" fillId="0" borderId="0" xfId="0" applyNumberFormat="1" applyFont="1" applyAlignment="1">
      <alignment wrapText="1"/>
    </xf>
    <xf numFmtId="0" fontId="0" fillId="2" borderId="3" xfId="0" applyFill="1" applyBorder="1"/>
    <xf numFmtId="49" fontId="1" fillId="0" borderId="4" xfId="0" applyNumberFormat="1" applyFont="1" applyBorder="1" applyAlignment="1">
      <alignment wrapText="1"/>
    </xf>
    <xf numFmtId="0" fontId="3" fillId="3" borderId="5" xfId="0" applyFont="1" applyFill="1" applyBorder="1" applyAlignment="1">
      <alignment horizontal="left" wrapText="1"/>
    </xf>
    <xf numFmtId="0" fontId="3" fillId="3" borderId="6" xfId="0" applyFont="1" applyFill="1" applyBorder="1" applyAlignment="1">
      <alignment horizontal="left" wrapText="1"/>
    </xf>
    <xf numFmtId="0" fontId="3" fillId="3" borderId="7" xfId="0" applyFont="1" applyFill="1" applyBorder="1" applyAlignment="1">
      <alignment horizontal="left" wrapText="1"/>
    </xf>
    <xf numFmtId="0" fontId="0" fillId="2" borderId="8" xfId="0" applyFill="1" applyBorder="1" applyAlignment="1"/>
    <xf numFmtId="0" fontId="4" fillId="2" borderId="9" xfId="0" applyFont="1" applyFill="1" applyBorder="1" applyAlignment="1">
      <alignment wrapText="1"/>
    </xf>
    <xf numFmtId="0" fontId="4" fillId="2" borderId="5" xfId="0" applyFont="1" applyFill="1" applyBorder="1"/>
    <xf numFmtId="0" fontId="4" fillId="2" borderId="7" xfId="0" applyFont="1" applyFill="1" applyBorder="1"/>
    <xf numFmtId="0" fontId="4" fillId="2" borderId="8" xfId="0" applyFont="1" applyFill="1" applyBorder="1" applyAlignment="1">
      <alignment wrapText="1"/>
    </xf>
    <xf numFmtId="0" fontId="1" fillId="2" borderId="0" xfId="0" applyFont="1" applyFill="1" applyAlignment="1">
      <alignment wrapText="1"/>
    </xf>
    <xf numFmtId="0" fontId="1" fillId="2" borderId="0" xfId="0" applyFont="1" applyFill="1"/>
    <xf numFmtId="0" fontId="1" fillId="2" borderId="3" xfId="0" applyFont="1" applyFill="1" applyBorder="1"/>
    <xf numFmtId="0" fontId="1" fillId="2" borderId="4" xfId="0" applyFont="1" applyFill="1" applyBorder="1" applyAlignment="1">
      <alignment wrapText="1"/>
    </xf>
    <xf numFmtId="0" fontId="1" fillId="3" borderId="6" xfId="0" applyFont="1" applyFill="1" applyBorder="1" applyAlignment="1">
      <alignment horizontal="left" wrapText="1"/>
    </xf>
    <xf numFmtId="0" fontId="1" fillId="3" borderId="7" xfId="0" applyFont="1" applyFill="1" applyBorder="1" applyAlignment="1">
      <alignment horizontal="left" wrapText="1"/>
    </xf>
    <xf numFmtId="0" fontId="1" fillId="3" borderId="10" xfId="0" applyFont="1" applyFill="1" applyBorder="1" applyAlignment="1">
      <alignment horizontal="left" wrapText="1"/>
    </xf>
    <xf numFmtId="0" fontId="1" fillId="3" borderId="5" xfId="0" applyFont="1" applyFill="1" applyBorder="1" applyAlignment="1">
      <alignment horizontal="left" wrapText="1"/>
    </xf>
    <xf numFmtId="0" fontId="4" fillId="2" borderId="5" xfId="0" applyFont="1" applyFill="1" applyBorder="1" applyAlignment="1">
      <alignment wrapText="1"/>
    </xf>
    <xf numFmtId="0" fontId="4" fillId="2" borderId="7" xfId="0" applyFont="1" applyFill="1" applyBorder="1" applyAlignment="1">
      <alignment wrapText="1"/>
    </xf>
    <xf numFmtId="0" fontId="1" fillId="2" borderId="9" xfId="0" applyFont="1" applyFill="1" applyBorder="1" applyAlignment="1"/>
    <xf numFmtId="0" fontId="1" fillId="2" borderId="8" xfId="0" applyFont="1" applyFill="1" applyBorder="1" applyAlignment="1"/>
    <xf numFmtId="0" fontId="1" fillId="3" borderId="9" xfId="0" applyFont="1" applyFill="1" applyBorder="1" applyAlignment="1">
      <alignment horizontal="left" wrapText="1"/>
    </xf>
    <xf numFmtId="0" fontId="4" fillId="2" borderId="9" xfId="0" applyFont="1" applyFill="1" applyBorder="1" applyAlignment="1">
      <alignment horizontal="left" wrapText="1"/>
    </xf>
    <xf numFmtId="0" fontId="4" fillId="2" borderId="9" xfId="0" applyFont="1" applyFill="1" applyBorder="1" applyAlignment="1">
      <alignment horizontal="left"/>
    </xf>
    <xf numFmtId="0" fontId="4" fillId="2" borderId="5" xfId="0" applyFont="1" applyFill="1" applyBorder="1" applyAlignment="1">
      <alignment horizontal="left"/>
    </xf>
    <xf numFmtId="0" fontId="4" fillId="2" borderId="7" xfId="0" applyFont="1" applyFill="1" applyBorder="1" applyAlignment="1">
      <alignment horizontal="left"/>
    </xf>
    <xf numFmtId="0" fontId="4" fillId="2" borderId="8" xfId="0" applyFont="1" applyFill="1" applyBorder="1" applyAlignment="1">
      <alignment horizontal="left" wrapText="1"/>
    </xf>
    <xf numFmtId="0" fontId="4" fillId="2" borderId="8" xfId="0" applyFont="1" applyFill="1" applyBorder="1"/>
    <xf numFmtId="0" fontId="4" fillId="2" borderId="0" xfId="0" applyFont="1" applyFill="1" applyAlignment="1">
      <alignment wrapText="1"/>
    </xf>
    <xf numFmtId="0" fontId="3" fillId="2" borderId="9" xfId="0" applyFont="1" applyFill="1" applyBorder="1" applyAlignment="1">
      <alignment wrapText="1"/>
    </xf>
    <xf numFmtId="0" fontId="1" fillId="2" borderId="8" xfId="0" applyFont="1" applyFill="1" applyBorder="1"/>
    <xf numFmtId="0" fontId="4" fillId="2" borderId="9" xfId="0" applyFont="1" applyFill="1" applyBorder="1" applyAlignment="1"/>
    <xf numFmtId="0" fontId="1" fillId="2" borderId="5" xfId="0" applyFont="1" applyFill="1" applyBorder="1" applyAlignment="1">
      <alignment horizontal="left" wrapText="1"/>
    </xf>
    <xf numFmtId="0" fontId="1" fillId="2" borderId="9" xfId="0" applyFont="1" applyFill="1" applyBorder="1" applyAlignment="1">
      <alignment wrapText="1"/>
    </xf>
    <xf numFmtId="0" fontId="4" fillId="2" borderId="0" xfId="0" applyFont="1" applyFill="1" applyAlignment="1"/>
    <xf numFmtId="0" fontId="3" fillId="2" borderId="5" xfId="0" applyFont="1" applyFill="1" applyBorder="1" applyAlignment="1">
      <alignment horizontal="left" wrapText="1"/>
    </xf>
    <xf numFmtId="0" fontId="4" fillId="2" borderId="0" xfId="0" applyFont="1" applyFill="1"/>
    <xf numFmtId="0" fontId="4" fillId="2" borderId="3" xfId="0" applyFont="1" applyFill="1" applyBorder="1"/>
    <xf numFmtId="0" fontId="4" fillId="2" borderId="4" xfId="0" applyFont="1" applyFill="1" applyBorder="1" applyAlignment="1">
      <alignment wrapText="1"/>
    </xf>
    <xf numFmtId="0" fontId="6" fillId="2" borderId="0" xfId="0" applyFont="1" applyFill="1" applyAlignment="1"/>
    <xf numFmtId="0" fontId="1" fillId="3" borderId="11" xfId="0" applyFont="1" applyFill="1" applyBorder="1" applyAlignment="1">
      <alignment horizontal="left" wrapText="1"/>
    </xf>
    <xf numFmtId="0" fontId="1" fillId="3" borderId="8" xfId="0" applyFont="1" applyFill="1" applyBorder="1" applyAlignment="1">
      <alignment horizontal="left" wrapText="1"/>
    </xf>
    <xf numFmtId="0" fontId="0" fillId="0" borderId="3" xfId="0" applyBorder="1"/>
    <xf numFmtId="0" fontId="0" fillId="0" borderId="4" xfId="0" applyBorder="1"/>
    <xf numFmtId="0" fontId="2" fillId="0" borderId="0" xfId="0" applyFont="1"/>
    <xf numFmtId="0" fontId="0" fillId="0" borderId="0" xfId="0" applyFont="1"/>
    <xf numFmtId="0" fontId="4" fillId="2" borderId="4" xfId="0" applyNumberFormat="1" applyFont="1" applyFill="1" applyBorder="1" applyAlignment="1">
      <alignment wrapText="1"/>
    </xf>
    <xf numFmtId="0" fontId="4" fillId="2" borderId="3" xfId="0" applyFont="1" applyFill="1" applyBorder="1" applyAlignment="1">
      <alignment horizontal="left"/>
    </xf>
    <xf numFmtId="0" fontId="4" fillId="2" borderId="4" xfId="0" applyNumberFormat="1" applyFont="1" applyFill="1" applyBorder="1" applyAlignment="1">
      <alignment horizontal="left" wrapText="1"/>
    </xf>
    <xf numFmtId="0" fontId="4" fillId="2" borderId="0" xfId="0" applyFont="1" applyFill="1" applyBorder="1" applyAlignment="1">
      <alignment horizontal="left"/>
    </xf>
    <xf numFmtId="0" fontId="4" fillId="2" borderId="5" xfId="0" applyFont="1" applyFill="1" applyBorder="1" applyAlignment="1">
      <alignment horizontal="left" wrapText="1"/>
    </xf>
    <xf numFmtId="0" fontId="9" fillId="0" borderId="5" xfId="0" applyFont="1" applyFill="1" applyBorder="1" applyAlignment="1">
      <alignment wrapText="1"/>
    </xf>
    <xf numFmtId="0" fontId="9" fillId="0" borderId="3" xfId="0" applyFont="1" applyFill="1" applyBorder="1" applyAlignment="1">
      <alignment wrapText="1"/>
    </xf>
    <xf numFmtId="0" fontId="9" fillId="0" borderId="4" xfId="0" applyNumberFormat="1" applyFont="1" applyFill="1" applyBorder="1" applyAlignment="1">
      <alignment wrapText="1"/>
    </xf>
    <xf numFmtId="0" fontId="4" fillId="0" borderId="9" xfId="0" applyFont="1" applyFill="1" applyBorder="1" applyAlignment="1">
      <alignment wrapText="1"/>
    </xf>
    <xf numFmtId="0" fontId="0" fillId="3" borderId="5" xfId="0" applyFont="1" applyFill="1" applyBorder="1" applyAlignment="1">
      <alignment horizontal="left" wrapText="1"/>
    </xf>
    <xf numFmtId="0" fontId="0" fillId="3" borderId="6" xfId="0" applyFont="1" applyFill="1" applyBorder="1" applyAlignment="1">
      <alignment horizontal="left" wrapText="1"/>
    </xf>
    <xf numFmtId="0" fontId="4" fillId="2" borderId="6" xfId="0" applyFont="1" applyFill="1" applyBorder="1" applyAlignment="1">
      <alignment horizontal="left" wrapText="1"/>
    </xf>
    <xf numFmtId="0" fontId="4" fillId="2" borderId="3" xfId="0" applyFont="1" applyFill="1" applyBorder="1" applyAlignment="1">
      <alignment horizontal="left" wrapText="1"/>
    </xf>
    <xf numFmtId="0" fontId="1" fillId="4" borderId="9" xfId="0" applyFont="1" applyFill="1" applyBorder="1" applyAlignment="1">
      <alignment wrapText="1"/>
    </xf>
    <xf numFmtId="0" fontId="1" fillId="4" borderId="5" xfId="0" applyFont="1" applyFill="1" applyBorder="1"/>
    <xf numFmtId="0" fontId="1" fillId="4" borderId="7" xfId="0" applyFont="1" applyFill="1" applyBorder="1"/>
    <xf numFmtId="0" fontId="1" fillId="4" borderId="8" xfId="0" applyFont="1" applyFill="1" applyBorder="1" applyAlignment="1">
      <alignment wrapText="1"/>
    </xf>
    <xf numFmtId="0" fontId="0" fillId="4" borderId="9" xfId="0" applyFont="1" applyFill="1" applyBorder="1" applyAlignment="1">
      <alignment wrapText="1"/>
    </xf>
    <xf numFmtId="0" fontId="5" fillId="4" borderId="9" xfId="0" applyFont="1" applyFill="1" applyBorder="1" applyAlignment="1">
      <alignment wrapText="1"/>
    </xf>
    <xf numFmtId="0" fontId="1" fillId="4" borderId="5" xfId="0" applyFont="1" applyFill="1" applyBorder="1" applyAlignment="1">
      <alignment wrapText="1"/>
    </xf>
    <xf numFmtId="0" fontId="1" fillId="4" borderId="7" xfId="0" applyFont="1" applyFill="1" applyBorder="1" applyAlignment="1">
      <alignment wrapText="1"/>
    </xf>
    <xf numFmtId="0" fontId="1" fillId="4" borderId="9" xfId="0" applyFont="1" applyFill="1" applyBorder="1" applyAlignment="1"/>
    <xf numFmtId="0" fontId="6" fillId="4" borderId="9" xfId="0" applyFont="1" applyFill="1" applyBorder="1" applyAlignment="1">
      <alignment wrapText="1"/>
    </xf>
    <xf numFmtId="0" fontId="6" fillId="4" borderId="5" xfId="0" applyFont="1" applyFill="1" applyBorder="1" applyAlignment="1">
      <alignment wrapText="1"/>
    </xf>
    <xf numFmtId="0" fontId="6" fillId="4" borderId="7" xfId="0" applyFont="1" applyFill="1" applyBorder="1" applyAlignment="1">
      <alignment wrapText="1"/>
    </xf>
    <xf numFmtId="0" fontId="6" fillId="4" borderId="8" xfId="0" applyFont="1" applyFill="1" applyBorder="1" applyAlignment="1">
      <alignment wrapText="1"/>
    </xf>
    <xf numFmtId="0" fontId="6" fillId="4" borderId="3" xfId="0" applyFont="1" applyFill="1" applyBorder="1" applyAlignment="1">
      <alignment wrapText="1"/>
    </xf>
    <xf numFmtId="0" fontId="6" fillId="4" borderId="4" xfId="0" applyNumberFormat="1" applyFont="1" applyFill="1" applyBorder="1" applyAlignment="1">
      <alignment wrapText="1"/>
    </xf>
    <xf numFmtId="0" fontId="6" fillId="4" borderId="0" xfId="0" applyFont="1" applyFill="1" applyBorder="1" applyAlignment="1">
      <alignment wrapText="1"/>
    </xf>
    <xf numFmtId="0" fontId="3" fillId="5" borderId="9" xfId="0" applyFont="1" applyFill="1" applyBorder="1" applyAlignment="1">
      <alignment horizontal="left" wrapText="1"/>
    </xf>
    <xf numFmtId="0" fontId="3" fillId="4" borderId="9" xfId="0" applyFont="1" applyFill="1" applyBorder="1" applyAlignment="1">
      <alignment horizontal="left"/>
    </xf>
    <xf numFmtId="0" fontId="3" fillId="4" borderId="9" xfId="0" applyFont="1" applyFill="1" applyBorder="1" applyAlignment="1">
      <alignment horizontal="left" wrapText="1"/>
    </xf>
    <xf numFmtId="0" fontId="1" fillId="4" borderId="5" xfId="0" applyFont="1" applyFill="1" applyBorder="1" applyAlignment="1">
      <alignment horizontal="left"/>
    </xf>
    <xf numFmtId="0" fontId="1" fillId="4" borderId="7" xfId="0" applyFont="1" applyFill="1" applyBorder="1" applyAlignment="1">
      <alignment horizontal="left"/>
    </xf>
    <xf numFmtId="0" fontId="1" fillId="4" borderId="8" xfId="0" applyFont="1" applyFill="1" applyBorder="1" applyAlignment="1">
      <alignment horizontal="left" wrapText="1"/>
    </xf>
    <xf numFmtId="0" fontId="6" fillId="4" borderId="9" xfId="0" applyFont="1" applyFill="1" applyBorder="1" applyAlignment="1">
      <alignment horizontal="left" wrapText="1"/>
    </xf>
    <xf numFmtId="0" fontId="6" fillId="4" borderId="5" xfId="0" applyFont="1" applyFill="1" applyBorder="1" applyAlignment="1">
      <alignment horizontal="left"/>
    </xf>
    <xf numFmtId="0" fontId="6" fillId="4" borderId="7" xfId="0" applyFont="1" applyFill="1" applyBorder="1" applyAlignment="1">
      <alignment horizontal="left"/>
    </xf>
    <xf numFmtId="0" fontId="6" fillId="4" borderId="8" xfId="0" applyFont="1" applyFill="1" applyBorder="1" applyAlignment="1">
      <alignment horizontal="left" wrapText="1"/>
    </xf>
    <xf numFmtId="0" fontId="3" fillId="4" borderId="9" xfId="0" applyFont="1" applyFill="1" applyBorder="1" applyAlignment="1">
      <alignment wrapText="1"/>
    </xf>
    <xf numFmtId="0" fontId="6" fillId="4" borderId="0" xfId="0" applyFont="1" applyFill="1" applyBorder="1" applyAlignment="1">
      <alignment horizontal="left" wrapText="1"/>
    </xf>
    <xf numFmtId="0" fontId="6" fillId="4" borderId="5" xfId="0" applyFont="1" applyFill="1" applyBorder="1" applyAlignment="1">
      <alignment horizontal="left" wrapText="1"/>
    </xf>
    <xf numFmtId="0" fontId="6" fillId="4" borderId="0" xfId="0" applyFont="1" applyFill="1" applyBorder="1" applyAlignment="1">
      <alignment horizontal="left"/>
    </xf>
    <xf numFmtId="0" fontId="6" fillId="4" borderId="3" xfId="0" applyFont="1" applyFill="1" applyBorder="1" applyAlignment="1">
      <alignment horizontal="left"/>
    </xf>
    <xf numFmtId="0" fontId="6" fillId="4" borderId="4" xfId="0" applyNumberFormat="1" applyFont="1" applyFill="1" applyBorder="1" applyAlignment="1">
      <alignment horizontal="left" wrapText="1"/>
    </xf>
    <xf numFmtId="0" fontId="3" fillId="4" borderId="9" xfId="0" applyFont="1" applyFill="1" applyBorder="1" applyAlignment="1"/>
    <xf numFmtId="0" fontId="6" fillId="4" borderId="9" xfId="0" applyFont="1" applyFill="1" applyBorder="1" applyAlignment="1"/>
    <xf numFmtId="0" fontId="4" fillId="4" borderId="0" xfId="0" applyFont="1" applyFill="1"/>
    <xf numFmtId="0" fontId="4" fillId="4" borderId="3" xfId="0" applyFont="1" applyFill="1" applyBorder="1"/>
    <xf numFmtId="0" fontId="4" fillId="4" borderId="4" xfId="0" applyNumberFormat="1" applyFont="1" applyFill="1" applyBorder="1" applyAlignment="1">
      <alignment wrapText="1"/>
    </xf>
    <xf numFmtId="0" fontId="3" fillId="6" borderId="9" xfId="0" applyFont="1" applyFill="1" applyBorder="1" applyAlignment="1">
      <alignment horizontal="left" wrapText="1"/>
    </xf>
    <xf numFmtId="0" fontId="6" fillId="2" borderId="9" xfId="0" applyFont="1" applyFill="1" applyBorder="1" applyAlignment="1">
      <alignment wrapText="1"/>
    </xf>
    <xf numFmtId="0" fontId="6" fillId="7" borderId="9" xfId="0" applyFont="1" applyFill="1" applyBorder="1" applyAlignment="1">
      <alignment horizontal="left" wrapText="1"/>
    </xf>
    <xf numFmtId="0" fontId="6" fillId="7" borderId="5" xfId="0" applyFont="1" applyFill="1" applyBorder="1" applyAlignment="1">
      <alignment horizontal="left"/>
    </xf>
    <xf numFmtId="0" fontId="6" fillId="7" borderId="7" xfId="0" applyFont="1" applyFill="1" applyBorder="1" applyAlignment="1">
      <alignment horizontal="left"/>
    </xf>
    <xf numFmtId="0" fontId="6" fillId="7" borderId="8" xfId="0" applyFont="1" applyFill="1" applyBorder="1" applyAlignment="1">
      <alignment horizontal="left" wrapText="1"/>
    </xf>
    <xf numFmtId="0" fontId="4" fillId="2" borderId="3" xfId="0" applyFont="1" applyFill="1" applyBorder="1" applyAlignment="1">
      <alignment wrapText="1"/>
    </xf>
    <xf numFmtId="0" fontId="0" fillId="4" borderId="9" xfId="0" applyFill="1" applyBorder="1" applyAlignment="1">
      <alignment wrapText="1"/>
    </xf>
    <xf numFmtId="0" fontId="6" fillId="8" borderId="9" xfId="0" applyFont="1" applyFill="1" applyBorder="1" applyAlignment="1">
      <alignment wrapText="1"/>
    </xf>
    <xf numFmtId="0" fontId="6" fillId="8" borderId="0" xfId="0" applyFont="1" applyFill="1" applyAlignment="1"/>
    <xf numFmtId="0" fontId="6" fillId="8" borderId="0" xfId="0" applyFont="1" applyFill="1" applyAlignment="1">
      <alignment wrapText="1"/>
    </xf>
    <xf numFmtId="0" fontId="6" fillId="8" borderId="5" xfId="0" applyFont="1" applyFill="1" applyBorder="1"/>
    <xf numFmtId="0" fontId="6" fillId="8" borderId="7" xfId="0" applyFont="1" applyFill="1" applyBorder="1"/>
    <xf numFmtId="0" fontId="6" fillId="8" borderId="8" xfId="0" applyFont="1" applyFill="1" applyBorder="1" applyAlignment="1">
      <alignment wrapText="1"/>
    </xf>
    <xf numFmtId="0" fontId="14" fillId="2" borderId="0" xfId="0" applyFont="1" applyFill="1" applyBorder="1" applyAlignment="1">
      <alignment horizontal="left" wrapText="1"/>
    </xf>
    <xf numFmtId="0" fontId="14" fillId="2" borderId="0" xfId="0" applyFont="1" applyFill="1" applyBorder="1" applyAlignment="1">
      <alignment wrapText="1"/>
    </xf>
    <xf numFmtId="0" fontId="14" fillId="2" borderId="0" xfId="0" applyFont="1" applyFill="1" applyBorder="1" applyAlignment="1">
      <alignment horizontal="left"/>
    </xf>
    <xf numFmtId="0" fontId="14" fillId="2" borderId="3" xfId="0" applyFont="1" applyFill="1" applyBorder="1" applyAlignment="1">
      <alignment horizontal="left"/>
    </xf>
    <xf numFmtId="0" fontId="14" fillId="2" borderId="4" xfId="0" applyNumberFormat="1" applyFont="1" applyFill="1" applyBorder="1" applyAlignment="1">
      <alignment horizontal="left" wrapText="1"/>
    </xf>
    <xf numFmtId="0" fontId="14" fillId="9" borderId="9" xfId="0" applyFont="1" applyFill="1" applyBorder="1" applyAlignment="1">
      <alignment horizontal="left" wrapText="1"/>
    </xf>
    <xf numFmtId="0" fontId="14" fillId="2" borderId="9" xfId="0" applyFont="1" applyFill="1" applyBorder="1" applyAlignment="1">
      <alignment wrapText="1"/>
    </xf>
    <xf numFmtId="0" fontId="14" fillId="2" borderId="5" xfId="0" applyFont="1" applyFill="1" applyBorder="1" applyAlignment="1">
      <alignment wrapText="1"/>
    </xf>
    <xf numFmtId="0" fontId="14" fillId="2" borderId="3" xfId="0" applyFont="1" applyFill="1" applyBorder="1" applyAlignment="1">
      <alignment wrapText="1"/>
    </xf>
    <xf numFmtId="0" fontId="14" fillId="2" borderId="4" xfId="0" applyNumberFormat="1" applyFont="1" applyFill="1" applyBorder="1" applyAlignment="1">
      <alignment wrapText="1"/>
    </xf>
    <xf numFmtId="0" fontId="14" fillId="2" borderId="9" xfId="0" applyFont="1" applyFill="1" applyBorder="1" applyAlignment="1">
      <alignment horizontal="left" wrapText="1"/>
    </xf>
    <xf numFmtId="0" fontId="14" fillId="2" borderId="5" xfId="0" applyFont="1" applyFill="1" applyBorder="1" applyAlignment="1">
      <alignment horizontal="left"/>
    </xf>
    <xf numFmtId="0" fontId="14" fillId="2" borderId="7" xfId="0" applyFont="1" applyFill="1" applyBorder="1" applyAlignment="1">
      <alignment horizontal="left"/>
    </xf>
    <xf numFmtId="0" fontId="14" fillId="2" borderId="8" xfId="0" applyFont="1" applyFill="1" applyBorder="1" applyAlignment="1">
      <alignment horizontal="left" wrapText="1"/>
    </xf>
    <xf numFmtId="0" fontId="6" fillId="10" borderId="9" xfId="0" applyFont="1" applyFill="1" applyBorder="1" applyAlignment="1">
      <alignment wrapText="1"/>
    </xf>
    <xf numFmtId="0" fontId="6" fillId="10" borderId="5" xfId="0" applyFont="1" applyFill="1" applyBorder="1" applyAlignment="1">
      <alignment wrapText="1"/>
    </xf>
    <xf numFmtId="0" fontId="6" fillId="10" borderId="3" xfId="0" applyFont="1" applyFill="1" applyBorder="1" applyAlignment="1">
      <alignment wrapText="1"/>
    </xf>
    <xf numFmtId="0" fontId="6" fillId="10" borderId="4" xfId="0" applyNumberFormat="1" applyFont="1" applyFill="1" applyBorder="1" applyAlignment="1">
      <alignment wrapText="1"/>
    </xf>
    <xf numFmtId="0" fontId="6" fillId="10" borderId="0" xfId="0" applyFont="1" applyFill="1" applyBorder="1" applyAlignment="1">
      <alignment horizontal="left" wrapText="1"/>
    </xf>
    <xf numFmtId="0" fontId="6" fillId="10" borderId="5" xfId="0" applyFont="1" applyFill="1" applyBorder="1" applyAlignment="1">
      <alignment horizontal="left" wrapText="1"/>
    </xf>
    <xf numFmtId="0" fontId="6" fillId="10" borderId="0" xfId="0" applyFont="1" applyFill="1" applyBorder="1" applyAlignment="1">
      <alignment horizontal="left"/>
    </xf>
    <xf numFmtId="0" fontId="6" fillId="10" borderId="3" xfId="0" applyFont="1" applyFill="1" applyBorder="1" applyAlignment="1">
      <alignment horizontal="left"/>
    </xf>
    <xf numFmtId="0" fontId="6" fillId="10" borderId="4" xfId="0" applyNumberFormat="1" applyFont="1" applyFill="1" applyBorder="1" applyAlignment="1">
      <alignment horizontal="left" wrapText="1"/>
    </xf>
    <xf numFmtId="0" fontId="14" fillId="2" borderId="5" xfId="0" applyFont="1" applyFill="1" applyBorder="1"/>
    <xf numFmtId="0" fontId="14" fillId="2" borderId="7" xfId="0" applyFont="1" applyFill="1" applyBorder="1"/>
    <xf numFmtId="0" fontId="14" fillId="2" borderId="8" xfId="0" applyFont="1" applyFill="1" applyBorder="1" applyAlignment="1">
      <alignment wrapText="1"/>
    </xf>
    <xf numFmtId="0" fontId="6" fillId="11" borderId="9" xfId="0" applyFont="1" applyFill="1" applyBorder="1" applyAlignment="1">
      <alignment horizontal="left" wrapText="1"/>
    </xf>
    <xf numFmtId="0" fontId="6" fillId="12" borderId="0" xfId="0" applyFont="1" applyFill="1" applyBorder="1" applyAlignment="1">
      <alignment wrapText="1"/>
    </xf>
    <xf numFmtId="0" fontId="6" fillId="12" borderId="5" xfId="0" applyFont="1" applyFill="1" applyBorder="1" applyAlignment="1">
      <alignment wrapText="1"/>
    </xf>
    <xf numFmtId="0" fontId="6" fillId="12" borderId="3" xfId="0" applyFont="1" applyFill="1" applyBorder="1" applyAlignment="1">
      <alignment wrapText="1"/>
    </xf>
    <xf numFmtId="0" fontId="6" fillId="12" borderId="4" xfId="0" applyNumberFormat="1" applyFont="1" applyFill="1" applyBorder="1" applyAlignment="1">
      <alignment wrapText="1"/>
    </xf>
    <xf numFmtId="0" fontId="0" fillId="2" borderId="9" xfId="0" applyFont="1" applyFill="1" applyBorder="1" applyAlignment="1">
      <alignment horizontal="left" wrapText="1"/>
    </xf>
    <xf numFmtId="0" fontId="13" fillId="3" borderId="6" xfId="0" applyFont="1" applyFill="1" applyBorder="1" applyAlignment="1">
      <alignment horizontal="left" wrapText="1"/>
    </xf>
    <xf numFmtId="0" fontId="16" fillId="4" borderId="9" xfId="0" applyFont="1" applyFill="1" applyBorder="1" applyAlignment="1">
      <alignment wrapText="1"/>
    </xf>
    <xf numFmtId="0" fontId="13" fillId="12" borderId="9" xfId="0" applyFont="1" applyFill="1" applyBorder="1" applyAlignment="1">
      <alignment wrapText="1"/>
    </xf>
    <xf numFmtId="0" fontId="3" fillId="3" borderId="6" xfId="0" applyFont="1" applyFill="1" applyBorder="1" applyAlignment="1">
      <alignment horizontal="left" vertical="top" wrapText="1"/>
    </xf>
    <xf numFmtId="0" fontId="6" fillId="4" borderId="9" xfId="0" applyFont="1" applyFill="1" applyBorder="1" applyAlignment="1">
      <alignment vertical="top" wrapText="1"/>
    </xf>
    <xf numFmtId="0" fontId="4" fillId="2" borderId="0" xfId="0" applyFont="1" applyFill="1" applyBorder="1" applyAlignment="1">
      <alignment vertical="top" wrapText="1"/>
    </xf>
    <xf numFmtId="0" fontId="13" fillId="2" borderId="9" xfId="0" applyFont="1" applyFill="1" applyBorder="1" applyAlignment="1">
      <alignment vertical="top" wrapText="1"/>
    </xf>
    <xf numFmtId="0" fontId="4" fillId="2" borderId="0" xfId="0" applyFont="1" applyFill="1" applyBorder="1" applyAlignment="1">
      <alignment horizontal="left" wrapText="1"/>
    </xf>
    <xf numFmtId="0" fontId="13" fillId="13" borderId="0" xfId="0" applyFont="1" applyFill="1" applyAlignment="1">
      <alignment wrapText="1"/>
    </xf>
    <xf numFmtId="0" fontId="0" fillId="2" borderId="0" xfId="0" applyFont="1" applyFill="1" applyAlignment="1">
      <alignment wrapText="1"/>
    </xf>
    <xf numFmtId="0" fontId="6" fillId="4" borderId="9" xfId="0" applyFont="1" applyFill="1" applyBorder="1" applyAlignment="1">
      <alignment horizontal="left" vertical="top" wrapText="1"/>
    </xf>
    <xf numFmtId="0" fontId="6" fillId="5" borderId="12" xfId="0" applyFont="1" applyFill="1" applyBorder="1" applyAlignment="1">
      <alignment wrapText="1"/>
    </xf>
    <xf numFmtId="0" fontId="0" fillId="4" borderId="5" xfId="0" applyFont="1" applyFill="1" applyBorder="1"/>
    <xf numFmtId="0" fontId="1" fillId="4" borderId="4" xfId="0" applyNumberFormat="1" applyFont="1" applyFill="1" applyBorder="1" applyAlignment="1">
      <alignment wrapText="1"/>
    </xf>
    <xf numFmtId="0" fontId="0" fillId="3" borderId="0" xfId="0" applyFont="1" applyFill="1" applyAlignment="1">
      <alignment wrapText="1"/>
    </xf>
    <xf numFmtId="49" fontId="0" fillId="0" borderId="0" xfId="0" applyNumberFormat="1" applyFont="1"/>
    <xf numFmtId="0" fontId="3" fillId="0" borderId="0" xfId="0" applyFont="1" applyAlignment="1">
      <alignment wrapText="1"/>
    </xf>
    <xf numFmtId="0" fontId="5" fillId="0" borderId="0" xfId="0" applyFont="1" applyFill="1" applyBorder="1" applyAlignment="1">
      <alignment wrapText="1"/>
    </xf>
    <xf numFmtId="0" fontId="17" fillId="0" borderId="0" xfId="0" applyFont="1" applyFill="1" applyBorder="1" applyAlignment="1"/>
    <xf numFmtId="0" fontId="17" fillId="0" borderId="0" xfId="0" applyFont="1" applyFill="1" applyBorder="1" applyAlignment="1">
      <alignment wrapText="1"/>
    </xf>
    <xf numFmtId="0" fontId="18" fillId="0" borderId="0" xfId="0" applyFont="1"/>
    <xf numFmtId="0" fontId="17" fillId="0" borderId="0" xfId="0" applyFont="1"/>
    <xf numFmtId="0" fontId="17" fillId="0" borderId="0" xfId="0" applyFont="1" applyAlignment="1">
      <alignment wrapText="1"/>
    </xf>
    <xf numFmtId="0" fontId="3" fillId="0" borderId="0" xfId="0" applyFont="1"/>
    <xf numFmtId="14" fontId="6" fillId="4" borderId="9" xfId="0" applyNumberFormat="1" applyFont="1" applyFill="1" applyBorder="1" applyAlignment="1">
      <alignment wrapText="1"/>
    </xf>
    <xf numFmtId="0" fontId="6" fillId="4" borderId="9" xfId="0" applyFont="1" applyFill="1" applyBorder="1" applyAlignment="1">
      <alignment vertical="center" wrapText="1"/>
    </xf>
    <xf numFmtId="0" fontId="6" fillId="4" borderId="9" xfId="0" applyFont="1" applyFill="1" applyBorder="1" applyAlignment="1">
      <alignment horizontal="left" vertical="center" wrapText="1"/>
    </xf>
    <xf numFmtId="0" fontId="16" fillId="4" borderId="9" xfId="0" applyFont="1" applyFill="1" applyBorder="1" applyAlignment="1">
      <alignment vertical="top" wrapText="1"/>
    </xf>
    <xf numFmtId="0" fontId="16" fillId="2" borderId="9" xfId="0" applyFont="1" applyFill="1" applyBorder="1" applyAlignment="1">
      <alignment wrapText="1"/>
    </xf>
    <xf numFmtId="0" fontId="16" fillId="2" borderId="9" xfId="0" applyFont="1" applyFill="1" applyBorder="1" applyAlignment="1">
      <alignment vertical="top" wrapText="1"/>
    </xf>
    <xf numFmtId="0" fontId="16" fillId="2" borderId="0" xfId="0" applyFont="1" applyFill="1" applyAlignment="1">
      <alignment vertical="top" wrapText="1"/>
    </xf>
    <xf numFmtId="0" fontId="16" fillId="2" borderId="0" xfId="0" applyFont="1" applyFill="1" applyAlignment="1">
      <alignment wrapText="1"/>
    </xf>
    <xf numFmtId="0" fontId="16" fillId="3" borderId="6" xfId="0" applyFont="1" applyFill="1" applyBorder="1" applyAlignment="1">
      <alignment horizontal="left" vertical="top" wrapText="1"/>
    </xf>
    <xf numFmtId="0" fontId="16" fillId="3" borderId="6" xfId="0" applyFont="1" applyFill="1" applyBorder="1" applyAlignment="1">
      <alignment horizontal="left" wrapText="1"/>
    </xf>
    <xf numFmtId="0" fontId="16" fillId="0" borderId="9" xfId="0" applyFont="1" applyFill="1" applyBorder="1" applyAlignment="1">
      <alignment vertical="top" wrapText="1"/>
    </xf>
    <xf numFmtId="0" fontId="16" fillId="0" borderId="9" xfId="0" applyFont="1" applyFill="1" applyBorder="1" applyAlignment="1">
      <alignment wrapText="1"/>
    </xf>
    <xf numFmtId="0" fontId="16" fillId="2" borderId="0" xfId="0" applyFont="1" applyFill="1" applyBorder="1" applyAlignment="1">
      <alignment wrapText="1"/>
    </xf>
    <xf numFmtId="0" fontId="16" fillId="2" borderId="0" xfId="0" applyFont="1" applyFill="1" applyBorder="1" applyAlignment="1">
      <alignment vertical="top" wrapText="1"/>
    </xf>
    <xf numFmtId="0" fontId="16" fillId="10" borderId="9" xfId="0" applyFont="1" applyFill="1" applyBorder="1" applyAlignment="1">
      <alignment vertical="top" wrapText="1"/>
    </xf>
    <xf numFmtId="0" fontId="16" fillId="10" borderId="9" xfId="0" applyFont="1" applyFill="1" applyBorder="1" applyAlignment="1">
      <alignment wrapText="1"/>
    </xf>
    <xf numFmtId="0" fontId="16" fillId="4" borderId="0" xfId="0" applyFont="1" applyFill="1" applyBorder="1" applyAlignment="1">
      <alignment vertical="top" wrapText="1"/>
    </xf>
    <xf numFmtId="0" fontId="16" fillId="12" borderId="0" xfId="0" applyFont="1" applyFill="1" applyBorder="1" applyAlignment="1">
      <alignment vertical="top" wrapText="1"/>
    </xf>
    <xf numFmtId="0" fontId="16" fillId="12" borderId="9" xfId="0" applyFont="1" applyFill="1" applyBorder="1" applyAlignment="1">
      <alignment wrapText="1"/>
    </xf>
    <xf numFmtId="0" fontId="16" fillId="4" borderId="9" xfId="0" applyFont="1" applyFill="1" applyBorder="1" applyAlignment="1">
      <alignment horizontal="left" wrapText="1"/>
    </xf>
    <xf numFmtId="0" fontId="16" fillId="4" borderId="9" xfId="0" applyFont="1" applyFill="1" applyBorder="1" applyAlignment="1">
      <alignment horizontal="left" vertical="top" wrapText="1"/>
    </xf>
    <xf numFmtId="0" fontId="16" fillId="7" borderId="9" xfId="0" applyFont="1" applyFill="1" applyBorder="1" applyAlignment="1">
      <alignment horizontal="left" vertical="top" wrapText="1"/>
    </xf>
    <xf numFmtId="0" fontId="16" fillId="7" borderId="9" xfId="0" applyFont="1" applyFill="1" applyBorder="1" applyAlignment="1">
      <alignment horizontal="left" wrapText="1"/>
    </xf>
    <xf numFmtId="0" fontId="16" fillId="2" borderId="9" xfId="0" applyFont="1" applyFill="1" applyBorder="1" applyAlignment="1">
      <alignment horizontal="left" wrapText="1"/>
    </xf>
    <xf numFmtId="9" fontId="16" fillId="2" borderId="9" xfId="0" applyNumberFormat="1" applyFont="1" applyFill="1" applyBorder="1" applyAlignment="1">
      <alignment horizontal="left" vertical="top" wrapText="1"/>
    </xf>
    <xf numFmtId="0" fontId="16" fillId="2" borderId="9" xfId="0" applyFont="1" applyFill="1" applyBorder="1" applyAlignment="1">
      <alignment horizontal="left" vertical="top" wrapText="1"/>
    </xf>
    <xf numFmtId="0" fontId="16" fillId="4" borderId="0" xfId="0" applyFont="1" applyFill="1" applyBorder="1" applyAlignment="1">
      <alignment wrapText="1"/>
    </xf>
    <xf numFmtId="0" fontId="16" fillId="4" borderId="0" xfId="0" applyFont="1" applyFill="1" applyBorder="1" applyAlignment="1">
      <alignment horizontal="left" wrapText="1"/>
    </xf>
    <xf numFmtId="0" fontId="16" fillId="2" borderId="0" xfId="0" applyFont="1" applyFill="1" applyBorder="1" applyAlignment="1">
      <alignment horizontal="left" wrapText="1"/>
    </xf>
    <xf numFmtId="0" fontId="16" fillId="2" borderId="6" xfId="0" applyFont="1" applyFill="1" applyBorder="1" applyAlignment="1">
      <alignment vertical="top" wrapText="1"/>
    </xf>
    <xf numFmtId="0" fontId="16" fillId="2" borderId="0" xfId="0" applyFont="1" applyFill="1" applyAlignment="1">
      <alignment horizontal="left" vertical="top" wrapText="1"/>
    </xf>
    <xf numFmtId="0" fontId="16" fillId="4" borderId="0" xfId="0" applyFont="1" applyFill="1" applyAlignment="1">
      <alignment vertical="top" wrapText="1"/>
    </xf>
    <xf numFmtId="0" fontId="16" fillId="4" borderId="0" xfId="0" applyFont="1" applyFill="1" applyAlignment="1">
      <alignment wrapText="1"/>
    </xf>
    <xf numFmtId="0" fontId="16" fillId="3" borderId="5" xfId="0" applyFont="1" applyFill="1" applyBorder="1" applyAlignment="1">
      <alignment horizontal="left" vertical="top" wrapText="1"/>
    </xf>
    <xf numFmtId="0" fontId="16" fillId="3" borderId="5" xfId="0" applyFont="1" applyFill="1" applyBorder="1" applyAlignment="1">
      <alignment horizontal="left" wrapText="1"/>
    </xf>
    <xf numFmtId="0" fontId="4" fillId="14" borderId="12" xfId="0" applyFont="1" applyFill="1" applyBorder="1" applyAlignment="1">
      <alignment wrapText="1"/>
    </xf>
    <xf numFmtId="0" fontId="19" fillId="2" borderId="0" xfId="0" applyFont="1" applyFill="1" applyBorder="1" applyAlignment="1">
      <alignment wrapText="1"/>
    </xf>
    <xf numFmtId="0" fontId="20" fillId="4" borderId="9" xfId="0" applyFont="1" applyFill="1" applyBorder="1" applyAlignment="1">
      <alignment horizontal="left" wrapText="1"/>
    </xf>
    <xf numFmtId="0" fontId="20" fillId="4" borderId="9" xfId="0" applyFont="1" applyFill="1" applyBorder="1" applyAlignment="1">
      <alignment vertical="top" wrapText="1"/>
    </xf>
    <xf numFmtId="0" fontId="20" fillId="4" borderId="9" xfId="0" applyFont="1" applyFill="1" applyBorder="1" applyAlignment="1">
      <alignment wrapText="1"/>
    </xf>
    <xf numFmtId="0" fontId="10" fillId="0" borderId="0" xfId="0" applyFont="1" applyAlignment="1">
      <alignment horizontal="center" wrapText="1"/>
    </xf>
    <xf numFmtId="0" fontId="2" fillId="2" borderId="1" xfId="0" applyFont="1" applyFill="1" applyBorder="1" applyAlignment="1">
      <alignment horizontal="center"/>
    </xf>
    <xf numFmtId="0" fontId="2" fillId="2" borderId="2" xfId="0" applyFont="1" applyFill="1" applyBorder="1" applyAlignment="1">
      <alignment horizontal="center"/>
    </xf>
    <xf numFmtId="17" fontId="12" fillId="0" borderId="0" xfId="0" applyNumberFormat="1" applyFont="1" applyAlignment="1">
      <alignment horizontal="center" wrapText="1"/>
    </xf>
    <xf numFmtId="0" fontId="12" fillId="0" borderId="0" xfId="0" applyFont="1" applyAlignment="1">
      <alignment horizontal="center" wrapText="1"/>
    </xf>
    <xf numFmtId="0" fontId="11" fillId="0" borderId="0" xfId="0" applyFont="1" applyAlignment="1">
      <alignment horizontal="center" wrapText="1"/>
    </xf>
    <xf numFmtId="0" fontId="0" fillId="0" borderId="0" xfId="0" applyAlignment="1">
      <alignment horizontal="center"/>
    </xf>
  </cellXfs>
  <cellStyles count="175">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Normal" xfId="0" builtinId="0"/>
  </cellStyles>
  <dxfs count="12">
    <dxf>
      <numFmt numFmtId="0" formatCode="General"/>
      <border diagonalUp="0" diagonalDown="0">
        <left/>
        <right style="medium">
          <color indexed="64"/>
        </right>
        <top/>
        <bottom/>
        <vertical/>
        <horizontal/>
      </border>
    </dxf>
    <dxf>
      <fill>
        <patternFill patternType="solid">
          <fgColor indexed="64"/>
          <bgColor theme="0"/>
        </patternFill>
      </fill>
      <border diagonalUp="0" diagonalDown="0">
        <left style="medium">
          <color indexed="64"/>
        </left>
        <right/>
        <top/>
        <bottom/>
        <vertical/>
        <horizontal/>
      </border>
    </dxf>
    <dxf>
      <font>
        <strike val="0"/>
        <outline val="0"/>
        <shadow val="0"/>
        <u val="none"/>
        <vertAlign val="baseline"/>
        <sz val="12"/>
        <name val="Calibri"/>
        <scheme val="minor"/>
      </font>
    </dxf>
    <dxf>
      <font>
        <strike val="0"/>
        <outline val="0"/>
        <shadow val="0"/>
        <u val="none"/>
        <vertAlign val="baseline"/>
        <sz val="12"/>
        <name val="Calibri"/>
        <scheme val="minor"/>
      </font>
      <alignment vertical="bottom" textRotation="0" wrapText="1" justifyLastLine="0" shrinkToFit="0"/>
    </dxf>
    <dxf>
      <font>
        <strike val="0"/>
        <outline val="0"/>
        <shadow val="0"/>
        <u val="none"/>
        <vertAlign val="baseline"/>
        <sz val="12"/>
        <name val="Calibri"/>
        <scheme val="minor"/>
      </font>
      <alignment horizontal="general" vertical="bottom" textRotation="0" wrapText="1" indent="0" justifyLastLine="0" shrinkToFit="0" readingOrder="0"/>
    </dxf>
    <dxf>
      <font>
        <strike val="0"/>
        <outline val="0"/>
        <shadow val="0"/>
        <u val="none"/>
        <vertAlign val="baseline"/>
        <sz val="12"/>
        <name val="Calibri"/>
        <scheme val="minor"/>
      </font>
      <numFmt numFmtId="0" formatCode="General"/>
      <alignment horizontal="general" vertical="top" textRotation="0" wrapText="1" indent="0" justifyLastLine="0" shrinkToFit="0" readingOrder="0"/>
    </dxf>
    <dxf>
      <font>
        <strike val="0"/>
        <outline val="0"/>
        <shadow val="0"/>
        <u val="none"/>
        <vertAlign val="baseline"/>
        <sz val="12"/>
        <name val="Calibri"/>
        <scheme val="minor"/>
      </font>
    </dxf>
    <dxf>
      <font>
        <strike val="0"/>
        <outline val="0"/>
        <shadow val="0"/>
        <u val="none"/>
        <vertAlign val="baseline"/>
        <sz val="12"/>
        <name val="Calibri"/>
        <scheme val="minor"/>
      </font>
    </dxf>
    <dxf>
      <border outline="0">
        <top style="thin">
          <color auto="1"/>
        </top>
      </border>
    </dxf>
    <dxf>
      <font>
        <strike val="0"/>
        <outline val="0"/>
        <shadow val="0"/>
        <u val="none"/>
        <vertAlign val="baseline"/>
        <sz val="12"/>
        <name val="Calibri"/>
        <scheme val="minor"/>
      </font>
      <numFmt numFmtId="30" formatCode="@"/>
    </dxf>
    <dxf>
      <border outline="0">
        <bottom style="thin">
          <color auto="1"/>
        </bottom>
      </border>
    </dxf>
    <dxf>
      <font>
        <strike val="0"/>
        <outline val="0"/>
        <shadow val="0"/>
        <u val="none"/>
        <vertAlign val="baseline"/>
        <sz val="12"/>
        <name val="Calibri"/>
        <scheme val="minor"/>
      </font>
      <numFmt numFmtId="30" formatCode="@"/>
    </dxf>
  </dxfs>
  <tableStyles count="0" defaultTableStyle="TableStyleMedium9" defaultPivotStyle="PivotStyleMedium4"/>
  <colors>
    <mruColors>
      <color rgb="FFEAB2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theme" Target="theme/theme1.xml"/><Relationship Id="rId5" Type="http://schemas.openxmlformats.org/officeDocument/2006/relationships/styles" Target="styles.xml"/><Relationship Id="rId6" Type="http://schemas.openxmlformats.org/officeDocument/2006/relationships/sharedStrings" Target="sharedStrings.xml"/><Relationship Id="rId7" Type="http://schemas.openxmlformats.org/officeDocument/2006/relationships/calcChain" Target="calcChain.xml"/><Relationship Id="rId8"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 Id="rId2" Type="http://schemas.openxmlformats.org/officeDocument/2006/relationships/image" Target="../media/image2.jpg"/><Relationship Id="rId3"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150679</xdr:colOff>
      <xdr:row>1</xdr:row>
      <xdr:rowOff>53814</xdr:rowOff>
    </xdr:from>
    <xdr:to>
      <xdr:col>1</xdr:col>
      <xdr:colOff>388114</xdr:colOff>
      <xdr:row>6</xdr:row>
      <xdr:rowOff>10279</xdr:rowOff>
    </xdr:to>
    <xdr:pic>
      <xdr:nvPicPr>
        <xdr:cNvPr id="5" name="Picture 4" descr="VCC_logo_tree_icon.jpg"/>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0679" y="247543"/>
          <a:ext cx="4241164" cy="1108075"/>
        </a:xfrm>
        <a:prstGeom prst="rect">
          <a:avLst/>
        </a:prstGeom>
      </xdr:spPr>
    </xdr:pic>
    <xdr:clientData/>
  </xdr:twoCellAnchor>
  <xdr:twoCellAnchor editAs="oneCell">
    <xdr:from>
      <xdr:col>1</xdr:col>
      <xdr:colOff>548898</xdr:colOff>
      <xdr:row>1</xdr:row>
      <xdr:rowOff>161441</xdr:rowOff>
    </xdr:from>
    <xdr:to>
      <xdr:col>1</xdr:col>
      <xdr:colOff>3706753</xdr:colOff>
      <xdr:row>5</xdr:row>
      <xdr:rowOff>92560</xdr:rowOff>
    </xdr:to>
    <xdr:pic>
      <xdr:nvPicPr>
        <xdr:cNvPr id="6" name="Picture 5"/>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52627" y="355170"/>
          <a:ext cx="3157855" cy="889000"/>
        </a:xfrm>
        <a:prstGeom prst="rect">
          <a:avLst/>
        </a:prstGeom>
      </xdr:spPr>
    </xdr:pic>
    <xdr:clientData/>
  </xdr:twoCellAnchor>
  <xdr:twoCellAnchor editAs="oneCell">
    <xdr:from>
      <xdr:col>2</xdr:col>
      <xdr:colOff>118390</xdr:colOff>
      <xdr:row>1</xdr:row>
      <xdr:rowOff>118390</xdr:rowOff>
    </xdr:from>
    <xdr:to>
      <xdr:col>2</xdr:col>
      <xdr:colOff>3232676</xdr:colOff>
      <xdr:row>4</xdr:row>
      <xdr:rowOff>154973</xdr:rowOff>
    </xdr:to>
    <xdr:pic>
      <xdr:nvPicPr>
        <xdr:cNvPr id="7" name="Picture 6"/>
        <xdr:cNvPicPr>
          <a:picLocks noChangeAspect="1"/>
        </xdr:cNvPicPr>
      </xdr:nvPicPr>
      <xdr:blipFill>
        <a:blip xmlns:r="http://schemas.openxmlformats.org/officeDocument/2006/relationships" r:embed="rId3"/>
        <a:stretch>
          <a:fillRect/>
        </a:stretch>
      </xdr:blipFill>
      <xdr:spPr>
        <a:xfrm>
          <a:off x="8125848" y="312119"/>
          <a:ext cx="3114286" cy="800735"/>
        </a:xfrm>
        <a:prstGeom prst="rect">
          <a:avLst/>
        </a:prstGeom>
      </xdr:spPr>
    </xdr:pic>
    <xdr:clientData/>
  </xdr:twoCellAnchor>
</xdr:wsDr>
</file>

<file path=xl/tables/table1.xml><?xml version="1.0" encoding="utf-8"?>
<table xmlns="http://schemas.openxmlformats.org/spreadsheetml/2006/main" id="1" name="Table1" displayName="Table1" ref="A17:H144" totalsRowShown="0" headerRowDxfId="11" dataDxfId="9" headerRowBorderDxfId="10" tableBorderDxfId="8">
  <tableColumns count="8">
    <tableColumn id="1" name="Français" dataDxfId="7"/>
    <tableColumn id="2" name="English" dataDxfId="6"/>
    <tableColumn id="3" name="Details  - value" dataDxfId="5"/>
    <tableColumn id="4" name="Article/_x000a_Reference " dataDxfId="4"/>
    <tableColumn id="5" name="Page (permalink) page = page top, middle, bottom" dataDxfId="3"/>
    <tableColumn id="6" name="Notes" dataDxfId="2"/>
    <tableColumn id="8" name="Details with Reference" dataDxfId="1">
      <calculatedColumnFormula>IF(OR(Table1[[#This Row],[English]]&lt;&gt;"",Table1[[#This Row],[Français]]&lt;&gt;""),Table1[[#This Row],[Français]]&amp;"//"&amp;Table1[[#This Row],[English]],"")</calculatedColumnFormula>
    </tableColumn>
    <tableColumn id="7" name="Details-Reference (AUTOMATIC)" dataDxfId="0">
      <calculatedColumnFormula>IF(C18&lt;&gt;"",IF(D18&lt;&gt;"",C18&amp;"--"&amp;D18,C18),"")</calculatedColumnFormula>
    </tableColumn>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pageSetUpPr fitToPage="1"/>
  </sheetPr>
  <dimension ref="A2:H151"/>
  <sheetViews>
    <sheetView showGridLines="0" topLeftCell="B20" workbookViewId="0">
      <selection activeCell="C27" sqref="C27"/>
    </sheetView>
  </sheetViews>
  <sheetFormatPr baseColWidth="10" defaultColWidth="8.6640625" defaultRowHeight="15" x14ac:dyDescent="0"/>
  <cols>
    <col min="1" max="2" width="52.5" style="1" customWidth="1"/>
    <col min="3" max="3" width="60.5" style="1" customWidth="1"/>
    <col min="4" max="4" width="13.5" style="1" customWidth="1"/>
    <col min="6" max="6" width="19.83203125" customWidth="1"/>
    <col min="7" max="7" width="31.1640625" style="47" customWidth="1"/>
    <col min="8" max="8" width="17.33203125" style="48" customWidth="1"/>
  </cols>
  <sheetData>
    <row r="2" spans="1:8" ht="30" customHeight="1"/>
    <row r="10" spans="1:8" ht="28" customHeight="1">
      <c r="A10" s="216" t="s">
        <v>774</v>
      </c>
      <c r="B10" s="216"/>
      <c r="C10" s="214">
        <v>41640</v>
      </c>
      <c r="D10" s="215"/>
    </row>
    <row r="16" spans="1:8" ht="109" customHeight="1">
      <c r="B16" s="211" t="s">
        <v>878</v>
      </c>
      <c r="C16" s="211"/>
      <c r="G16" s="212" t="s">
        <v>0</v>
      </c>
      <c r="H16" s="213"/>
    </row>
    <row r="17" spans="1:8" ht="30">
      <c r="A17" s="2" t="s">
        <v>1</v>
      </c>
      <c r="B17" s="2" t="s">
        <v>2</v>
      </c>
      <c r="C17" s="162" t="s">
        <v>243</v>
      </c>
      <c r="D17" s="3" t="s">
        <v>3</v>
      </c>
      <c r="E17" s="162" t="s">
        <v>244</v>
      </c>
      <c r="F17" s="2" t="s">
        <v>4</v>
      </c>
      <c r="G17" s="4" t="s">
        <v>5</v>
      </c>
      <c r="H17" s="5" t="s">
        <v>6</v>
      </c>
    </row>
    <row r="18" spans="1:8" ht="30">
      <c r="A18" s="6" t="s">
        <v>7</v>
      </c>
      <c r="B18" s="7" t="s">
        <v>8</v>
      </c>
      <c r="C18" s="150"/>
      <c r="D18" s="147"/>
      <c r="E18" s="7"/>
      <c r="F18" s="7"/>
      <c r="G18" s="8" t="str">
        <f>IF(OR(Table1[[#This Row],[English]]&lt;&gt;"",Table1[[#This Row],[Français]]&lt;&gt;""),Table1[[#This Row],[Français]]&amp;"//"&amp;Table1[[#This Row],[English]],"")</f>
        <v>I. Information générale sur le projet //General information</v>
      </c>
      <c r="H18" s="9" t="str">
        <f t="shared" ref="H18:H95" si="0">IF(C18&lt;&gt;"",IF(D18&lt;&gt;"",C18&amp;"--"&amp;D18,C18),"")</f>
        <v/>
      </c>
    </row>
    <row r="19" spans="1:8" ht="31" customHeight="1">
      <c r="A19" s="64" t="s">
        <v>9</v>
      </c>
      <c r="B19" s="64" t="s">
        <v>10</v>
      </c>
      <c r="C19" s="68" t="s">
        <v>879</v>
      </c>
      <c r="D19" s="68"/>
      <c r="E19" s="68"/>
      <c r="F19" s="65"/>
      <c r="G19" s="66" t="str">
        <f>IF(OR(Table1[[#This Row],[English]]&lt;&gt;"",Table1[[#This Row],[Français]]&lt;&gt;""),Table1[[#This Row],[Français]]&amp;"//"&amp;Table1[[#This Row],[English]],"")</f>
        <v>Pays//Country</v>
      </c>
      <c r="H19" s="67" t="str">
        <f t="shared" si="0"/>
        <v>Congo, the Democratic Republic of the</v>
      </c>
    </row>
    <row r="20" spans="1:8" ht="45">
      <c r="A20" s="64" t="s">
        <v>11</v>
      </c>
      <c r="B20" s="68" t="s">
        <v>12</v>
      </c>
      <c r="C20" s="73" t="s">
        <v>823</v>
      </c>
      <c r="D20" s="73" t="s">
        <v>825</v>
      </c>
      <c r="E20" s="73" t="s">
        <v>826</v>
      </c>
      <c r="F20" s="65"/>
      <c r="G20" s="66" t="str">
        <f>IF(OR(Table1[[#This Row],[English]]&lt;&gt;"",Table1[[#This Row],[Français]]&lt;&gt;""),Table1[[#This Row],[Français]]&amp;"//"&amp;Table1[[#This Row],[English]],"")</f>
        <v>Nom de la société locale//Local company name</v>
      </c>
      <c r="H20" s="67" t="str">
        <f t="shared" si="0"/>
        <v>Industrie de Transformation de Bois--Préambule</v>
      </c>
    </row>
    <row r="21" spans="1:8">
      <c r="A21" s="68" t="s">
        <v>241</v>
      </c>
      <c r="B21" s="68" t="s">
        <v>242</v>
      </c>
      <c r="C21" s="174"/>
      <c r="D21" s="148"/>
      <c r="E21" s="148"/>
      <c r="F21" s="159"/>
      <c r="G21" s="16" t="str">
        <f>IF(OR(Table1[[#This Row],[English]]&lt;&gt;"",Table1[[#This Row],[Français]]&lt;&gt;""),Table1[[#This Row],[Français]]&amp;"//"&amp;Table1[[#This Row],[English]],"")</f>
        <v>Numéro d'entreprise légal//Legal Enterprise Identifier</v>
      </c>
      <c r="H21" s="160" t="str">
        <f>IF(C21&lt;&gt;"",IF(D21&lt;&gt;"",C21&amp;"--"&amp;D21,C21),"")</f>
        <v/>
      </c>
    </row>
    <row r="22" spans="1:8" ht="150">
      <c r="A22" s="10" t="s">
        <v>13</v>
      </c>
      <c r="B22" s="10" t="s">
        <v>14</v>
      </c>
      <c r="C22" s="102" t="s">
        <v>824</v>
      </c>
      <c r="D22" s="102" t="s">
        <v>825</v>
      </c>
      <c r="E22" s="102" t="s">
        <v>826</v>
      </c>
      <c r="F22" s="11"/>
      <c r="G22" s="12" t="str">
        <f>IF(OR(Table1[[#This Row],[English]]&lt;&gt;"",Table1[[#This Row],[Français]]&lt;&gt;""),Table1[[#This Row],[Français]]&amp;"//"&amp;Table1[[#This Row],[English]],"")</f>
        <v xml:space="preserve">Siège social //Corporate headquarters </v>
      </c>
      <c r="H22" s="13" t="str">
        <f t="shared" si="0"/>
        <v>N° 5501, Avenue de l'Ouest, Quartier Kingabwa, Commune de Limete, Ville-Province de Kinshasa, en République Démocratique du Congo--Préambule</v>
      </c>
    </row>
    <row r="23" spans="1:8">
      <c r="A23" s="10" t="s">
        <v>15</v>
      </c>
      <c r="B23" s="10" t="s">
        <v>16</v>
      </c>
      <c r="C23" s="176"/>
      <c r="D23" s="175"/>
      <c r="E23" s="175"/>
      <c r="F23" s="11"/>
      <c r="G23" s="12" t="str">
        <f>IF(OR(Table1[[#This Row],[English]]&lt;&gt;"",Table1[[#This Row],[Français]]&lt;&gt;""),Table1[[#This Row],[Français]]&amp;"//"&amp;Table1[[#This Row],[English]],"")</f>
        <v>Structure du Capital//Company structure</v>
      </c>
      <c r="H23" s="13" t="str">
        <f t="shared" si="0"/>
        <v/>
      </c>
    </row>
    <row r="24" spans="1:8" ht="33.75" customHeight="1">
      <c r="A24" s="64" t="s">
        <v>17</v>
      </c>
      <c r="B24" s="68" t="s">
        <v>193</v>
      </c>
      <c r="C24" s="174"/>
      <c r="D24" s="148"/>
      <c r="E24" s="148"/>
      <c r="F24" s="65"/>
      <c r="G24" s="66" t="str">
        <f>IF(OR(Table1[[#This Row],[English]]&lt;&gt;"",Table1[[#This Row],[Français]]&lt;&gt;""),Table1[[#This Row],[Français]]&amp;"//"&amp;Table1[[#This Row],[English]],"")</f>
        <v>Société(s) mère(s) ou affiliée(s) hors du pays, si diffèrent de celle(s) notée(s) ci-dessus; et leurs sièges sociales //Parent companies or affilates outside of the country, if different from the above mentioned; and their corporate headquarters</v>
      </c>
      <c r="H24" s="67" t="str">
        <f t="shared" si="0"/>
        <v/>
      </c>
    </row>
    <row r="25" spans="1:8">
      <c r="A25" s="68" t="s">
        <v>241</v>
      </c>
      <c r="B25" s="68" t="s">
        <v>242</v>
      </c>
      <c r="C25" s="174"/>
      <c r="D25" s="148"/>
      <c r="E25" s="148"/>
      <c r="F25" s="159"/>
      <c r="G25" s="16" t="str">
        <f>IF(OR(Table1[[#This Row],[English]]&lt;&gt;"",Table1[[#This Row],[Français]]&lt;&gt;""),Table1[[#This Row],[Français]]&amp;"//"&amp;Table1[[#This Row],[English]],"")</f>
        <v>Numéro d'entreprise légal//Legal Enterprise Identifier</v>
      </c>
      <c r="H25" s="160" t="str">
        <f>IF(C25&lt;&gt;"",IF(D25&lt;&gt;"",C25&amp;"--"&amp;D25,C25),"")</f>
        <v/>
      </c>
    </row>
    <row r="26" spans="1:8">
      <c r="A26" s="64" t="s">
        <v>18</v>
      </c>
      <c r="B26" s="64" t="s">
        <v>19</v>
      </c>
      <c r="C26" s="174"/>
      <c r="D26" s="148"/>
      <c r="E26" s="148"/>
      <c r="F26" s="65"/>
      <c r="G26" s="66" t="str">
        <f>IF(OR(Table1[[#This Row],[English]]&lt;&gt;"",Table1[[#This Row],[Français]]&lt;&gt;""),Table1[[#This Row],[Français]]&amp;"//"&amp;Table1[[#This Row],[English]],"")</f>
        <v>Site web de l’entreprise//Company website</v>
      </c>
      <c r="H26" s="67" t="str">
        <f t="shared" si="0"/>
        <v/>
      </c>
    </row>
    <row r="27" spans="1:8" ht="60">
      <c r="A27" s="68" t="s">
        <v>204</v>
      </c>
      <c r="B27" s="69" t="s">
        <v>20</v>
      </c>
      <c r="C27" s="73" t="s">
        <v>873</v>
      </c>
      <c r="D27" s="73" t="s">
        <v>825</v>
      </c>
      <c r="E27" s="73" t="s">
        <v>827</v>
      </c>
      <c r="F27" s="65"/>
      <c r="G27" s="66" t="str">
        <f>IF(OR(Table1[[#This Row],[English]]&lt;&gt;"",Table1[[#This Row],[Français]]&lt;&gt;""),Table1[[#This Row],[Français]]&amp;"//"&amp;Table1[[#This Row],[English]],"")</f>
        <v>Type du titre associé au contrat (concession, bail, contrat de partage, contrat de service…)//Type of document / right (Concession, Lease, Production Sharing Agreement, Service Agreement, etc.)</v>
      </c>
      <c r="H27" s="67" t="str">
        <f t="shared" si="0"/>
        <v>Contrat de concession forrestière--Préambule</v>
      </c>
    </row>
    <row r="28" spans="1:8">
      <c r="A28" s="64" t="s">
        <v>21</v>
      </c>
      <c r="B28" s="64" t="s">
        <v>22</v>
      </c>
      <c r="C28" s="174"/>
      <c r="D28" s="148"/>
      <c r="E28" s="148"/>
      <c r="F28" s="65"/>
      <c r="G28" s="66" t="str">
        <f>IF(OR(Table1[[#This Row],[English]]&lt;&gt;"",Table1[[#This Row],[Français]]&lt;&gt;""),Table1[[#This Row],[Français]]&amp;"//"&amp;Table1[[#This Row],[English]],"")</f>
        <v>Nom du projet//Project title</v>
      </c>
      <c r="H28" s="67" t="str">
        <f t="shared" si="0"/>
        <v/>
      </c>
    </row>
    <row r="29" spans="1:8">
      <c r="A29" s="68" t="s">
        <v>201</v>
      </c>
      <c r="B29" s="69" t="s">
        <v>23</v>
      </c>
      <c r="C29" s="174"/>
      <c r="D29" s="148"/>
      <c r="E29" s="148"/>
      <c r="F29" s="65"/>
      <c r="G29" s="66" t="str">
        <f>IF(OR(Table1[[#This Row],[English]]&lt;&gt;"",Table1[[#This Row],[Français]]&lt;&gt;""),Table1[[#This Row],[Français]]&amp;"//"&amp;Table1[[#This Row],[English]],"")</f>
        <v>Nom du gisement/ champ de pétrole/ gas//Name and/or number of field, block or deposit</v>
      </c>
      <c r="H29" s="67" t="str">
        <f t="shared" si="0"/>
        <v/>
      </c>
    </row>
    <row r="30" spans="1:8" ht="55" customHeight="1">
      <c r="A30" s="73" t="s">
        <v>206</v>
      </c>
      <c r="B30" s="108" t="s">
        <v>205</v>
      </c>
      <c r="C30" s="73" t="s">
        <v>863</v>
      </c>
      <c r="D30" s="73" t="s">
        <v>828</v>
      </c>
      <c r="E30" s="73" t="s">
        <v>829</v>
      </c>
      <c r="F30" s="65"/>
      <c r="G30" s="66" t="str">
        <f>IF(OR(Table1[[#This Row],[English]]&lt;&gt;"",Table1[[#This Row],[Français]]&lt;&gt;""),Table1[[#This Row],[Français]]&amp;"//"&amp;Table1[[#This Row],[English]],"")</f>
        <v xml:space="preserve">Emplacement, longitude et latitude / terrestre vs marin (peu profond vs. profond) //Location, longitude and latitude /  Onshore vs Offshore (shallow vs. deep) </v>
      </c>
      <c r="H30" s="67" t="str">
        <f t="shared" si="0"/>
        <v>Secteur: Ekonda, territoire: Bikoro et Ingende, district: Equateur, province: Equateur.  La délimitation physique se décrit dans l'article 2(II).--Art. 2</v>
      </c>
    </row>
    <row r="31" spans="1:8">
      <c r="A31" s="64" t="s">
        <v>24</v>
      </c>
      <c r="B31" s="64" t="s">
        <v>25</v>
      </c>
      <c r="C31" s="174"/>
      <c r="D31" s="148"/>
      <c r="E31" s="148"/>
      <c r="F31" s="65"/>
      <c r="G31" s="66" t="str">
        <f>IF(OR(Table1[[#This Row],[English]]&lt;&gt;"",Table1[[#This Row],[Français]]&lt;&gt;""),Table1[[#This Row],[Français]]&amp;"//"&amp;Table1[[#This Row],[English]],"")</f>
        <v>Lieu-dit habité le plus proche//Closest community</v>
      </c>
      <c r="H31" s="67" t="str">
        <f t="shared" si="0"/>
        <v/>
      </c>
    </row>
    <row r="32" spans="1:8" ht="54" customHeight="1">
      <c r="A32" s="64" t="s">
        <v>26</v>
      </c>
      <c r="B32" s="64" t="s">
        <v>27</v>
      </c>
      <c r="C32" s="174"/>
      <c r="D32" s="148"/>
      <c r="E32" s="148"/>
      <c r="F32" s="65"/>
      <c r="G32" s="66" t="str">
        <f>IF(OR(Table1[[#This Row],[English]]&lt;&gt;"",Table1[[#This Row],[Français]]&lt;&gt;""),Table1[[#This Row],[Français]]&amp;"//"&amp;Table1[[#This Row],[English]],"")</f>
        <v>Date d'octroi du permis d'exploitation ou concession//Date of issue of title/permit</v>
      </c>
      <c r="H32" s="67" t="str">
        <f t="shared" si="0"/>
        <v/>
      </c>
    </row>
    <row r="33" spans="1:8" ht="45" customHeight="1">
      <c r="A33" s="64" t="s">
        <v>28</v>
      </c>
      <c r="B33" s="64" t="s">
        <v>29</v>
      </c>
      <c r="C33" s="174" t="str">
        <f>IF(C32&lt;&gt;"",YEAR(C32),"")</f>
        <v/>
      </c>
      <c r="D33" s="148"/>
      <c r="E33" s="148"/>
      <c r="F33" s="65"/>
      <c r="G33" s="66" t="str">
        <f>IF(OR(Table1[[#This Row],[English]]&lt;&gt;"",Table1[[#This Row],[Français]]&lt;&gt;""),Table1[[#This Row],[Français]]&amp;"//"&amp;Table1[[#This Row],[English]],"")</f>
        <v>Année d'octroi du permis d'exploitation ou concession//Year of issue of title/permit</v>
      </c>
      <c r="H33" s="67" t="str">
        <f t="shared" si="0"/>
        <v/>
      </c>
    </row>
    <row r="34" spans="1:8">
      <c r="A34" s="10" t="s">
        <v>30</v>
      </c>
      <c r="B34" s="10" t="s">
        <v>31</v>
      </c>
      <c r="C34" s="176"/>
      <c r="D34" s="175"/>
      <c r="E34" s="175"/>
      <c r="F34" s="11"/>
      <c r="G34" s="12" t="str">
        <f>IF(OR(Table1[[#This Row],[English]]&lt;&gt;"",Table1[[#This Row],[Français]]&lt;&gt;""),Table1[[#This Row],[Français]]&amp;"//"&amp;Table1[[#This Row],[English]],"")</f>
        <v>Date de ratification//Date of ratification</v>
      </c>
      <c r="H34" s="13" t="str">
        <f t="shared" si="0"/>
        <v/>
      </c>
    </row>
    <row r="35" spans="1:8">
      <c r="A35" s="10" t="s">
        <v>32</v>
      </c>
      <c r="B35" s="10" t="s">
        <v>33</v>
      </c>
      <c r="C35" s="176"/>
      <c r="D35" s="175"/>
      <c r="E35" s="175"/>
      <c r="F35" s="11"/>
      <c r="G35" s="12" t="str">
        <f>IF(OR(Table1[[#This Row],[English]]&lt;&gt;"",Table1[[#This Row],[Français]]&lt;&gt;""),Table1[[#This Row],[Français]]&amp;"//"&amp;Table1[[#This Row],[English]],"")</f>
        <v>Investissement estimé//Estimated investment</v>
      </c>
      <c r="H35" s="13" t="str">
        <f t="shared" si="0"/>
        <v/>
      </c>
    </row>
    <row r="36" spans="1:8">
      <c r="A36" s="10" t="s">
        <v>34</v>
      </c>
      <c r="B36" s="10" t="s">
        <v>35</v>
      </c>
      <c r="C36" s="176"/>
      <c r="D36" s="175"/>
      <c r="E36" s="175"/>
      <c r="F36" s="11"/>
      <c r="G36" s="12" t="str">
        <f>IF(OR(Table1[[#This Row],[English]]&lt;&gt;"",Table1[[#This Row],[Français]]&lt;&gt;""),Table1[[#This Row],[Français]]&amp;"//"&amp;Table1[[#This Row],[English]],"")</f>
        <v>Production attendue//Expected production</v>
      </c>
      <c r="H36" s="13" t="str">
        <f t="shared" si="0"/>
        <v/>
      </c>
    </row>
    <row r="37" spans="1:8">
      <c r="A37" s="14"/>
      <c r="B37" s="14"/>
      <c r="C37" s="177"/>
      <c r="D37" s="178"/>
      <c r="E37" s="178"/>
      <c r="F37" s="15"/>
      <c r="G37" s="16" t="str">
        <f>IF(OR(Table1[[#This Row],[English]]&lt;&gt;"",Table1[[#This Row],[Français]]&lt;&gt;""),Table1[[#This Row],[Français]]&amp;"//"&amp;Table1[[#This Row],[English]],"")</f>
        <v/>
      </c>
      <c r="H37" s="17" t="str">
        <f t="shared" si="0"/>
        <v/>
      </c>
    </row>
    <row r="38" spans="1:8" ht="30">
      <c r="A38" s="161" t="s">
        <v>36</v>
      </c>
      <c r="B38" s="161" t="s">
        <v>37</v>
      </c>
      <c r="C38" s="179"/>
      <c r="D38" s="180"/>
      <c r="E38" s="180"/>
      <c r="F38" s="18"/>
      <c r="G38" s="19" t="str">
        <f>IF(OR(Table1[[#This Row],[English]]&lt;&gt;"",Table1[[#This Row],[Français]]&lt;&gt;""),Table1[[#This Row],[Français]]&amp;"//"&amp;Table1[[#This Row],[English]],"")</f>
        <v>II. Résumé des dispositions du contrat//II. Summary of terms</v>
      </c>
      <c r="H38" s="20" t="str">
        <f t="shared" si="0"/>
        <v/>
      </c>
    </row>
    <row r="39" spans="1:8" ht="30">
      <c r="A39" s="21" t="s">
        <v>38</v>
      </c>
      <c r="B39" s="18" t="s">
        <v>39</v>
      </c>
      <c r="C39" s="179"/>
      <c r="D39" s="180"/>
      <c r="E39" s="180"/>
      <c r="F39" s="18"/>
      <c r="G39" s="19" t="str">
        <f>IF(OR(Table1[[#This Row],[English]]&lt;&gt;"",Table1[[#This Row],[Français]]&lt;&gt;""),Table1[[#This Row],[Français]]&amp;"//"&amp;Table1[[#This Row],[English]],"")</f>
        <v>1. Dispositions du base//1. Fundamental provisions</v>
      </c>
      <c r="H39" s="20" t="str">
        <f t="shared" si="0"/>
        <v/>
      </c>
    </row>
    <row r="40" spans="1:8" ht="90">
      <c r="A40" s="64" t="s">
        <v>40</v>
      </c>
      <c r="B40" s="64" t="s">
        <v>41</v>
      </c>
      <c r="C40" s="73" t="s">
        <v>823</v>
      </c>
      <c r="D40" s="73" t="s">
        <v>825</v>
      </c>
      <c r="E40" s="73" t="s">
        <v>826</v>
      </c>
      <c r="F40" s="70"/>
      <c r="G40" s="71" t="str">
        <f>IF(OR(Table1[[#This Row],[English]]&lt;&gt;"",Table1[[#This Row],[Français]]&lt;&gt;""),Table1[[#This Row],[Français]]&amp;"//"&amp;Table1[[#This Row],[English]],"")</f>
        <v>Nom de la société signataire du contrat et composition des actionnaires mentionnés dans le document//Name of company executing the document and composition of the shareholders</v>
      </c>
      <c r="H40" s="67" t="str">
        <f t="shared" si="0"/>
        <v>Industrie de Transformation de Bois--Préambule</v>
      </c>
    </row>
    <row r="41" spans="1:8">
      <c r="A41" s="68" t="s">
        <v>241</v>
      </c>
      <c r="B41" s="68" t="s">
        <v>242</v>
      </c>
      <c r="C41" s="174"/>
      <c r="D41" s="148"/>
      <c r="E41" s="148"/>
      <c r="F41" s="159"/>
      <c r="G41" s="16" t="str">
        <f>IF(OR(Table1[[#This Row],[English]]&lt;&gt;"",Table1[[#This Row],[Français]]&lt;&gt;""),Table1[[#This Row],[Français]]&amp;"//"&amp;Table1[[#This Row],[English]],"")</f>
        <v>Numéro d'entreprise légal//Legal Enterprise Identifier</v>
      </c>
      <c r="H41" s="160" t="str">
        <f>IF(C41&lt;&gt;"",IF(D41&lt;&gt;"",C41&amp;"--"&amp;D41,C41),"")</f>
        <v/>
      </c>
    </row>
    <row r="42" spans="1:8" ht="45">
      <c r="A42" s="10" t="s">
        <v>42</v>
      </c>
      <c r="B42" s="10" t="s">
        <v>43</v>
      </c>
      <c r="C42" s="10" t="s">
        <v>830</v>
      </c>
      <c r="D42" s="10" t="s">
        <v>831</v>
      </c>
      <c r="E42" s="10" t="s">
        <v>832</v>
      </c>
      <c r="F42" s="22"/>
      <c r="G42" s="23" t="str">
        <f>IF(OR(Table1[[#This Row],[English]]&lt;&gt;"",Table1[[#This Row],[Français]]&lt;&gt;""),Table1[[#This Row],[Français]]&amp;"//"&amp;Table1[[#This Row],[English]],"")</f>
        <v>Signataire(s), société //Signatories, company</v>
      </c>
      <c r="H42" s="13" t="str">
        <f t="shared" si="0"/>
        <v>Fouad Sarrouf, Gérant Statutaire--Page de signatures</v>
      </c>
    </row>
    <row r="43" spans="1:8" ht="42" customHeight="1">
      <c r="A43" s="64" t="s">
        <v>44</v>
      </c>
      <c r="B43" s="64" t="s">
        <v>45</v>
      </c>
      <c r="C43" s="73" t="s">
        <v>833</v>
      </c>
      <c r="D43" s="73" t="s">
        <v>825</v>
      </c>
      <c r="E43" s="73" t="s">
        <v>826</v>
      </c>
      <c r="F43" s="70"/>
      <c r="G43" s="71" t="str">
        <f>IF(OR(Table1[[#This Row],[English]]&lt;&gt;"",Table1[[#This Row],[Français]]&lt;&gt;""),Table1[[#This Row],[Français]]&amp;"//"&amp;Table1[[#This Row],[English]],"")</f>
        <v>Agence de l'Etat, société nationale, ministère signataire du contrat//State agency, national company, ministry executing the document</v>
      </c>
      <c r="H43" s="67" t="str">
        <f t="shared" si="0"/>
        <v>Le Ministre de l'Environnement, Conservation de la Nature et Tourisme--Préambule</v>
      </c>
    </row>
    <row r="44" spans="1:8" ht="90">
      <c r="A44" s="10" t="s">
        <v>46</v>
      </c>
      <c r="B44" s="10" t="s">
        <v>47</v>
      </c>
      <c r="C44" s="10" t="s">
        <v>834</v>
      </c>
      <c r="D44" s="10" t="s">
        <v>831</v>
      </c>
      <c r="E44" s="10" t="s">
        <v>832</v>
      </c>
      <c r="F44" s="22"/>
      <c r="G44" s="23" t="str">
        <f>IF(OR(Table1[[#This Row],[English]]&lt;&gt;"",Table1[[#This Row],[Français]]&lt;&gt;""),Table1[[#This Row],[Français]]&amp;"//"&amp;Table1[[#This Row],[English]],"")</f>
        <v>Signataire(s), Etat//Signatories, State</v>
      </c>
      <c r="H44" s="13" t="str">
        <f t="shared" si="0"/>
        <v>José E.B. Endundo, Ministre de l'Environnement, Conservation de la Nature et Tourisme--Page de signatures</v>
      </c>
    </row>
    <row r="45" spans="1:8" ht="47" customHeight="1">
      <c r="A45" s="64" t="s">
        <v>48</v>
      </c>
      <c r="B45" s="64" t="s">
        <v>49</v>
      </c>
      <c r="C45" s="174"/>
      <c r="D45" s="148"/>
      <c r="E45" s="148"/>
      <c r="F45" s="70"/>
      <c r="G45" s="71" t="str">
        <f>IF(OR(Table1[[#This Row],[English]]&lt;&gt;"",Table1[[#This Row],[Français]]&lt;&gt;""),Table1[[#This Row],[Français]]&amp;"//"&amp;Table1[[#This Row],[English]],"")</f>
        <v>Nom et/ou composition de la société du projet crée ou envisagée//Name and/or composition of the company created or anticipated</v>
      </c>
      <c r="H45" s="67" t="str">
        <f t="shared" si="0"/>
        <v/>
      </c>
    </row>
    <row r="46" spans="1:8" ht="45">
      <c r="A46" s="10" t="s">
        <v>178</v>
      </c>
      <c r="B46" s="59" t="s">
        <v>169</v>
      </c>
      <c r="C46" s="181"/>
      <c r="D46" s="182"/>
      <c r="E46" s="182"/>
      <c r="F46" s="56"/>
      <c r="G46" s="57" t="str">
        <f>IF(OR(Table1[[#This Row],[English]]&lt;&gt;"",Table1[[#This Row],[Français]]&lt;&gt;""),Table1[[#This Row],[Français]]&amp;"//"&amp;Table1[[#This Row],[English]],"")</f>
        <v>Nom de la partie tiers (si applicable)//Name of third party to contract (where applicable)</v>
      </c>
      <c r="H46" s="58" t="str">
        <f>IF(C46&lt;&gt;"",IF(D46&lt;&gt;"",C46&amp;"--"&amp;D46,C46),"")</f>
        <v/>
      </c>
    </row>
    <row r="47" spans="1:8" ht="30">
      <c r="A47" s="64" t="s">
        <v>50</v>
      </c>
      <c r="B47" s="64" t="s">
        <v>51</v>
      </c>
      <c r="C47" s="171">
        <v>40885</v>
      </c>
      <c r="D47" s="171" t="s">
        <v>831</v>
      </c>
      <c r="E47" s="171" t="s">
        <v>832</v>
      </c>
      <c r="F47" s="70"/>
      <c r="G47" s="71" t="str">
        <f>IF(OR(Table1[[#This Row],[English]]&lt;&gt;"",Table1[[#This Row],[Français]]&lt;&gt;""),Table1[[#This Row],[Français]]&amp;"//"&amp;Table1[[#This Row],[English]],"")</f>
        <v>Date de signature du contrat//Date of contract signature</v>
      </c>
      <c r="H47" s="67" t="str">
        <f t="shared" si="0"/>
        <v>40885--Page de signatures</v>
      </c>
    </row>
    <row r="48" spans="1:8" ht="30">
      <c r="A48" s="68" t="s">
        <v>52</v>
      </c>
      <c r="B48" s="64" t="s">
        <v>53</v>
      </c>
      <c r="C48" s="151">
        <f>IF(C47&lt;&gt;"",YEAR(C47),"")</f>
        <v>2011</v>
      </c>
      <c r="D48" s="73" t="s">
        <v>831</v>
      </c>
      <c r="E48" s="73" t="s">
        <v>832</v>
      </c>
      <c r="F48" s="70"/>
      <c r="G48" s="71" t="str">
        <f>IF(OR(Table1[[#This Row],[English]]&lt;&gt;"",Table1[[#This Row],[Français]]&lt;&gt;""),Table1[[#This Row],[Français]]&amp;"//"&amp;Table1[[#This Row],[English]],"")</f>
        <v>Année de signature du contrat//Year of contract signature</v>
      </c>
      <c r="H48" s="67" t="str">
        <f t="shared" si="0"/>
        <v>2011--Page de signatures</v>
      </c>
    </row>
    <row r="49" spans="1:8" ht="79" customHeight="1">
      <c r="A49" s="64" t="s">
        <v>54</v>
      </c>
      <c r="B49" s="64" t="s">
        <v>55</v>
      </c>
      <c r="C49" s="73" t="s">
        <v>835</v>
      </c>
      <c r="D49" s="73" t="s">
        <v>836</v>
      </c>
      <c r="E49" s="73" t="s">
        <v>837</v>
      </c>
      <c r="F49" s="70"/>
      <c r="G49" s="71" t="str">
        <f>IF(OR(Table1[[#This Row],[English]]&lt;&gt;"",Table1[[#This Row],[Français]]&lt;&gt;""),Table1[[#This Row],[Français]]&amp;"//"&amp;Table1[[#This Row],[English]],"")</f>
        <v>Durée//Term</v>
      </c>
      <c r="H49" s="67" t="str">
        <f t="shared" si="0"/>
        <v>25 ans renouvelables. Le contrat prend fin le 11/08/2036.--Arts. 3, 27</v>
      </c>
    </row>
    <row r="50" spans="1:8" ht="227" customHeight="1">
      <c r="A50" s="10" t="s">
        <v>56</v>
      </c>
      <c r="B50" s="10" t="s">
        <v>57</v>
      </c>
      <c r="C50" s="207" t="s">
        <v>874</v>
      </c>
      <c r="D50" s="10" t="s">
        <v>838</v>
      </c>
      <c r="E50" s="10" t="s">
        <v>839</v>
      </c>
      <c r="F50" s="22"/>
      <c r="G50" s="23" t="str">
        <f>IF(OR(Table1[[#This Row],[English]]&lt;&gt;"",Table1[[#This Row],[Français]]&lt;&gt;""),Table1[[#This Row],[Français]]&amp;"//"&amp;Table1[[#This Row],[English]],"")</f>
        <v xml:space="preserve">Conditions de renouvellement//Conditions for renewal </v>
      </c>
      <c r="H50" s="13" t="str">
        <f t="shared" si="0"/>
        <v>A l'expiration du contrat de concession, ou un an avant la date d'expiration, Industrie de Transformation de Bois peut demander le renouvellement du contrat dans les conditions déterminées par les règlements en vigueur et à condition que les obligations découlant du contrat et du cahier des charges aient été exécutées. En demandant un renouvellement, Industrie de Transformation de Bois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constatés.--Arts. 8, 27</v>
      </c>
    </row>
    <row r="51" spans="1:8" ht="42" customHeight="1">
      <c r="A51" s="68" t="s">
        <v>229</v>
      </c>
      <c r="B51" s="69" t="s">
        <v>177</v>
      </c>
      <c r="C51" s="69" t="s">
        <v>817</v>
      </c>
      <c r="D51" s="69" t="s">
        <v>840</v>
      </c>
      <c r="E51" s="69" t="s">
        <v>841</v>
      </c>
      <c r="F51" s="70"/>
      <c r="G51" s="71" t="str">
        <f>IF(OR(Table1[[#This Row],[English]]&lt;&gt;"",Table1[[#This Row],[Français]]&lt;&gt;""),Table1[[#This Row],[Français]]&amp;"//"&amp;Table1[[#This Row],[English]],"")</f>
        <v>Ressource(s) concernées (type de minéral, pétrole, gas, bois) ou les récoltes/denrées//Type of resources (mineral type, crude oil, gas, timber, etc.) OR specific crops planned (ex:  food crops, oil palm, etc.)</v>
      </c>
      <c r="H51" s="67" t="str">
        <f t="shared" si="0"/>
        <v>Bois d'œuvre--Art. 5</v>
      </c>
    </row>
    <row r="52" spans="1:8" ht="42" customHeight="1">
      <c r="A52" s="116" t="s">
        <v>218</v>
      </c>
      <c r="B52" s="116" t="s">
        <v>217</v>
      </c>
      <c r="C52" s="152" t="s">
        <v>865</v>
      </c>
      <c r="D52" s="206" t="s">
        <v>828</v>
      </c>
      <c r="E52" s="206" t="s">
        <v>829</v>
      </c>
      <c r="F52" s="116"/>
      <c r="G52" s="123" t="str">
        <f>IF(OR(Table1[[#This Row],[English]]&lt;&gt;"",Table1[[#This Row],[Français]]&lt;&gt;""),Table1[[#This Row],[Français]]&amp;"//"&amp;Table1[[#This Row],[English]],"")</f>
        <v>Superficie de la concession//Size of the concession area</v>
      </c>
      <c r="H52" s="124" t="str">
        <f>IF(C52&lt;&gt;"",IF(D52&lt;&gt;"",C52&amp;"--"&amp;D52,C52),"")</f>
        <v>256.545 hectares--Art. 2</v>
      </c>
    </row>
    <row r="53" spans="1:8">
      <c r="A53" s="14"/>
      <c r="B53" s="14"/>
      <c r="C53" s="177"/>
      <c r="D53" s="178"/>
      <c r="E53" s="178"/>
      <c r="F53" s="15"/>
      <c r="G53" s="16" t="str">
        <f>IF(OR(Table1[[#This Row],[English]]&lt;&gt;"",Table1[[#This Row],[Français]]&lt;&gt;""),Table1[[#This Row],[Français]]&amp;"//"&amp;Table1[[#This Row],[English]],"")</f>
        <v/>
      </c>
      <c r="H53" s="17" t="str">
        <f t="shared" si="0"/>
        <v/>
      </c>
    </row>
    <row r="54" spans="1:8" ht="49.5" customHeight="1">
      <c r="A54" s="60" t="s">
        <v>58</v>
      </c>
      <c r="B54" s="61" t="s">
        <v>192</v>
      </c>
      <c r="C54" s="179"/>
      <c r="D54" s="180"/>
      <c r="E54" s="180"/>
      <c r="F54" s="18"/>
      <c r="G54" s="19" t="str">
        <f>IF(OR(Table1[[#This Row],[English]]&lt;&gt;"",Table1[[#This Row],[Français]]&lt;&gt;""),Table1[[#This Row],[Français]]&amp;"//"&amp;Table1[[#This Row],[English]],"")</f>
        <v>2. Obligations à l'égard des communautés, la protection sociale et l’économie locale/régionale//2. Community and social obligations</v>
      </c>
      <c r="H54" s="20" t="str">
        <f t="shared" si="0"/>
        <v/>
      </c>
    </row>
    <row r="55" spans="1:8" ht="149" customHeight="1">
      <c r="A55" s="72" t="s">
        <v>59</v>
      </c>
      <c r="B55" s="64" t="s">
        <v>60</v>
      </c>
      <c r="C55" s="68" t="s">
        <v>884</v>
      </c>
      <c r="D55" s="64" t="s">
        <v>842</v>
      </c>
      <c r="E55" s="64" t="s">
        <v>866</v>
      </c>
      <c r="F55" s="65"/>
      <c r="G55" s="66" t="str">
        <f>IF(OR(Table1[[#This Row],[English]]&lt;&gt;"",Table1[[#This Row],[Français]]&lt;&gt;""),Table1[[#This Row],[Français]]&amp;"//"&amp;Table1[[#This Row],[English]],"")</f>
        <v>Convention de développement local//Local development agreement</v>
      </c>
      <c r="H55" s="67" t="str">
        <f t="shared" si="0"/>
        <v>Industrie de Transformation de Bois doit réaliser les infrastructures socio-économiques et des services sociaux au profit des communautés locales et/ou peuples autochtones riverains contenues: (1) dans le plan de relance dans le cadre d'une conversion; ou (2) dans la proposition technique dans les cas d'une adjudication et définies dans le cahier des charges. Industrie de Transformation de Bois s'engage à mettre en œuvre un plan socio-économique, y compris les infrastructures socio-économiques et services sociaux, pour la période du plan d'aménagement.--Arts. 9(4), 17</v>
      </c>
    </row>
    <row r="56" spans="1:8" ht="111" customHeight="1">
      <c r="A56" s="10" t="s">
        <v>230</v>
      </c>
      <c r="B56" s="10" t="s">
        <v>61</v>
      </c>
      <c r="C56" s="10" t="s">
        <v>843</v>
      </c>
      <c r="D56" s="10" t="s">
        <v>844</v>
      </c>
      <c r="E56" s="10" t="s">
        <v>841</v>
      </c>
      <c r="F56" s="11"/>
      <c r="G56" s="12" t="str">
        <f>IF(OR(Table1[[#This Row],[English]]&lt;&gt;"",Table1[[#This Row],[Français]]&lt;&gt;""),Table1[[#This Row],[Français]]&amp;"//"&amp;Table1[[#This Row],[English]],"")</f>
        <v>Protection des lieux sacrés, des ressources et du milieu de vie//Protection of sacred locations, resources and environment</v>
      </c>
      <c r="H56" s="13" t="str">
        <f t="shared" si="0"/>
        <v>Industrie de Transformation de Bois est tenu de respecter les droits d'usage traditionnels des communautés locales et/ou peuples autochtones riverains de la concession tels que définis aux articles 36, 37 et 44 du code forestier. Il lui est interdit de créer toute entrave à l'exercice par les communautés locales et/ou peuples autochtones riverains des droits d'usage forestiers ainsi reconnus.--Art. 6</v>
      </c>
    </row>
    <row r="57" spans="1:8" ht="300" customHeight="1">
      <c r="A57" s="68" t="s">
        <v>235</v>
      </c>
      <c r="B57" s="64" t="s">
        <v>62</v>
      </c>
      <c r="C57" s="73" t="s">
        <v>880</v>
      </c>
      <c r="D57" s="73" t="s">
        <v>881</v>
      </c>
      <c r="E57" s="73" t="s">
        <v>871</v>
      </c>
      <c r="F57" s="70"/>
      <c r="G57" s="71" t="str">
        <f>IF(OR(Table1[[#This Row],[English]]&lt;&gt;"",Table1[[#This Row],[Français]]&lt;&gt;""),Table1[[#This Row],[Français]]&amp;"//"&amp;Table1[[#This Row],[English]],"")</f>
        <v xml:space="preserve">Consultations communautaires requises//Requirements for community consultation </v>
      </c>
      <c r="H57" s="67" t="str">
        <f t="shared" si="0"/>
        <v>Le tracé de toute route ou de toute voie d'accès ou d'évacuation à partir du territoire de la concession doit être soumis à une consultation avec les communautés locales et/ou peuples autochtones riverains durant la préparation du plan d'aménagement. La préparation du plan de gestion et du plan d'aménagement de la concession donne lieu à une diffusion de toute documentation appropriée auprès des communautés locales et/ou des peuples autochtones riverains et à une consultation régulière avec eux sur les questions intéressant la concession et leurs droits. L'administration peut assister aux séances de consultations. Le plan de gestion indique le calendrier et les modalités de consultation avec les communautés locales et/ou peuples autochtones sur le contenu et les modalités de réalisation du plan socio-économique y compris les infrastructures en leur faveur pour la durée de la concession. Pendant la période de préparation du plan d'aménagement, Industrie de Transformation de Bois doit consulter les communautés locales et/ou peuples autochtones riverains sur le plan socio-économique et les infrastructures qui feront l'objet du cahier des charges définitif qui sera annexé au plan d'aménagement.--Arts. 7, 10, 10(3), 17</v>
      </c>
    </row>
    <row r="58" spans="1:8" ht="24" customHeight="1">
      <c r="A58" s="10" t="s">
        <v>236</v>
      </c>
      <c r="B58" s="10" t="s">
        <v>63</v>
      </c>
      <c r="C58" s="176"/>
      <c r="D58" s="175"/>
      <c r="E58" s="175"/>
      <c r="F58" s="22"/>
      <c r="G58" s="23" t="str">
        <f>IF(OR(Table1[[#This Row],[English]]&lt;&gt;"",Table1[[#This Row],[Français]]&lt;&gt;""),Table1[[#This Row],[Français]]&amp;"//"&amp;Table1[[#This Row],[English]],"")</f>
        <v>Obligations liées a la formation des cadres locaux//Management training requirement for nationals</v>
      </c>
      <c r="H58" s="13" t="str">
        <f t="shared" si="0"/>
        <v/>
      </c>
    </row>
    <row r="59" spans="1:8" ht="87" customHeight="1">
      <c r="A59" s="68" t="s">
        <v>231</v>
      </c>
      <c r="B59" s="64" t="s">
        <v>64</v>
      </c>
      <c r="C59" s="174"/>
      <c r="D59" s="148"/>
      <c r="E59" s="148"/>
      <c r="F59" s="70"/>
      <c r="G59" s="71" t="str">
        <f>IF(OR(Table1[[#This Row],[English]]&lt;&gt;"",Table1[[#This Row],[Français]]&lt;&gt;""),Table1[[#This Row],[Français]]&amp;"//"&amp;Table1[[#This Row],[English]],"")</f>
        <v>Obligations liées à l'emploi du personnel local//Local employment requirements</v>
      </c>
      <c r="H59" s="67" t="str">
        <f t="shared" si="0"/>
        <v/>
      </c>
    </row>
    <row r="60" spans="1:8" ht="164" customHeight="1">
      <c r="A60" s="68" t="s">
        <v>233</v>
      </c>
      <c r="B60" s="64" t="s">
        <v>65</v>
      </c>
      <c r="C60" s="174"/>
      <c r="D60" s="148"/>
      <c r="E60" s="148"/>
      <c r="F60" s="70"/>
      <c r="G60" s="71" t="str">
        <f>IF(OR(Table1[[#This Row],[English]]&lt;&gt;"",Table1[[#This Row],[Français]]&lt;&gt;""),Table1[[#This Row],[Français]]&amp;"//"&amp;Table1[[#This Row],[English]],"")</f>
        <v>Obligations liées a l'approvisionnement en biens et services locaux//Local procurement requirements</v>
      </c>
      <c r="H60" s="67" t="str">
        <f t="shared" si="0"/>
        <v/>
      </c>
    </row>
    <row r="61" spans="1:8">
      <c r="A61" s="10" t="s">
        <v>66</v>
      </c>
      <c r="B61" s="10" t="s">
        <v>67</v>
      </c>
      <c r="C61" s="176"/>
      <c r="D61" s="175"/>
      <c r="E61" s="175"/>
      <c r="F61" s="22"/>
      <c r="G61" s="23" t="str">
        <f>IF(OR(Table1[[#This Row],[English]]&lt;&gt;"",Table1[[#This Row],[Français]]&lt;&gt;""),Table1[[#This Row],[Français]]&amp;"//"&amp;Table1[[#This Row],[English]],"")</f>
        <v>Assurance//Insurance</v>
      </c>
      <c r="H61" s="13" t="str">
        <f t="shared" si="0"/>
        <v/>
      </c>
    </row>
    <row r="62" spans="1:8" ht="20.25" customHeight="1">
      <c r="A62" s="73" t="s">
        <v>207</v>
      </c>
      <c r="B62" s="73" t="s">
        <v>208</v>
      </c>
      <c r="C62" s="174"/>
      <c r="D62" s="148"/>
      <c r="E62" s="148"/>
      <c r="F62" s="74"/>
      <c r="G62" s="75" t="str">
        <f>IF(OR(Table1[[#This Row],[English]]&lt;&gt;"",Table1[[#This Row],[Français]]&lt;&gt;""),Table1[[#This Row],[Français]]&amp;"//"&amp;Table1[[#This Row],[English]],"")</f>
        <v>Réinstallation des habitants//Resettlement</v>
      </c>
      <c r="H62" s="76" t="str">
        <f t="shared" si="0"/>
        <v/>
      </c>
    </row>
    <row r="63" spans="1:8" ht="34.5" customHeight="1">
      <c r="A63" s="129" t="s">
        <v>232</v>
      </c>
      <c r="B63" s="129" t="s">
        <v>223</v>
      </c>
      <c r="C63" s="185"/>
      <c r="D63" s="186"/>
      <c r="E63" s="186"/>
      <c r="F63" s="130"/>
      <c r="G63" s="131" t="str">
        <f>IF(OR(Table1[[#This Row],[English]]&lt;&gt;"",Table1[[#This Row],[Français]]&lt;&gt;""),Table1[[#This Row],[Français]]&amp;"//"&amp;Table1[[#This Row],[English]],"")</f>
        <v>Programme de sous-traitance  avec les petits planteurs (détails, des terres supplémentaires fournis, etc)//Outgrowers Program (details, additional land provided, etc)</v>
      </c>
      <c r="H63" s="132" t="str">
        <f t="shared" ref="H63:H66" si="1">IF(C63&lt;&gt;"",IF(D63&lt;&gt;"",C63&amp;"--"&amp;D63,C63),"")</f>
        <v/>
      </c>
    </row>
    <row r="64" spans="1:8" ht="64" customHeight="1">
      <c r="A64" s="121" t="s">
        <v>185</v>
      </c>
      <c r="B64" s="10" t="s">
        <v>184</v>
      </c>
      <c r="C64" s="176"/>
      <c r="D64" s="175"/>
      <c r="E64" s="175"/>
      <c r="F64" s="22"/>
      <c r="G64" s="107" t="str">
        <f>IF(OR(Table1[[#This Row],[English]]&lt;&gt;"",Table1[[#This Row],[Français]]&lt;&gt;""),Table1[[#This Row],[Français]]&amp;"//"&amp;Table1[[#This Row],[English]],"")</f>
        <v>Obligations concernant les travailleurs ou les habitants dans ou près des concessions en ce qui concerne la santé et la sécurité au travail, l'accès à l'eau potable, le logement, les soins médicaux ou l'éducation//Requirements regarding workers or farm/concession dwellers within concession areas or in nearby communities in respect of occupational health and safety, access to clean water, housing, medical care, or education</v>
      </c>
      <c r="H64" s="51" t="str">
        <f t="shared" si="1"/>
        <v/>
      </c>
    </row>
    <row r="65" spans="1:8" ht="53" customHeight="1">
      <c r="A65" s="80" t="s">
        <v>187</v>
      </c>
      <c r="B65" s="79" t="s">
        <v>186</v>
      </c>
      <c r="C65" s="187"/>
      <c r="D65" s="148"/>
      <c r="E65" s="148"/>
      <c r="F65" s="74"/>
      <c r="G65" s="77" t="str">
        <f>IF(OR(Table1[[#This Row],[English]]&lt;&gt;"",Table1[[#This Row],[Français]]&lt;&gt;""),Table1[[#This Row],[Français]]&amp;"//"&amp;Table1[[#This Row],[English]],"")</f>
        <v>La sécurité physique, la protection de la propriété, et / ou l'utilisation des gardes//Physical security, protection of property, and/or use of guards</v>
      </c>
      <c r="H65" s="78" t="str">
        <f t="shared" si="1"/>
        <v/>
      </c>
    </row>
    <row r="66" spans="1:8" ht="34" customHeight="1">
      <c r="A66" s="141" t="s">
        <v>189</v>
      </c>
      <c r="B66" s="142" t="s">
        <v>190</v>
      </c>
      <c r="C66" s="188"/>
      <c r="D66" s="149"/>
      <c r="E66" s="189"/>
      <c r="F66" s="143"/>
      <c r="G66" s="144" t="str">
        <f>IF(OR(Table1[[#This Row],[English]]&lt;&gt;"",Table1[[#This Row],[Français]]&lt;&gt;""),Table1[[#This Row],[Français]]&amp;"//"&amp;Table1[[#This Row],[English]],"")</f>
        <v>Mécanismes de réclamation pour les parties non contractantes//Grievance mechanisms for non-contractual harms to non-contracting parties</v>
      </c>
      <c r="H66" s="145" t="str">
        <f t="shared" si="1"/>
        <v/>
      </c>
    </row>
    <row r="67" spans="1:8" ht="61.5" customHeight="1">
      <c r="A67" s="120" t="s">
        <v>216</v>
      </c>
      <c r="B67" s="116" t="s">
        <v>215</v>
      </c>
      <c r="C67" s="184"/>
      <c r="D67" s="175"/>
      <c r="E67" s="175"/>
      <c r="F67" s="122"/>
      <c r="G67" s="123" t="str">
        <f>IF(OR(Table1[[#This Row],[English]]&lt;&gt;"",Table1[[#This Row],[Français]]&lt;&gt;""),Table1[[#This Row],[Français]]&amp;"//"&amp;Table1[[#This Row],[English]],"")</f>
        <v xml:space="preserve">Droits d'accès/utilisation à la zone de concession pour les parties non contractantes qui utilisaient la terre au préalable (y compris l'agriculture indépendante autorisée dans la zone de concession)//Rights of non-contracting parties to access/use concession area (including permitted independent farming in concession area) </v>
      </c>
      <c r="H67" s="124" t="str">
        <f>IF(C67&lt;&gt;"",IF(D67&lt;&gt;"",C67&amp;"--"&amp;D67,C67),"")</f>
        <v/>
      </c>
    </row>
    <row r="68" spans="1:8" ht="30">
      <c r="A68" s="80" t="s">
        <v>176</v>
      </c>
      <c r="B68" s="79" t="s">
        <v>174</v>
      </c>
      <c r="C68" s="174"/>
      <c r="D68" s="148"/>
      <c r="E68" s="148"/>
      <c r="F68" s="70"/>
      <c r="G68" s="71" t="str">
        <f>IF(OR(Table1[[#This Row],[English]]&lt;&gt;"",Table1[[#This Row],[Français]]&lt;&gt;""),Table1[[#This Row],[Français]]&amp;"//"&amp;Table1[[#This Row],[English]],"")</f>
        <v>Autre - [le nom de catégorie]//Other - [Name of Category]</v>
      </c>
      <c r="H68" s="67" t="str">
        <f t="shared" si="0"/>
        <v/>
      </c>
    </row>
    <row r="69" spans="1:8">
      <c r="A69" s="24"/>
      <c r="B69" s="24"/>
      <c r="C69" s="176"/>
      <c r="D69" s="175"/>
      <c r="E69" s="175"/>
      <c r="F69" s="15"/>
      <c r="G69" s="16" t="str">
        <f>IF(OR(Table1[[#This Row],[English]]&lt;&gt;"",Table1[[#This Row],[Français]]&lt;&gt;""),Table1[[#This Row],[Français]]&amp;"//"&amp;Table1[[#This Row],[English]],"")</f>
        <v/>
      </c>
      <c r="H69" s="25" t="str">
        <f t="shared" si="0"/>
        <v/>
      </c>
    </row>
    <row r="70" spans="1:8" ht="29" customHeight="1">
      <c r="A70" s="60" t="s">
        <v>68</v>
      </c>
      <c r="B70" s="26" t="s">
        <v>69</v>
      </c>
      <c r="C70" s="179"/>
      <c r="D70" s="180"/>
      <c r="E70" s="180"/>
      <c r="F70" s="18"/>
      <c r="G70" s="19" t="str">
        <f>IF(OR(Table1[[#This Row],[English]]&lt;&gt;"",Table1[[#This Row],[Français]]&lt;&gt;""),Table1[[#This Row],[Français]]&amp;"//"&amp;Table1[[#This Row],[English]],"")</f>
        <v>3. Obligations financières du détenteur du titre//3. Developer's financial obligations</v>
      </c>
      <c r="H70" s="20" t="str">
        <f t="shared" si="0"/>
        <v/>
      </c>
    </row>
    <row r="71" spans="1:8" ht="70" customHeight="1">
      <c r="A71" s="81" t="s">
        <v>70</v>
      </c>
      <c r="B71" s="82" t="s">
        <v>71</v>
      </c>
      <c r="C71" s="190"/>
      <c r="D71" s="190"/>
      <c r="E71" s="190"/>
      <c r="F71" s="83"/>
      <c r="G71" s="84" t="str">
        <f>IF(OR(Table1[[#This Row],[English]]&lt;&gt;"",Table1[[#This Row],[Français]]&lt;&gt;""),Table1[[#This Row],[Français]]&amp;"//"&amp;Table1[[#This Row],[English]],"")</f>
        <v>Taxe minière / redevance//Mining tax / royalty tax</v>
      </c>
      <c r="H71" s="85" t="str">
        <f t="shared" si="0"/>
        <v/>
      </c>
    </row>
    <row r="72" spans="1:8" ht="131" customHeight="1">
      <c r="A72" s="81" t="s">
        <v>72</v>
      </c>
      <c r="B72" s="82" t="s">
        <v>73</v>
      </c>
      <c r="C72" s="191"/>
      <c r="D72" s="190"/>
      <c r="E72" s="190"/>
      <c r="F72" s="83"/>
      <c r="G72" s="84" t="str">
        <f>IF(OR(Table1[[#This Row],[English]]&lt;&gt;"",Table1[[#This Row],[Français]]&lt;&gt;""),Table1[[#This Row],[Français]]&amp;"//"&amp;Table1[[#This Row],[English]],"")</f>
        <v>Impôt sur les bénéfices: taux//Income tax: rate</v>
      </c>
      <c r="H72" s="85" t="str">
        <f t="shared" si="0"/>
        <v/>
      </c>
    </row>
    <row r="73" spans="1:8">
      <c r="A73" s="82" t="s">
        <v>224</v>
      </c>
      <c r="B73" s="82" t="s">
        <v>74</v>
      </c>
      <c r="C73" s="191"/>
      <c r="D73" s="190"/>
      <c r="E73" s="190"/>
      <c r="F73" s="83"/>
      <c r="G73" s="84" t="str">
        <f>IF(OR(Table1[[#This Row],[English]]&lt;&gt;"",Table1[[#This Row],[Français]]&lt;&gt;""),Table1[[#This Row],[Français]]&amp;"//"&amp;Table1[[#This Row],[English]],"")</f>
        <v>Impôt sur les bénéfices: exonération//Income tax: exemptions</v>
      </c>
      <c r="H73" s="85" t="str">
        <f t="shared" si="0"/>
        <v/>
      </c>
    </row>
    <row r="74" spans="1:8" ht="45">
      <c r="A74" s="82" t="s">
        <v>225</v>
      </c>
      <c r="B74" s="82" t="s">
        <v>75</v>
      </c>
      <c r="C74" s="191"/>
      <c r="D74" s="190"/>
      <c r="E74" s="190"/>
      <c r="F74" s="83"/>
      <c r="G74" s="84" t="str">
        <f>IF(OR(Table1[[#This Row],[English]]&lt;&gt;"",Table1[[#This Row],[Français]]&lt;&gt;""),Table1[[#This Row],[Français]]&amp;"//"&amp;Table1[[#This Row],[English]],"")</f>
        <v>Autre aspects de l'impôt sur les bénéfices: (l’amortissement, déductibilité des frais financiers, report des pertes, cloisonnement)//Other income tax features (amortization, deductibility of expenses, loss carry forward, ring-fencing)</v>
      </c>
      <c r="H74" s="85" t="str">
        <f t="shared" si="0"/>
        <v/>
      </c>
    </row>
    <row r="75" spans="1:8" ht="180" customHeight="1">
      <c r="A75" s="103" t="s">
        <v>199</v>
      </c>
      <c r="B75" s="103" t="s">
        <v>76</v>
      </c>
      <c r="C75" s="192"/>
      <c r="D75" s="193"/>
      <c r="E75" s="193"/>
      <c r="F75" s="104"/>
      <c r="G75" s="105" t="str">
        <f>IF(OR(Table1[[#This Row],[English]]&lt;&gt;"",Table1[[#This Row],[Français]]&lt;&gt;""),Table1[[#This Row],[Français]]&amp;"//"&amp;Table1[[#This Row],[English]],"")</f>
        <v>Partage de production - Eléments de "Cost Oil" (base de calcul, limites sur le recouvrement des coûts, e.g. comme % des revenues ou de la production, crédit d'investissement, etc.)//Production Share - "Cost Oil" features  (basis of calculation, limits on cost recovery - e.g. as % of revenue or production, capex uplift, etc.)</v>
      </c>
      <c r="H75" s="106" t="str">
        <f>IF(C75&lt;&gt;"",IF(D75&lt;&gt;"",C75&amp;"--"&amp;D75,C75),"")</f>
        <v/>
      </c>
    </row>
    <row r="76" spans="1:8" ht="323" customHeight="1">
      <c r="A76" s="103" t="s">
        <v>200</v>
      </c>
      <c r="B76" s="103" t="s">
        <v>77</v>
      </c>
      <c r="C76" s="192"/>
      <c r="D76" s="193"/>
      <c r="E76" s="193"/>
      <c r="F76" s="104"/>
      <c r="G76" s="105" t="str">
        <f>IF(OR(Table1[[#This Row],[English]]&lt;&gt;"",Table1[[#This Row],[Français]]&lt;&gt;""),Table1[[#This Row],[Français]]&amp;"//"&amp;Table1[[#This Row],[English]],"")</f>
        <v>Partage de production - Eléments de "Profit Oil" (critères pour la modification du partage, - TRI, facteur "r", niveau de production, etc.)//Production Share - "Profit Oil" features  (triggers for variations in split - IRR, "r" factor, production, etc.)</v>
      </c>
      <c r="H76" s="106" t="str">
        <f>IF(C76&lt;&gt;"",IF(D76&lt;&gt;"",C76&amp;"--"&amp;D76,C76),"")</f>
        <v/>
      </c>
    </row>
    <row r="77" spans="1:8" ht="30">
      <c r="A77" s="103" t="s">
        <v>234</v>
      </c>
      <c r="B77" s="103" t="s">
        <v>78</v>
      </c>
      <c r="C77" s="192"/>
      <c r="D77" s="193"/>
      <c r="E77" s="193"/>
      <c r="F77" s="104"/>
      <c r="G77" s="105" t="str">
        <f>IF(OR(Table1[[#This Row],[English]]&lt;&gt;"",Table1[[#This Row],[Français]]&lt;&gt;""),Table1[[#This Row],[Français]]&amp;"//"&amp;Table1[[#This Row],[English]],"")</f>
        <v>Contrat de Service - Frais du détenteur du titre défrayés  (base de calcul)//Service Agreement - Fee to developer / contractor (basis for calculation)</v>
      </c>
      <c r="H77" s="106" t="str">
        <f>IF(C77&lt;&gt;"",IF(D77&lt;&gt;"",C77&amp;"--"&amp;D77,C77),"")</f>
        <v/>
      </c>
    </row>
    <row r="78" spans="1:8" ht="26" customHeight="1">
      <c r="A78" s="86" t="s">
        <v>237</v>
      </c>
      <c r="B78" s="86" t="s">
        <v>79</v>
      </c>
      <c r="C78" s="187"/>
      <c r="D78" s="190"/>
      <c r="E78" s="190"/>
      <c r="F78" s="87"/>
      <c r="G78" s="88" t="str">
        <f>IF(OR(Table1[[#This Row],[English]]&lt;&gt;"",Table1[[#This Row],[Français]]&lt;&gt;""),Table1[[#This Row],[Français]]&amp;"//"&amp;Table1[[#This Row],[English]],"")</f>
        <v>Impôt sur les Revenus des Valeurs Mobilières (IRVM)//Capital gains tax</v>
      </c>
      <c r="H78" s="89" t="str">
        <f t="shared" si="0"/>
        <v/>
      </c>
    </row>
    <row r="79" spans="1:8" ht="26" customHeight="1">
      <c r="A79" s="125" t="s">
        <v>202</v>
      </c>
      <c r="B79" s="125" t="s">
        <v>209</v>
      </c>
      <c r="C79" s="184"/>
      <c r="D79" s="194"/>
      <c r="E79" s="194"/>
      <c r="F79" s="126"/>
      <c r="G79" s="127" t="str">
        <f>IF(OR(Table1[[#This Row],[English]]&lt;&gt;"",Table1[[#This Row],[Français]]&lt;&gt;""),Table1[[#This Row],[Français]]&amp;"//"&amp;Table1[[#This Row],[English]],"")</f>
        <v>Retenue à la source sur les intérêts et/ou dividendes//Withholding tax on payment of interest and/or dividends</v>
      </c>
      <c r="H79" s="128" t="str">
        <f>IF(C79&lt;&gt;"",IF(D79&lt;&gt;"",C79&amp;"--"&amp;D79,C79),"")</f>
        <v/>
      </c>
    </row>
    <row r="80" spans="1:8">
      <c r="A80" s="27" t="s">
        <v>80</v>
      </c>
      <c r="B80" s="27" t="s">
        <v>81</v>
      </c>
      <c r="C80" s="176"/>
      <c r="D80" s="175"/>
      <c r="E80" s="175"/>
      <c r="F80" s="29"/>
      <c r="G80" s="30" t="str">
        <f>IF(OR(Table1[[#This Row],[English]]&lt;&gt;"",Table1[[#This Row],[Français]]&lt;&gt;""),Table1[[#This Row],[Français]]&amp;"//"&amp;Table1[[#This Row],[English]],"")</f>
        <v>Retenue à la source sur les salaires des nationaux//Witholding tax on national salaries</v>
      </c>
      <c r="H80" s="32" t="str">
        <f t="shared" si="0"/>
        <v/>
      </c>
    </row>
    <row r="81" spans="1:8">
      <c r="A81" s="27" t="s">
        <v>82</v>
      </c>
      <c r="B81" s="27" t="s">
        <v>83</v>
      </c>
      <c r="C81" s="195"/>
      <c r="D81" s="175"/>
      <c r="E81" s="175"/>
      <c r="F81" s="29"/>
      <c r="G81" s="30" t="str">
        <f>IF(OR(Table1[[#This Row],[English]]&lt;&gt;"",Table1[[#This Row],[Français]]&lt;&gt;""),Table1[[#This Row],[Français]]&amp;"//"&amp;Table1[[#This Row],[English]],"")</f>
        <v>Retenue à la source sur les salaires des expatriés//Witholding tax on expatriate salaries</v>
      </c>
      <c r="H81" s="32" t="str">
        <f t="shared" si="0"/>
        <v/>
      </c>
    </row>
    <row r="82" spans="1:8" ht="30">
      <c r="A82" s="27" t="s">
        <v>84</v>
      </c>
      <c r="B82" s="27" t="s">
        <v>85</v>
      </c>
      <c r="C82" s="195"/>
      <c r="D82" s="194"/>
      <c r="E82" s="194"/>
      <c r="F82" s="29"/>
      <c r="G82" s="30" t="str">
        <f>IF(OR(Table1[[#This Row],[English]]&lt;&gt;"",Table1[[#This Row],[Français]]&lt;&gt;""),Table1[[#This Row],[Français]]&amp;"//"&amp;Table1[[#This Row],[English]],"")</f>
        <v>Retenue à la source sur les prestations de service par des entreprises non résidentes//Witholding tax on services of non-resident companies</v>
      </c>
      <c r="H82" s="31" t="str">
        <f t="shared" si="0"/>
        <v/>
      </c>
    </row>
    <row r="83" spans="1:8">
      <c r="A83" s="125" t="s">
        <v>86</v>
      </c>
      <c r="B83" s="27" t="s">
        <v>87</v>
      </c>
      <c r="C83" s="195"/>
      <c r="D83" s="194"/>
      <c r="E83" s="194"/>
      <c r="F83" s="29"/>
      <c r="G83" s="30" t="str">
        <f>IF(OR(Table1[[#This Row],[English]]&lt;&gt;"",Table1[[#This Row],[Français]]&lt;&gt;""),Table1[[#This Row],[Français]]&amp;"//"&amp;Table1[[#This Row],[English]],"")</f>
        <v>Retenue à la source sur les loyers des immeubles//Witholding tax on rent</v>
      </c>
      <c r="H83" s="31" t="str">
        <f t="shared" si="0"/>
        <v/>
      </c>
    </row>
    <row r="84" spans="1:8">
      <c r="A84" s="27" t="s">
        <v>88</v>
      </c>
      <c r="B84" s="27" t="s">
        <v>89</v>
      </c>
      <c r="C84" s="196"/>
      <c r="D84" s="194"/>
      <c r="E84" s="194"/>
      <c r="F84" s="29"/>
      <c r="G84" s="30" t="str">
        <f>IF(OR(Table1[[#This Row],[English]]&lt;&gt;"",Table1[[#This Row],[Français]]&lt;&gt;""),Table1[[#This Row],[Français]]&amp;"//"&amp;Table1[[#This Row],[English]],"")</f>
        <v>Déductibilité des frais financiers//Deductibility of expenses</v>
      </c>
      <c r="H84" s="31" t="str">
        <f t="shared" si="0"/>
        <v/>
      </c>
    </row>
    <row r="85" spans="1:8">
      <c r="A85" s="33" t="s">
        <v>90</v>
      </c>
      <c r="B85" s="27" t="s">
        <v>91</v>
      </c>
      <c r="C85" s="196"/>
      <c r="D85" s="194"/>
      <c r="E85" s="194"/>
      <c r="F85" s="29"/>
      <c r="G85" s="30" t="str">
        <f>IF(OR(Table1[[#This Row],[English]]&lt;&gt;"",Table1[[#This Row],[Français]]&lt;&gt;""),Table1[[#This Row],[Français]]&amp;"//"&amp;Table1[[#This Row],[English]],"")</f>
        <v>Méthode d’évaluation de prix //Method for evaluating price</v>
      </c>
      <c r="H85" s="31" t="str">
        <f t="shared" si="0"/>
        <v/>
      </c>
    </row>
    <row r="86" spans="1:8">
      <c r="A86" s="27" t="s">
        <v>92</v>
      </c>
      <c r="B86" s="27" t="s">
        <v>93</v>
      </c>
      <c r="C86" s="196"/>
      <c r="D86" s="194"/>
      <c r="E86" s="194"/>
      <c r="F86" s="29"/>
      <c r="G86" s="30" t="str">
        <f>IF(OR(Table1[[#This Row],[English]]&lt;&gt;"",Table1[[#This Row],[Français]]&lt;&gt;""),Table1[[#This Row],[Français]]&amp;"//"&amp;Table1[[#This Row],[English]],"")</f>
        <v>Provision pour la reconstitution des gisements//Provisions for renewing reserves</v>
      </c>
      <c r="H86" s="31" t="str">
        <f t="shared" si="0"/>
        <v/>
      </c>
    </row>
    <row r="87" spans="1:8">
      <c r="A87" s="27" t="s">
        <v>94</v>
      </c>
      <c r="B87" s="27" t="s">
        <v>95</v>
      </c>
      <c r="C87" s="196"/>
      <c r="D87" s="194"/>
      <c r="E87" s="194"/>
      <c r="F87" s="29"/>
      <c r="G87" s="30" t="str">
        <f>IF(OR(Table1[[#This Row],[English]]&lt;&gt;"",Table1[[#This Row],[Français]]&lt;&gt;""),Table1[[#This Row],[Français]]&amp;"//"&amp;Table1[[#This Row],[English]],"")</f>
        <v>Crédit d'investissement//Investment credit</v>
      </c>
      <c r="H87" s="31" t="str">
        <f t="shared" si="0"/>
        <v/>
      </c>
    </row>
    <row r="88" spans="1:8" ht="17.25" customHeight="1">
      <c r="A88" s="27" t="s">
        <v>96</v>
      </c>
      <c r="B88" s="27" t="s">
        <v>97</v>
      </c>
      <c r="C88" s="196"/>
      <c r="D88" s="194"/>
      <c r="E88" s="194"/>
      <c r="F88" s="29"/>
      <c r="G88" s="30" t="str">
        <f>IF(OR(Table1[[#This Row],[English]]&lt;&gt;"",Table1[[#This Row],[Français]]&lt;&gt;""),Table1[[#This Row],[Français]]&amp;"//"&amp;Table1[[#This Row],[English]],"")</f>
        <v>Droits de douane en phase de recherche//Custom duties during exploration phase</v>
      </c>
      <c r="H88" s="31" t="str">
        <f t="shared" si="0"/>
        <v/>
      </c>
    </row>
    <row r="89" spans="1:8">
      <c r="A89" s="27" t="s">
        <v>98</v>
      </c>
      <c r="B89" s="27" t="s">
        <v>99</v>
      </c>
      <c r="C89" s="196"/>
      <c r="D89" s="194"/>
      <c r="E89" s="194"/>
      <c r="F89" s="29"/>
      <c r="G89" s="30" t="str">
        <f>IF(OR(Table1[[#This Row],[English]]&lt;&gt;"",Table1[[#This Row],[Français]]&lt;&gt;""),Table1[[#This Row],[Français]]&amp;"//"&amp;Table1[[#This Row],[English]],"")</f>
        <v>Droits de douane en phase de construction//Custom duties during construction phase</v>
      </c>
      <c r="H89" s="31" t="str">
        <f t="shared" si="0"/>
        <v/>
      </c>
    </row>
    <row r="90" spans="1:8">
      <c r="A90" s="27" t="s">
        <v>100</v>
      </c>
      <c r="B90" s="27" t="s">
        <v>219</v>
      </c>
      <c r="C90" s="196"/>
      <c r="D90" s="194"/>
      <c r="E90" s="194"/>
      <c r="F90" s="29"/>
      <c r="G90" s="30" t="str">
        <f>IF(OR(Table1[[#This Row],[English]]&lt;&gt;"",Table1[[#This Row],[Français]]&lt;&gt;""),Table1[[#This Row],[Français]]&amp;"//"&amp;Table1[[#This Row],[English]],"")</f>
        <v>Droits de douane en phase d'exploitation//Custum duties during operation phase</v>
      </c>
      <c r="H90" s="31" t="str">
        <f t="shared" si="0"/>
        <v/>
      </c>
    </row>
    <row r="91" spans="1:8">
      <c r="A91" s="27" t="s">
        <v>101</v>
      </c>
      <c r="B91" s="27" t="s">
        <v>102</v>
      </c>
      <c r="C91" s="196"/>
      <c r="D91" s="194"/>
      <c r="E91" s="194"/>
      <c r="F91" s="29"/>
      <c r="G91" s="30" t="str">
        <f>IF(OR(Table1[[#This Row],[English]]&lt;&gt;"",Table1[[#This Row],[Français]]&lt;&gt;""),Table1[[#This Row],[Français]]&amp;"//"&amp;Table1[[#This Row],[English]],"")</f>
        <v>Droits de douane pour le matériel de traitement//Custom duties on processing equipment</v>
      </c>
      <c r="H91" s="31" t="str">
        <f t="shared" si="0"/>
        <v/>
      </c>
    </row>
    <row r="92" spans="1:8">
      <c r="A92" s="27" t="s">
        <v>103</v>
      </c>
      <c r="B92" s="27" t="s">
        <v>104</v>
      </c>
      <c r="C92" s="196"/>
      <c r="D92" s="194"/>
      <c r="E92" s="194"/>
      <c r="F92" s="29"/>
      <c r="G92" s="30" t="str">
        <f>IF(OR(Table1[[#This Row],[English]]&lt;&gt;"",Table1[[#This Row],[Français]]&lt;&gt;""),Table1[[#This Row],[Français]]&amp;"//"&amp;Table1[[#This Row],[English]],"")</f>
        <v>Droits de douane pour le matériel de transformation//Custom duties on transformation equipment</v>
      </c>
      <c r="H92" s="31" t="str">
        <f t="shared" si="0"/>
        <v/>
      </c>
    </row>
    <row r="93" spans="1:8">
      <c r="A93" s="27" t="s">
        <v>105</v>
      </c>
      <c r="B93" s="27" t="s">
        <v>106</v>
      </c>
      <c r="C93" s="196"/>
      <c r="D93" s="194"/>
      <c r="E93" s="194"/>
      <c r="F93" s="29"/>
      <c r="G93" s="30" t="str">
        <f>IF(OR(Table1[[#This Row],[English]]&lt;&gt;"",Table1[[#This Row],[Français]]&lt;&gt;""),Table1[[#This Row],[Français]]&amp;"//"&amp;Table1[[#This Row],[English]],"")</f>
        <v>Droits de douane pour le matériel de transport//Custom duties on transportation equipment</v>
      </c>
      <c r="H93" s="31" t="str">
        <f t="shared" si="0"/>
        <v/>
      </c>
    </row>
    <row r="94" spans="1:8">
      <c r="A94" s="27" t="s">
        <v>107</v>
      </c>
      <c r="B94" s="27" t="s">
        <v>108</v>
      </c>
      <c r="C94" s="196"/>
      <c r="D94" s="194"/>
      <c r="E94" s="194"/>
      <c r="F94" s="29"/>
      <c r="G94" s="30" t="str">
        <f>IF(OR(Table1[[#This Row],[English]]&lt;&gt;"",Table1[[#This Row],[Français]]&lt;&gt;""),Table1[[#This Row],[Français]]&amp;"//"&amp;Table1[[#This Row],[English]],"")</f>
        <v>TVA//VAT</v>
      </c>
      <c r="H94" s="31" t="str">
        <f t="shared" si="0"/>
        <v/>
      </c>
    </row>
    <row r="95" spans="1:8" ht="50" customHeight="1">
      <c r="A95" s="27" t="s">
        <v>109</v>
      </c>
      <c r="B95" s="27" t="s">
        <v>110</v>
      </c>
      <c r="C95" s="196"/>
      <c r="D95" s="194"/>
      <c r="E95" s="194"/>
      <c r="F95" s="29"/>
      <c r="G95" s="30" t="str">
        <f>IF(OR(Table1[[#This Row],[English]]&lt;&gt;"",Table1[[#This Row],[Français]]&lt;&gt;""),Table1[[#This Row],[Français]]&amp;"//"&amp;Table1[[#This Row],[English]],"")</f>
        <v xml:space="preserve">Droits fixes d'octroi et de renouvellement des permis//Fixed fee for grant and renewal of license  </v>
      </c>
      <c r="H95" s="31" t="str">
        <f t="shared" si="0"/>
        <v/>
      </c>
    </row>
    <row r="96" spans="1:8">
      <c r="A96" s="27" t="s">
        <v>111</v>
      </c>
      <c r="B96" s="27" t="s">
        <v>112</v>
      </c>
      <c r="C96" s="196"/>
      <c r="D96" s="194"/>
      <c r="E96" s="194"/>
      <c r="F96" s="29"/>
      <c r="G96" s="30" t="str">
        <f>IF(OR(Table1[[#This Row],[English]]&lt;&gt;"",Table1[[#This Row],[Français]]&lt;&gt;""),Table1[[#This Row],[Français]]&amp;"//"&amp;Table1[[#This Row],[English]],"")</f>
        <v>Part patronale des cotisations de sécurité sociale//Social security contributions by employer</v>
      </c>
      <c r="H96" s="31" t="str">
        <f t="shared" ref="H96:H144" si="2">IF(C96&lt;&gt;"",IF(D96&lt;&gt;"",C96&amp;"--"&amp;D96,C96),"")</f>
        <v/>
      </c>
    </row>
    <row r="97" spans="1:8" ht="115" customHeight="1">
      <c r="A97" s="125" t="s">
        <v>113</v>
      </c>
      <c r="B97" s="125" t="s">
        <v>114</v>
      </c>
      <c r="C97" s="27" t="s">
        <v>882</v>
      </c>
      <c r="D97" s="27" t="s">
        <v>883</v>
      </c>
      <c r="E97" s="27" t="s">
        <v>872</v>
      </c>
      <c r="F97" s="126"/>
      <c r="G97" s="127" t="str">
        <f>IF(OR(Table1[[#This Row],[English]]&lt;&gt;"",Table1[[#This Row],[Français]]&lt;&gt;""),Table1[[#This Row],[Français]]&amp;"//"&amp;Table1[[#This Row],[English]],"")</f>
        <v>Redevances superficiaires//Surface fees</v>
      </c>
      <c r="H97" s="128" t="str">
        <f t="shared" si="2"/>
        <v>Industrie de Transformation de Bois doit payer la redevance de superficie forestière et toutes autres taxes et redevances en vigueur liées a l'exploitation de la concession, dans les délais prescrits par la réglementation fiscale.--Arts. 9(6), 19bis</v>
      </c>
    </row>
    <row r="98" spans="1:8">
      <c r="A98" s="27" t="s">
        <v>115</v>
      </c>
      <c r="B98" s="27" t="s">
        <v>116</v>
      </c>
      <c r="C98" s="196"/>
      <c r="D98" s="194"/>
      <c r="E98" s="194"/>
      <c r="F98" s="29"/>
      <c r="G98" s="30" t="str">
        <f>IF(OR(Table1[[#This Row],[English]]&lt;&gt;"",Table1[[#This Row],[Français]]&lt;&gt;""),Table1[[#This Row],[Français]]&amp;"//"&amp;Table1[[#This Row],[English]],"")</f>
        <v>Obligations communautaires ou sous-nationales//Community and regional obligations</v>
      </c>
      <c r="H98" s="31" t="str">
        <f t="shared" si="2"/>
        <v/>
      </c>
    </row>
    <row r="99" spans="1:8" ht="29" customHeight="1">
      <c r="A99" s="27" t="s">
        <v>198</v>
      </c>
      <c r="B99" s="27" t="s">
        <v>170</v>
      </c>
      <c r="C99" s="184"/>
      <c r="D99" s="175"/>
      <c r="E99" s="194"/>
      <c r="F99" s="29"/>
      <c r="G99" s="52" t="str">
        <f>IF(OR(Table1[[#This Row],[English]]&lt;&gt;"",Table1[[#This Row],[Français]]&lt;&gt;""),Table1[[#This Row],[Français]]&amp;"//"&amp;Table1[[#This Row],[English]],"")</f>
        <v>Crédits de carbone//Carbon credits</v>
      </c>
      <c r="H99" s="53" t="str">
        <f>IF(C99&lt;&gt;"",IF(D99&lt;&gt;"",C99&amp;"--"&amp;D99,C99),"")</f>
        <v/>
      </c>
    </row>
    <row r="100" spans="1:8">
      <c r="A100" s="82" t="s">
        <v>117</v>
      </c>
      <c r="B100" s="86" t="s">
        <v>118</v>
      </c>
      <c r="C100" s="191"/>
      <c r="D100" s="190"/>
      <c r="E100" s="190"/>
      <c r="F100" s="83"/>
      <c r="G100" s="84" t="str">
        <f>IF(OR(Table1[[#This Row],[English]]&lt;&gt;"",Table1[[#This Row],[Français]]&lt;&gt;""),Table1[[#This Row],[Français]]&amp;"//"&amp;Table1[[#This Row],[English]],"")</f>
        <v>Primes//Bonuses</v>
      </c>
      <c r="H100" s="85" t="str">
        <f t="shared" si="2"/>
        <v/>
      </c>
    </row>
    <row r="101" spans="1:8" ht="74" customHeight="1">
      <c r="A101" s="82" t="s">
        <v>119</v>
      </c>
      <c r="B101" s="86" t="s">
        <v>120</v>
      </c>
      <c r="C101" s="191"/>
      <c r="D101" s="190"/>
      <c r="E101" s="190"/>
      <c r="F101" s="83"/>
      <c r="G101" s="84" t="str">
        <f>IF(OR(Table1[[#This Row],[English]]&lt;&gt;"",Table1[[#This Row],[Français]]&lt;&gt;""),Table1[[#This Row],[Français]]&amp;"//"&amp;Table1[[#This Row],[English]],"")</f>
        <v>Participation de l'Etat//State participation</v>
      </c>
      <c r="H101" s="85" t="str">
        <f t="shared" si="2"/>
        <v/>
      </c>
    </row>
    <row r="102" spans="1:8" ht="110" customHeight="1">
      <c r="A102" s="82" t="s">
        <v>121</v>
      </c>
      <c r="B102" s="82" t="s">
        <v>122</v>
      </c>
      <c r="C102" s="82" t="s">
        <v>875</v>
      </c>
      <c r="D102" s="82" t="s">
        <v>845</v>
      </c>
      <c r="E102" s="82" t="s">
        <v>846</v>
      </c>
      <c r="F102" s="83"/>
      <c r="G102" s="84" t="str">
        <f>IF(OR(Table1[[#This Row],[English]]&lt;&gt;"",Table1[[#This Row],[Français]]&lt;&gt;""),Table1[[#This Row],[Français]]&amp;"//"&amp;Table1[[#This Row],[English]],"")</f>
        <v>Exonérations non-précisées ailleurs//Other exemptions</v>
      </c>
      <c r="H102" s="85" t="str">
        <f t="shared" si="2"/>
        <v>Aucun - Industrie de Transformation de Bois est tenu au paiement régulier et dans les délais légaux des taxes et redevances forestières en vigueur et ne peut bénéficier d'aucune exonération--Art. 19</v>
      </c>
    </row>
    <row r="103" spans="1:8" ht="80" customHeight="1">
      <c r="A103" s="101" t="s">
        <v>196</v>
      </c>
      <c r="B103" s="101" t="s">
        <v>195</v>
      </c>
      <c r="C103" s="157" t="s">
        <v>885</v>
      </c>
      <c r="D103" s="208" t="s">
        <v>876</v>
      </c>
      <c r="E103" s="208" t="s">
        <v>877</v>
      </c>
      <c r="F103" s="83"/>
      <c r="G103" s="84" t="str">
        <f>IF(OR(Table1[[#This Row],[English]]&lt;&gt;"",Table1[[#This Row],[Français]]&lt;&gt;""),Table1[[#This Row],[Français]]&amp;"//"&amp;Table1[[#This Row],[English]],"")</f>
        <v>Modes d'audit à l'égard des obligations financières du détenteur du titre//Audit mechanisms - financial obligations</v>
      </c>
      <c r="H103" s="85" t="str">
        <f t="shared" si="2"/>
        <v>A la fin de la concession, un bilan de clôture des comptes est dressé par Industrie de Transformation de Bois dans un délai maximum de 6 mois à compter de la date d'expiration du présent contrat de concession--Art. 29</v>
      </c>
    </row>
    <row r="104" spans="1:8" ht="45" customHeight="1">
      <c r="A104" s="82" t="s">
        <v>123</v>
      </c>
      <c r="B104" s="82" t="s">
        <v>124</v>
      </c>
      <c r="C104" s="191"/>
      <c r="D104" s="190"/>
      <c r="E104" s="190"/>
      <c r="F104" s="83"/>
      <c r="G104" s="84" t="str">
        <f>IF(OR(Table1[[#This Row],[English]]&lt;&gt;"",Table1[[#This Row],[Français]]&lt;&gt;""),Table1[[#This Row],[Français]]&amp;"//"&amp;Table1[[#This Row],[English]],"")</f>
        <v>Restrictions sur les transactions avec les parties liées//Restrictions on transactions with affiliated parties</v>
      </c>
      <c r="H104" s="85" t="str">
        <f>IF(C104&lt;&gt;"",IF(D104&lt;&gt;"",C104&amp;"--"&amp;D104,C104),"")</f>
        <v/>
      </c>
    </row>
    <row r="105" spans="1:8" ht="72" customHeight="1">
      <c r="A105" s="80" t="s">
        <v>176</v>
      </c>
      <c r="B105" s="79" t="s">
        <v>174</v>
      </c>
      <c r="C105" s="191"/>
      <c r="D105" s="190"/>
      <c r="E105" s="190"/>
      <c r="F105" s="83"/>
      <c r="G105" s="84" t="str">
        <f>IF(OR(Table1[[#This Row],[English]]&lt;&gt;"",Table1[[#This Row],[Français]]&lt;&gt;""),Table1[[#This Row],[Français]]&amp;"//"&amp;Table1[[#This Row],[English]],"")</f>
        <v>Autre - [le nom de catégorie]//Other - [Name of Category]</v>
      </c>
      <c r="H105" s="85" t="str">
        <f t="shared" si="2"/>
        <v/>
      </c>
    </row>
    <row r="106" spans="1:8">
      <c r="A106" s="146"/>
      <c r="B106" s="34"/>
      <c r="C106" s="176"/>
      <c r="D106" s="175"/>
      <c r="E106" s="175"/>
      <c r="F106" s="15"/>
      <c r="G106" s="16" t="str">
        <f>IF(OR(Table1[[#This Row],[English]]&lt;&gt;"",Table1[[#This Row],[Français]]&lt;&gt;""),Table1[[#This Row],[Français]]&amp;"//"&amp;Table1[[#This Row],[English]],"")</f>
        <v/>
      </c>
      <c r="H106" s="35" t="str">
        <f t="shared" si="2"/>
        <v/>
      </c>
    </row>
    <row r="107" spans="1:8" ht="30">
      <c r="A107" s="60" t="s">
        <v>191</v>
      </c>
      <c r="B107" s="61" t="s">
        <v>125</v>
      </c>
      <c r="C107" s="179"/>
      <c r="D107" s="180"/>
      <c r="E107" s="180"/>
      <c r="F107" s="18"/>
      <c r="G107" s="19" t="str">
        <f>IF(OR(Table1[[#This Row],[English]]&lt;&gt;"",Table1[[#This Row],[Français]]&lt;&gt;""),Table1[[#This Row],[Français]]&amp;"//"&amp;Table1[[#This Row],[English]],"")</f>
        <v>4. Dispositions environnementales //4. Environmental provisions</v>
      </c>
      <c r="H107" s="20" t="str">
        <f t="shared" si="2"/>
        <v/>
      </c>
    </row>
    <row r="108" spans="1:8" ht="233" customHeight="1">
      <c r="A108" s="90" t="s">
        <v>212</v>
      </c>
      <c r="B108" s="90" t="s">
        <v>220</v>
      </c>
      <c r="C108" s="172" t="s">
        <v>886</v>
      </c>
      <c r="D108" s="73" t="s">
        <v>847</v>
      </c>
      <c r="E108" s="73" t="s">
        <v>848</v>
      </c>
      <c r="F108" s="65"/>
      <c r="G108" s="66" t="str">
        <f>IF(OR(Table1[[#This Row],[English]]&lt;&gt;"",Table1[[#This Row],[Français]]&lt;&gt;""),Table1[[#This Row],[Français]]&amp;"//"&amp;Table1[[#This Row],[English]],"")</f>
        <v>Etude d'impact social, environnemental ou des droits humains, et les plans de gestion des risques//Social, environmental and/or human rights impact assessments, as well as related management plans</v>
      </c>
      <c r="H108" s="67" t="str">
        <f t="shared" si="2"/>
        <v>Industrie de Transformation de Bois s'engage à préparer et à soumettre pour approbation à l'administration chargée des forêts, dans une période maximum de 4 ans, le plan d'aménagement conformément à la législation et à la réglementation en vigueur. Ce plan doit comprendre l'ensemble des obligations d'Industrie de Transformation de Bois en vue de s'assurer une gestion durable de la forêt concédée. Dans l'intervalle qui sépare la signature du présent contrat et l'approbation du plan, Industrie de Transformation de Bois ne peut exploiter la forêt concédée qu’en conformité avec un plan de gestion. Le plan de gestion doit être approuvé en même temps que le contrat de concession et constitue l'ensemble des engagements de Industrie de Transformation de Bois avant l'approbation du plan d'aménagement En particulier, le plan de gestion indique la description des activités de protection de l'environnement et de la conservation de la biodiversité et notamment les mesures de réduction, d'atténuation et de compensation de tout impact négatif des activités du concessionnaire sur l'environnement. --Art. 10</v>
      </c>
    </row>
    <row r="109" spans="1:8" ht="30">
      <c r="A109" s="121" t="s">
        <v>214</v>
      </c>
      <c r="B109" s="121" t="s">
        <v>213</v>
      </c>
      <c r="C109" s="176"/>
      <c r="D109" s="175"/>
      <c r="E109" s="175"/>
      <c r="F109" s="138"/>
      <c r="G109" s="139" t="str">
        <f>IF(OR(Table1[[#This Row],[English]]&lt;&gt;"",Table1[[#This Row],[Français]]&lt;&gt;""),Table1[[#This Row],[Français]]&amp;"//"&amp;Table1[[#This Row],[English]],"")</f>
        <v>Mode et fréquence de suivi des risques sociaux (y compris enfreinte aux droits de l'homme) ou environnementaux//Social, environmental and/or human rights monitoring requirements</v>
      </c>
      <c r="H109" s="140" t="str">
        <f t="shared" si="2"/>
        <v/>
      </c>
    </row>
    <row r="110" spans="1:8" ht="30">
      <c r="A110" s="91" t="s">
        <v>226</v>
      </c>
      <c r="B110" s="92" t="s">
        <v>180</v>
      </c>
      <c r="C110" s="187"/>
      <c r="D110" s="197"/>
      <c r="E110" s="198"/>
      <c r="F110" s="93"/>
      <c r="G110" s="94" t="str">
        <f>IF(OR(Table1[[#This Row],[English]]&lt;&gt;"",Table1[[#This Row],[Français]]&lt;&gt;""),Table1[[#This Row],[Français]]&amp;"//"&amp;Table1[[#This Row],[English]],"")</f>
        <v>Droit de prendre ou d'utiliser l'eau dans la zone de concession (ou à coté) (y compris les tarifs, licences, et permis)//Right to take and/or use water within/near contract concession area (including fees, licenses, and permits required)</v>
      </c>
      <c r="H110" s="95" t="str">
        <f>IF(C110&lt;&gt;"",IF(D110&lt;&gt;"",C110&amp;"--"&amp;D110,C110),"")</f>
        <v/>
      </c>
    </row>
    <row r="111" spans="1:8" ht="343" customHeight="1">
      <c r="A111" s="115" t="s">
        <v>211</v>
      </c>
      <c r="B111" s="115" t="s">
        <v>210</v>
      </c>
      <c r="C111" s="154" t="s">
        <v>849</v>
      </c>
      <c r="D111" s="154" t="s">
        <v>850</v>
      </c>
      <c r="E111" s="154" t="s">
        <v>867</v>
      </c>
      <c r="F111" s="117"/>
      <c r="G111" s="118" t="str">
        <f>IF(OR(Table1[[#This Row],[English]]&lt;&gt;"",Table1[[#This Row],[Français]]&lt;&gt;""),Table1[[#This Row],[Français]]&amp;"//"&amp;Table1[[#This Row],[English]],"")</f>
        <v>Les autres obligations pour la protection de l'environnement (y compris la prévention de la pollution et la protection des cours d'eau)//Other requirements regarding protection of the environment (including prevention of pollution and watercourse protection)</v>
      </c>
      <c r="H111" s="119" t="str">
        <f>IF(C111&lt;&gt;"",IF(D111&lt;&gt;"",C111&amp;"--"&amp;D111,C111),"")</f>
        <v>Industrie de Transformation de Bois doit mettre en œuvre les mesures environnementales et de protection de la biodiversité inscrites au présent contrat, y compris les mesures convenues dans le plan de relance dans le cas d'une conversion ou dans la proposition technique dans le cas de l'adjudication selon les termes du cahier des charges. Industrie de Transformation de Bois est tenu de respecter la législation en vigueur en matière de protection de l'environnement et de conservation de la diversité biologique. Industrie de Transformation de Bois contribue, en particulier, sur toute l'étendue de sa concession, à la lutte contre les feux de brousse, le braconnage et l'exploitation illégale du bois. Industrie de Transformation de Bois définit et met en œuvre des mesurés appropriées de contrôle pour minimiser, réduire ou compenser tant à l'intérieur de la concession que dans ses environs immédiats, tout impact négatif sur l'environnement, des travaux de réalisation d'infrastructures. Industrie de Transformation de Bois est tenu de respecter la mise en réserve de certaines essences et toutes restrictions édictées par l'administration chargée des forêts dans le but de protéger la diversité biologique. Dès qu'il y a un risque d'altération importante de la couverture végétale ou d'altération du sol, le plan d'aménagement indique toutes essences confondues, un nombre maximum de pieds exploitables par assiette annuelle de coupe.--Arts. 9(3), 11, 11(6), 12, 14</v>
      </c>
    </row>
    <row r="112" spans="1:8" ht="45" customHeight="1">
      <c r="A112" s="80" t="s">
        <v>240</v>
      </c>
      <c r="B112" s="79" t="s">
        <v>239</v>
      </c>
      <c r="C112" s="174"/>
      <c r="D112" s="148"/>
      <c r="E112" s="148"/>
      <c r="F112" s="65"/>
      <c r="G112" s="66" t="str">
        <f>IF(OR(Table1[[#This Row],[English]]&lt;&gt;"",Table1[[#This Row],[Français]]&lt;&gt;""),Table1[[#This Row],[Français]]&amp;"//"&amp;Table1[[#This Row],[English]],"")</f>
        <v>Autre - [Responsabilité environnementale]//Other - [Environmental liability]</v>
      </c>
      <c r="H112" s="67" t="str">
        <f t="shared" si="2"/>
        <v/>
      </c>
    </row>
    <row r="113" spans="1:8">
      <c r="A113" s="37"/>
      <c r="B113" s="38"/>
      <c r="C113" s="200"/>
      <c r="D113" s="175"/>
      <c r="E113" s="175"/>
      <c r="F113" s="15"/>
      <c r="G113" s="16" t="str">
        <f>IF(OR(Table1[[#This Row],[English]]&lt;&gt;"",Table1[[#This Row],[Français]]&lt;&gt;""),Table1[[#This Row],[Français]]&amp;"//"&amp;Table1[[#This Row],[English]],"")</f>
        <v/>
      </c>
      <c r="H113" s="17" t="str">
        <f t="shared" si="2"/>
        <v/>
      </c>
    </row>
    <row r="114" spans="1:8" ht="45">
      <c r="A114" s="60" t="s">
        <v>183</v>
      </c>
      <c r="B114" s="18" t="s">
        <v>126</v>
      </c>
      <c r="C114" s="179"/>
      <c r="D114" s="180"/>
      <c r="E114" s="180"/>
      <c r="F114" s="18"/>
      <c r="G114" s="19" t="str">
        <f>IF(OR(Table1[[#This Row],[English]]&lt;&gt;"",Table1[[#This Row],[Français]]&lt;&gt;""),Table1[[#This Row],[Français]]&amp;"//"&amp;Table1[[#This Row],[English]],"")</f>
        <v>5. Dispositions relatives aux opérations et à l’infrastructure//5. Operational provisions</v>
      </c>
      <c r="H114" s="20" t="str">
        <f t="shared" si="2"/>
        <v/>
      </c>
    </row>
    <row r="115" spans="1:8" ht="150" customHeight="1">
      <c r="A115" s="55" t="s">
        <v>181</v>
      </c>
      <c r="B115" s="62" t="s">
        <v>182</v>
      </c>
      <c r="C115" s="62" t="s">
        <v>869</v>
      </c>
      <c r="D115" s="62" t="s">
        <v>847</v>
      </c>
      <c r="E115" s="62" t="s">
        <v>868</v>
      </c>
      <c r="F115" s="62"/>
      <c r="G115" s="63" t="str">
        <f>IF(OR(Table1[[#This Row],[English]]&lt;&gt;"",Table1[[#This Row],[Français]]&lt;&gt;""),Table1[[#This Row],[Français]]&amp;"//"&amp;Table1[[#This Row],[English]],"")</f>
        <v>L'étude de faisabilité et le plan d'affaires//Feasibility studies and requirement of business plan</v>
      </c>
      <c r="H115" s="53" t="str">
        <f>IF(C115&lt;&gt;"",IF(D115&lt;&gt;"",C115&amp;"--"&amp;D115,C115),"")</f>
        <v>Industrie de Transformation de Bois s'engage à préparer et à soumettre pour approbation à l'administration chargée des forêts, dans une période maximum de 4 ans, le plan d'aménagement. Le plan de gestion constitue l'ensemble des engagements d'Industrie de Transformation de Bois avant l'approbation du plan d'aménagement. Dans l'intervalle qui sépare la signature du contrat de l'approbation du plan, Industrie de Transformation de Bois exploite la forêt concédée en conformité avec un plan de gestion. --Art. 10</v>
      </c>
    </row>
    <row r="116" spans="1:8" ht="140" customHeight="1">
      <c r="A116" s="90" t="s">
        <v>127</v>
      </c>
      <c r="B116" s="96" t="s">
        <v>128</v>
      </c>
      <c r="C116" s="209" t="s">
        <v>887</v>
      </c>
      <c r="D116" s="210" t="s">
        <v>888</v>
      </c>
      <c r="E116" s="210" t="s">
        <v>889</v>
      </c>
      <c r="F116" s="65"/>
      <c r="G116" s="66" t="str">
        <f>IF(OR(Table1[[#This Row],[English]]&lt;&gt;"",Table1[[#This Row],[Français]]&lt;&gt;""),Table1[[#This Row],[Français]]&amp;"//"&amp;Table1[[#This Row],[English]],"")</f>
        <v>Obligations de travaux, d'investissements//Work and investment commitments</v>
      </c>
      <c r="H116" s="67" t="str">
        <f t="shared" si="2"/>
        <v>Industrie de Transformation de Bois doit réaliser les investissements, y compris l'acquisition des équipements prévus, la remise en état ou la modernisation de l'outil de transformation, ainsi que le recrutement du personnel nécessaire et autres activités prévues dans la proposition du plan de relance, dans le cas d' une concession ou dans la proposition technique dans le cas d'une adjudication, et écrits dans le cahier des charges--Art. 9(5)</v>
      </c>
    </row>
    <row r="117" spans="1:8">
      <c r="A117" s="36" t="s">
        <v>129</v>
      </c>
      <c r="B117" s="36" t="s">
        <v>130</v>
      </c>
      <c r="C117" s="153"/>
      <c r="D117" s="175"/>
      <c r="E117" s="175"/>
      <c r="F117" s="11"/>
      <c r="G117" s="12" t="str">
        <f>IF(OR(Table1[[#This Row],[English]]&lt;&gt;"",Table1[[#This Row],[Français]]&lt;&gt;""),Table1[[#This Row],[Français]]&amp;"//"&amp;Table1[[#This Row],[English]],"")</f>
        <v>Rétrocession//Transfer of risk</v>
      </c>
      <c r="H117" s="13" t="str">
        <f t="shared" si="2"/>
        <v/>
      </c>
    </row>
    <row r="118" spans="1:8">
      <c r="A118" s="64" t="s">
        <v>131</v>
      </c>
      <c r="B118" s="64" t="s">
        <v>132</v>
      </c>
      <c r="C118" s="174"/>
      <c r="D118" s="148"/>
      <c r="E118" s="148"/>
      <c r="F118" s="65"/>
      <c r="G118" s="66" t="str">
        <f>IF(OR(Table1[[#This Row],[English]]&lt;&gt;"",Table1[[#This Row],[Français]]&lt;&gt;""),Table1[[#This Row],[Français]]&amp;"//"&amp;Table1[[#This Row],[English]],"")</f>
        <v>Construction et entretien d'infrastructure//Construction and maintenance of infrastructure</v>
      </c>
      <c r="H118" s="67" t="str">
        <f t="shared" si="2"/>
        <v/>
      </c>
    </row>
    <row r="119" spans="1:8" ht="15" customHeight="1">
      <c r="A119" s="10" t="s">
        <v>203</v>
      </c>
      <c r="B119" s="10" t="s">
        <v>133</v>
      </c>
      <c r="C119" s="176"/>
      <c r="D119" s="175"/>
      <c r="E119" s="175"/>
      <c r="F119" s="11"/>
      <c r="G119" s="12" t="str">
        <f>IF(OR(Table1[[#This Row],[English]]&lt;&gt;"",Table1[[#This Row],[Français]]&lt;&gt;""),Table1[[#This Row],[Français]]&amp;"//"&amp;Table1[[#This Row],[English]],"")</f>
        <v>Commercialisation et accès gouvernemental à la production //Marketing of output and state access to output</v>
      </c>
      <c r="H119" s="13" t="str">
        <f t="shared" si="2"/>
        <v/>
      </c>
    </row>
    <row r="120" spans="1:8" ht="181" customHeight="1">
      <c r="A120" s="110" t="s">
        <v>134</v>
      </c>
      <c r="B120" s="111" t="s">
        <v>135</v>
      </c>
      <c r="C120" s="109"/>
      <c r="D120" s="73"/>
      <c r="E120" s="73"/>
      <c r="F120" s="112"/>
      <c r="G120" s="113" t="str">
        <f>IF(OR(Table1[[#This Row],[English]]&lt;&gt;"",Table1[[#This Row],[Français]]&lt;&gt;""),Table1[[#This Row],[Français]]&amp;"//"&amp;Table1[[#This Row],[English]],"")</f>
        <v>Utilisation d’infrastructure par les tiers//Third party use of infrastructure</v>
      </c>
      <c r="H120" s="114" t="str">
        <f t="shared" si="2"/>
        <v/>
      </c>
    </row>
    <row r="121" spans="1:8">
      <c r="A121" s="39" t="s">
        <v>136</v>
      </c>
      <c r="B121" s="33" t="s">
        <v>137</v>
      </c>
      <c r="C121" s="176"/>
      <c r="D121" s="175"/>
      <c r="E121" s="175"/>
      <c r="F121" s="11"/>
      <c r="G121" s="12" t="str">
        <f>IF(OR(Table1[[#This Row],[English]]&lt;&gt;"",Table1[[#This Row],[Français]]&lt;&gt;""),Table1[[#This Row],[Français]]&amp;"//"&amp;Table1[[#This Row],[English]],"")</f>
        <v>Financement d’infrastructure//Financing of infrastructure</v>
      </c>
      <c r="H121" s="13" t="str">
        <f t="shared" si="2"/>
        <v/>
      </c>
    </row>
    <row r="122" spans="1:8">
      <c r="A122" s="39" t="s">
        <v>138</v>
      </c>
      <c r="B122" s="33" t="s">
        <v>139</v>
      </c>
      <c r="C122" s="176"/>
      <c r="D122" s="175"/>
      <c r="E122" s="175"/>
      <c r="F122" s="11"/>
      <c r="G122" s="12" t="str">
        <f>IF(OR(Table1[[#This Row],[English]]&lt;&gt;"",Table1[[#This Row],[Français]]&lt;&gt;""),Table1[[#This Row],[Français]]&amp;"//"&amp;Table1[[#This Row],[English]],"")</f>
        <v>Propriété d’infrastructure//Ownership of infrastructure</v>
      </c>
      <c r="H122" s="13" t="str">
        <f t="shared" si="2"/>
        <v/>
      </c>
    </row>
    <row r="123" spans="1:8">
      <c r="A123" s="28" t="s">
        <v>197</v>
      </c>
      <c r="B123" s="27" t="s">
        <v>194</v>
      </c>
      <c r="C123" s="196"/>
      <c r="D123" s="194"/>
      <c r="E123" s="194"/>
      <c r="F123" s="29"/>
      <c r="G123" s="30" t="str">
        <f>IF(OR(Table1[[#This Row],[English]]&lt;&gt;"",Table1[[#This Row],[Français]]&lt;&gt;""),Table1[[#This Row],[Français]]&amp;"//"&amp;Table1[[#This Row],[English]],"")</f>
        <v>Modes d'audit à l'égard des dispositions opérationnelles//Audit mechanisms - operational obligations</v>
      </c>
      <c r="H123" s="31" t="str">
        <f t="shared" si="2"/>
        <v/>
      </c>
    </row>
    <row r="124" spans="1:8">
      <c r="A124" s="54" t="s">
        <v>179</v>
      </c>
      <c r="B124" s="55" t="s">
        <v>171</v>
      </c>
      <c r="C124" s="184"/>
      <c r="D124" s="183"/>
      <c r="E124" s="199"/>
      <c r="F124" s="54"/>
      <c r="G124" s="52" t="str">
        <f>IF(OR(Table1[[#This Row],[English]]&lt;&gt;"",Table1[[#This Row],[Français]]&lt;&gt;""),Table1[[#This Row],[Français]]&amp;"//"&amp;Table1[[#This Row],[English]],"")</f>
        <v>Activité de beneficiation/ valeur ajoutée//Value addition/downstream activities</v>
      </c>
      <c r="H124" s="53" t="str">
        <f>IF(C124&lt;&gt;"",IF(D124&lt;&gt;"",C124&amp;"--"&amp;D124,C124),"")</f>
        <v/>
      </c>
    </row>
    <row r="125" spans="1:8" ht="127" customHeight="1">
      <c r="A125" s="133" t="s">
        <v>227</v>
      </c>
      <c r="B125" s="134" t="s">
        <v>172</v>
      </c>
      <c r="C125" s="134" t="s">
        <v>851</v>
      </c>
      <c r="D125" s="134" t="s">
        <v>852</v>
      </c>
      <c r="E125" s="134" t="s">
        <v>853</v>
      </c>
      <c r="F125" s="135"/>
      <c r="G125" s="136" t="str">
        <f>IF(OR(Table1[[#This Row],[English]]&lt;&gt;"",Table1[[#This Row],[Français]]&lt;&gt;""),Table1[[#This Row],[Français]]&amp;"//"&amp;Table1[[#This Row],[English]],"")</f>
        <v>Autorisation pour utiliser les terres publique ou privées à l'extérieur de la zone de concession//Contracting party's permitted use of public or private land outside concession area</v>
      </c>
      <c r="H125" s="137" t="str">
        <f>IF(C125&lt;&gt;"",IF(D125&lt;&gt;"",C125&amp;"--"&amp;D125,C125),"")</f>
        <v>Industrie de Transformation de Bois bénéficie d'une servitude de passage sur les fonds riverains, destinée à favoriser l'accès à sa concession et l'évacuation de sa production. Il exerce cette servitude uniquement dans les limites de ce qui est strictement nécessaire à son droit de passage.--Art. 7</v>
      </c>
    </row>
    <row r="126" spans="1:8" ht="137" customHeight="1">
      <c r="A126" s="80" t="s">
        <v>176</v>
      </c>
      <c r="B126" s="158" t="s">
        <v>174</v>
      </c>
      <c r="C126" s="187"/>
      <c r="D126" s="197"/>
      <c r="E126" s="198"/>
      <c r="F126" s="93"/>
      <c r="G126" s="94" t="str">
        <f>IF(OR(Table1[[#This Row],[English]]&lt;&gt;"",Table1[[#This Row],[Français]]&lt;&gt;""),Table1[[#This Row],[Français]]&amp;"//"&amp;Table1[[#This Row],[English]],"")</f>
        <v>Autre - [le nom de catégorie]//Other - [Name of Category]</v>
      </c>
      <c r="H126" s="95" t="str">
        <f>IF(C126&lt;&gt;"",IF(D126&lt;&gt;"",C126&amp;"--"&amp;D126,C126),"")</f>
        <v/>
      </c>
    </row>
    <row r="127" spans="1:8" ht="47" customHeight="1">
      <c r="A127" s="156"/>
      <c r="B127" s="40"/>
      <c r="C127" s="177"/>
      <c r="D127" s="178"/>
      <c r="E127" s="178"/>
      <c r="F127" s="15"/>
      <c r="G127" s="16" t="str">
        <f>IF(OR(Table1[[#This Row],[English]]&lt;&gt;"",Table1[[#This Row],[Français]]&lt;&gt;""),Table1[[#This Row],[Français]]&amp;"//"&amp;Table1[[#This Row],[English]],"")</f>
        <v/>
      </c>
      <c r="H127" s="17" t="str">
        <f t="shared" si="2"/>
        <v/>
      </c>
    </row>
    <row r="128" spans="1:8" ht="30">
      <c r="A128" s="21" t="s">
        <v>140</v>
      </c>
      <c r="B128" s="21" t="s">
        <v>141</v>
      </c>
      <c r="C128" s="179"/>
      <c r="D128" s="180"/>
      <c r="E128" s="180"/>
      <c r="F128" s="18"/>
      <c r="G128" s="19" t="str">
        <f>IF(OR(Table1[[#This Row],[English]]&lt;&gt;"",Table1[[#This Row],[Français]]&lt;&gt;""),Table1[[#This Row],[Français]]&amp;"//"&amp;Table1[[#This Row],[English]],"")</f>
        <v>6. Dispositions diverses//6. Miscellaneous provisions</v>
      </c>
      <c r="H128" s="20" t="str">
        <f t="shared" si="2"/>
        <v/>
      </c>
    </row>
    <row r="129" spans="1:8" ht="37" customHeight="1">
      <c r="A129" s="96" t="s">
        <v>142</v>
      </c>
      <c r="B129" s="90" t="s">
        <v>143</v>
      </c>
      <c r="C129" s="174"/>
      <c r="D129" s="148"/>
      <c r="E129" s="148"/>
      <c r="F129" s="65"/>
      <c r="G129" s="66" t="str">
        <f>IF(OR(Table1[[#This Row],[English]]&lt;&gt;"",Table1[[#This Row],[Français]]&lt;&gt;""),Table1[[#This Row],[Français]]&amp;"//"&amp;Table1[[#This Row],[English]],"")</f>
        <v>Loi applicable en cas des différends//Governing law in case of dispute</v>
      </c>
      <c r="H129" s="67" t="str">
        <f t="shared" si="2"/>
        <v/>
      </c>
    </row>
    <row r="130" spans="1:8" ht="203" customHeight="1">
      <c r="A130" s="96" t="s">
        <v>144</v>
      </c>
      <c r="B130" s="82" t="s">
        <v>145</v>
      </c>
      <c r="C130" s="172" t="s">
        <v>854</v>
      </c>
      <c r="D130" s="73" t="s">
        <v>855</v>
      </c>
      <c r="E130" s="73" t="s">
        <v>870</v>
      </c>
      <c r="F130" s="65"/>
      <c r="G130" s="66" t="str">
        <f>IF(OR(Table1[[#This Row],[English]]&lt;&gt;"",Table1[[#This Row],[Français]]&lt;&gt;""),Table1[[#This Row],[Français]]&amp;"//"&amp;Table1[[#This Row],[English]],"")</f>
        <v>Arbitrage et règlement des différends//Arbitration and dispute resolution</v>
      </c>
      <c r="H130" s="67" t="str">
        <f t="shared" si="2"/>
        <v>En cas de différend sur le tracé des voies d'accès ou d'évacuation à la concession, Industrie de Transformation de Bois fera appel aux mécanismes de règlement des différends définis aux articles 103 et 104 du code forestier. En cas de résiliation du contrat ou de déchéance, Industrie de Transformation de Bois dispose des recours légaux devant les juridictions compétentes. Tout différend relatif à l'interprétation ou l'exécution du présent contrat de concession et du cahier des charges sera réglé à l'amiable. En cas d'échec, le litige sera soumis aux juridictions compétentes à moins que les parties conviennent de recourir à l'arbitrage prévu par les articles 159 à 174 du code de procédure civile.--Arts. 7, 26, 30</v>
      </c>
    </row>
    <row r="131" spans="1:8" ht="153" customHeight="1">
      <c r="A131" s="96" t="s">
        <v>146</v>
      </c>
      <c r="B131" s="90" t="s">
        <v>147</v>
      </c>
      <c r="C131" s="191"/>
      <c r="D131" s="148"/>
      <c r="E131" s="148"/>
      <c r="F131" s="65"/>
      <c r="G131" s="66" t="str">
        <f>IF(OR(Table1[[#This Row],[English]]&lt;&gt;"",Table1[[#This Row],[Français]]&lt;&gt;""),Table1[[#This Row],[Français]]&amp;"//"&amp;Table1[[#This Row],[English]],"")</f>
        <v>Clause de stabilisation//Stabilization clause</v>
      </c>
      <c r="H131" s="67" t="str">
        <f t="shared" si="2"/>
        <v/>
      </c>
    </row>
    <row r="132" spans="1:8">
      <c r="A132" s="36" t="s">
        <v>148</v>
      </c>
      <c r="B132" s="10" t="s">
        <v>149</v>
      </c>
      <c r="C132" s="176"/>
      <c r="D132" s="175"/>
      <c r="E132" s="175"/>
      <c r="F132" s="11"/>
      <c r="G132" s="12" t="str">
        <f>IF(OR(Table1[[#This Row],[English]]&lt;&gt;"",Table1[[#This Row],[Français]]&lt;&gt;""),Table1[[#This Row],[Français]]&amp;"//"&amp;Table1[[#This Row],[English]],"")</f>
        <v>Cession / transfert//Assignment / transfer</v>
      </c>
      <c r="H132" s="13" t="str">
        <f t="shared" si="2"/>
        <v/>
      </c>
    </row>
    <row r="133" spans="1:8" ht="271" customHeight="1">
      <c r="A133" s="36" t="s">
        <v>228</v>
      </c>
      <c r="B133" s="10" t="s">
        <v>150</v>
      </c>
      <c r="C133" s="10" t="s">
        <v>856</v>
      </c>
      <c r="D133" s="10" t="s">
        <v>857</v>
      </c>
      <c r="E133" s="10" t="s">
        <v>858</v>
      </c>
      <c r="F133" s="11"/>
      <c r="G133" s="12" t="str">
        <f>IF(OR(Table1[[#This Row],[English]]&lt;&gt;"",Table1[[#This Row],[Français]]&lt;&gt;""),Table1[[#This Row],[Français]]&amp;"//"&amp;Table1[[#This Row],[English]],"")</f>
        <v>Annulation / Résiliation //Cancellation / termination</v>
      </c>
      <c r="H133" s="13" t="str">
        <f t="shared" si="2"/>
        <v>Industrie de Transformation de Bois a la faculté de renoncer au bénéfice de la concession avant l'expiration du contrat de concession forestière. En cas de non respect par Industrie de Transformation de Bois de l'une des quelconques clauses du présent contrat et/ou du cahier des charges et après une mise en demeure assortie d'un délai ne dépassant pas 3 mois, le Gouvernement prescrit toutes mesures conservatoires destinées à assurer le respect des dispositions du présent contrat et du cahier des charges. Le contrat est résilié dans certains cas, y compris: (1) la commission de tout acte ou tentative d'acte de corruption, de dol ou de violence; ou (2) la violation répétée, après expiration des délais légaux mise en demeure, d'obligations sociales et environnementales découlant du présent contrat et du cahier des charges. L'état de cessation de paiement d'Industrie de Transformation de Bois constitue une cause de déchéance et entraîne la résiliation du présent contrat. Le Gouvernement constate la déchéance et procède à la résiliation du contrat par voie d'arrêté. --Arts. 22, 23, 25</v>
      </c>
    </row>
    <row r="134" spans="1:8">
      <c r="A134" s="33" t="s">
        <v>151</v>
      </c>
      <c r="B134" s="33" t="s">
        <v>152</v>
      </c>
      <c r="C134" s="176"/>
      <c r="D134" s="175"/>
      <c r="E134" s="175"/>
      <c r="F134" s="11"/>
      <c r="G134" s="12" t="str">
        <f>IF(OR(Table1[[#This Row],[English]]&lt;&gt;"",Table1[[#This Row],[Français]]&lt;&gt;""),Table1[[#This Row],[Français]]&amp;"//"&amp;Table1[[#This Row],[English]],"")</f>
        <v>Indemnisation//Indemnification</v>
      </c>
      <c r="H134" s="13" t="str">
        <f t="shared" si="2"/>
        <v/>
      </c>
    </row>
    <row r="135" spans="1:8" ht="129" customHeight="1">
      <c r="A135" s="97" t="s">
        <v>153</v>
      </c>
      <c r="B135" s="73" t="s">
        <v>154</v>
      </c>
      <c r="C135" s="173" t="s">
        <v>859</v>
      </c>
      <c r="D135" s="73" t="s">
        <v>860</v>
      </c>
      <c r="E135" s="73" t="s">
        <v>861</v>
      </c>
      <c r="F135" s="65"/>
      <c r="G135" s="66" t="str">
        <f>IF(OR(Table1[[#This Row],[English]]&lt;&gt;"",Table1[[#This Row],[Français]]&lt;&gt;""),Table1[[#This Row],[Français]]&amp;"//"&amp;Table1[[#This Row],[English]],"")</f>
        <v>Confidentialité//Confidentiality</v>
      </c>
      <c r="H135" s="67" t="str">
        <f t="shared" si="2"/>
        <v>Si le Gouvernement constate la déchéance et procède à la résiliation du contrat par voie d'arrêté, l'arrêté est publié au journal officiel et une copie est transmise aux cadastres forestiers national et provincial concerne. Le présent contrat ainsi que le cahier des charges sont publiés au journal officiel, déposés au cadastre forestier national, notifiés aux autorités provinciales et locales du ressort, et rendus publics par tout moyen approprié dans les localités riveraines de la concession.--Arts. 25, 31</v>
      </c>
    </row>
    <row r="136" spans="1:8">
      <c r="A136" s="97" t="s">
        <v>155</v>
      </c>
      <c r="B136" s="73" t="s">
        <v>156</v>
      </c>
      <c r="C136" s="157" t="s">
        <v>772</v>
      </c>
      <c r="D136" s="73"/>
      <c r="E136" s="73"/>
      <c r="F136" s="65"/>
      <c r="G136" s="66" t="str">
        <f>IF(OR(Table1[[#This Row],[English]]&lt;&gt;"",Table1[[#This Row],[Français]]&lt;&gt;""),Table1[[#This Row],[Français]]&amp;"//"&amp;Table1[[#This Row],[English]],"")</f>
        <v>Langue//Language</v>
      </c>
      <c r="H136" s="67" t="str">
        <f t="shared" si="2"/>
        <v>FRE</v>
      </c>
    </row>
    <row r="137" spans="1:8" ht="30">
      <c r="A137" s="10" t="s">
        <v>238</v>
      </c>
      <c r="B137" s="10" t="s">
        <v>188</v>
      </c>
      <c r="C137" s="176"/>
      <c r="D137" s="175"/>
      <c r="E137" s="175"/>
      <c r="F137" s="11"/>
      <c r="G137" s="42" t="str">
        <f>IF(OR(Table1[[#This Row],[English]]&lt;&gt;"",Table1[[#This Row],[Français]]&lt;&gt;""),Table1[[#This Row],[Français]]&amp;"//"&amp;Table1[[#This Row],[English]],"")</f>
        <v>Obligations de reporting et autres méthodes de contrôle de la conformité//Reporting Requirements and other methods of monitoring compliance</v>
      </c>
      <c r="H137" s="51" t="str">
        <f>IF(C137&lt;&gt;"",IF(D137&lt;&gt;"",C137&amp;"--"&amp;D137,C137),"")</f>
        <v/>
      </c>
    </row>
    <row r="138" spans="1:8">
      <c r="A138" s="121" t="s">
        <v>222</v>
      </c>
      <c r="B138" s="121" t="s">
        <v>221</v>
      </c>
      <c r="C138" s="176"/>
      <c r="D138" s="175"/>
      <c r="E138" s="175"/>
      <c r="F138" s="11"/>
      <c r="G138" s="12" t="str">
        <f>IF(OR(Table1[[#This Row],[English]]&lt;&gt;"",Table1[[#This Row],[Français]]&lt;&gt;""),Table1[[#This Row],[Français]]&amp;"//"&amp;Table1[[#This Row],[English]],"")</f>
        <v>Clause de hardship ou force majeure//Hardship clause or force majeure</v>
      </c>
      <c r="H138" s="13" t="str">
        <f t="shared" si="2"/>
        <v/>
      </c>
    </row>
    <row r="139" spans="1:8">
      <c r="A139" s="10" t="s">
        <v>175</v>
      </c>
      <c r="B139" s="121" t="s">
        <v>173</v>
      </c>
      <c r="C139" s="201"/>
      <c r="D139" s="178"/>
      <c r="E139" s="178"/>
      <c r="F139" s="41"/>
      <c r="G139" s="42" t="str">
        <f>IF(OR(Table1[[#This Row],[English]]&lt;&gt;"",Table1[[#This Row],[Français]]&lt;&gt;""),Table1[[#This Row],[Français]]&amp;"//"&amp;Table1[[#This Row],[English]],"")</f>
        <v>Expropriation//Expropriation / nationalization</v>
      </c>
      <c r="H139" s="43" t="str">
        <f t="shared" si="2"/>
        <v/>
      </c>
    </row>
    <row r="140" spans="1:8">
      <c r="A140" s="80" t="s">
        <v>176</v>
      </c>
      <c r="B140" s="79" t="s">
        <v>174</v>
      </c>
      <c r="C140" s="202"/>
      <c r="D140" s="155"/>
      <c r="E140" s="203"/>
      <c r="F140" s="98"/>
      <c r="G140" s="99" t="str">
        <f>IF(OR(Table1[[#This Row],[English]]&lt;&gt;"",Table1[[#This Row],[Français]]&lt;&gt;""),Table1[[#This Row],[Français]]&amp;"//"&amp;Table1[[#This Row],[English]],"")</f>
        <v>Autre - [le nom de catégorie]//Other - [Name of Category]</v>
      </c>
      <c r="H140" s="100" t="str">
        <f>IF(C140&lt;&gt;"",IF(D140&lt;&gt;"",C140&amp;"--"&amp;D140,C140),"")</f>
        <v/>
      </c>
    </row>
    <row r="141" spans="1:8">
      <c r="A141" s="44"/>
      <c r="B141" s="14"/>
      <c r="C141" s="201"/>
      <c r="D141" s="178"/>
      <c r="E141" s="178"/>
      <c r="F141" s="15"/>
      <c r="G141" s="16" t="str">
        <f>IF(OR(Table1[[#This Row],[English]]&lt;&gt;"",Table1[[#This Row],[Français]]&lt;&gt;""),Table1[[#This Row],[Français]]&amp;"//"&amp;Table1[[#This Row],[English]],"")</f>
        <v/>
      </c>
      <c r="H141" s="17" t="str">
        <f t="shared" si="2"/>
        <v/>
      </c>
    </row>
    <row r="142" spans="1:8" ht="30">
      <c r="A142" s="21" t="s">
        <v>157</v>
      </c>
      <c r="B142" s="21" t="s">
        <v>158</v>
      </c>
      <c r="C142" s="204"/>
      <c r="D142" s="205"/>
      <c r="E142" s="205"/>
      <c r="F142" s="21"/>
      <c r="G142" s="45" t="str">
        <f>IF(OR(Table1[[#This Row],[English]]&lt;&gt;"",Table1[[#This Row],[Français]]&lt;&gt;""),Table1[[#This Row],[Français]]&amp;"//"&amp;Table1[[#This Row],[English]],"")</f>
        <v>III. Notes sur le document//III. Document notes</v>
      </c>
      <c r="H142" s="46" t="str">
        <f t="shared" si="2"/>
        <v/>
      </c>
    </row>
    <row r="143" spans="1:8">
      <c r="A143" s="10" t="s">
        <v>159</v>
      </c>
      <c r="B143" s="10" t="s">
        <v>160</v>
      </c>
      <c r="C143" s="177"/>
      <c r="D143" s="178"/>
      <c r="E143" s="178"/>
      <c r="F143" s="41"/>
      <c r="G143" s="42" t="str">
        <f>IF(OR(Table1[[#This Row],[English]]&lt;&gt;"",Table1[[#This Row],[Français]]&lt;&gt;""),Table1[[#This Row],[Français]]&amp;"//"&amp;Table1[[#This Row],[English]],"")</f>
        <v>Pages Manquantes de la copie//Pages missing from  copy</v>
      </c>
      <c r="H143" s="43" t="str">
        <f t="shared" si="2"/>
        <v/>
      </c>
    </row>
    <row r="144" spans="1:8" ht="60">
      <c r="A144" s="10" t="s">
        <v>161</v>
      </c>
      <c r="B144" s="10" t="s">
        <v>162</v>
      </c>
      <c r="C144" s="10" t="s">
        <v>864</v>
      </c>
      <c r="D144" s="10"/>
      <c r="E144" s="10" t="s">
        <v>862</v>
      </c>
      <c r="F144" s="22"/>
      <c r="G144" s="23" t="str">
        <f>IF(OR(Table1[[#This Row],[English]]&lt;&gt;"",Table1[[#This Row],[Français]]&lt;&gt;""),Table1[[#This Row],[Français]]&amp;"//"&amp;Table1[[#This Row],[English]],"")</f>
        <v>Annexes Manquantes de la copie//Annexes missing from copy</v>
      </c>
      <c r="H144" s="13" t="str">
        <f t="shared" si="2"/>
        <v>Le cahier des charges, la carte de la concession forestière</v>
      </c>
    </row>
    <row r="148" spans="1:8">
      <c r="A148"/>
      <c r="B148"/>
      <c r="C148"/>
      <c r="D148"/>
      <c r="G148"/>
      <c r="H148"/>
    </row>
    <row r="149" spans="1:8">
      <c r="A149"/>
      <c r="B149"/>
      <c r="C149"/>
      <c r="D149"/>
      <c r="G149"/>
      <c r="H149"/>
    </row>
    <row r="150" spans="1:8">
      <c r="A150"/>
      <c r="B150"/>
      <c r="C150"/>
      <c r="D150"/>
      <c r="G150"/>
      <c r="H150"/>
    </row>
    <row r="151" spans="1:8">
      <c r="A151"/>
      <c r="B151"/>
      <c r="C151"/>
      <c r="D151"/>
      <c r="G151"/>
      <c r="H151"/>
    </row>
  </sheetData>
  <mergeCells count="4">
    <mergeCell ref="B16:C16"/>
    <mergeCell ref="G16:H16"/>
    <mergeCell ref="C10:D10"/>
    <mergeCell ref="A10:B10"/>
  </mergeCells>
  <phoneticPr fontId="15" type="noConversion"/>
  <dataValidations count="3">
    <dataValidation type="list" allowBlank="1" showInputMessage="1" showErrorMessage="1" sqref="C51">
      <formula1>resources</formula1>
    </dataValidation>
    <dataValidation type="list" allowBlank="1" showInputMessage="1" showErrorMessage="1" sqref="C27">
      <formula1>license_type</formula1>
    </dataValidation>
    <dataValidation type="list" allowBlank="1" showInputMessage="1" showErrorMessage="1" sqref="C136">
      <formula1>language</formula1>
    </dataValidation>
  </dataValidations>
  <pageMargins left="0.75" right="0.75" top="1" bottom="1" header="0.5" footer="0.5"/>
  <pageSetup orientation="portrait" horizontalDpi="4294967292" verticalDpi="4294967292"/>
  <drawing r:id="rId1"/>
  <tableParts count="1">
    <tablePart r:id="rId2"/>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B38"/>
  <sheetViews>
    <sheetView tabSelected="1" workbookViewId="0">
      <selection activeCell="C5" sqref="C5"/>
    </sheetView>
  </sheetViews>
  <sheetFormatPr baseColWidth="10" defaultColWidth="8.6640625" defaultRowHeight="16" x14ac:dyDescent="0"/>
  <cols>
    <col min="1" max="1" width="30.5" customWidth="1"/>
    <col min="2" max="2" width="31.83203125" style="168" customWidth="1"/>
    <col min="3" max="3" width="23" bestFit="1" customWidth="1"/>
  </cols>
  <sheetData>
    <row r="1" spans="1:2" ht="15">
      <c r="A1" s="49" t="s">
        <v>163</v>
      </c>
      <c r="B1" s="167" t="s">
        <v>164</v>
      </c>
    </row>
    <row r="2" spans="1:2">
      <c r="A2" s="165" t="s">
        <v>758</v>
      </c>
      <c r="B2" s="168" t="str">
        <f>IF(Categories!C136&lt;&gt;"",Categories!C136,"")</f>
        <v>FRE</v>
      </c>
    </row>
    <row r="3" spans="1:2" ht="32">
      <c r="A3" s="50" t="s">
        <v>245</v>
      </c>
      <c r="B3" s="169" t="str">
        <f>IF(Categories!C19&lt;&gt;"",Categories!C19,"")</f>
        <v>Congo, the Democratic Republic of the</v>
      </c>
    </row>
    <row r="4" spans="1:2">
      <c r="A4" s="50" t="s">
        <v>737</v>
      </c>
      <c r="B4" s="169"/>
    </row>
    <row r="5" spans="1:2">
      <c r="A5" t="s">
        <v>740</v>
      </c>
      <c r="B5" s="168" t="str">
        <f>IF(Categories!C51&lt;&gt;"",Categories!C51,"")</f>
        <v>Bois d'œuvre</v>
      </c>
    </row>
    <row r="6" spans="1:2" ht="15">
      <c r="A6" s="50" t="s">
        <v>165</v>
      </c>
      <c r="B6" s="73" t="s">
        <v>873</v>
      </c>
    </row>
    <row r="7" spans="1:2" ht="15">
      <c r="A7" s="50" t="s">
        <v>166</v>
      </c>
      <c r="B7" s="171">
        <v>40885</v>
      </c>
    </row>
    <row r="8" spans="1:2">
      <c r="A8" t="s">
        <v>167</v>
      </c>
      <c r="B8" s="168">
        <f>IF(Categories!C48&lt;&gt;"",Categories!C48,"")</f>
        <v>2011</v>
      </c>
    </row>
    <row r="9" spans="1:2">
      <c r="A9" t="s">
        <v>168</v>
      </c>
      <c r="B9" s="168" t="str">
        <f>IF(Categories!C49&lt;&gt;"",Categories!C49,"")</f>
        <v>25 ans renouvelables. Le contrat prend fin le 11/08/2036.</v>
      </c>
    </row>
    <row r="10" spans="1:2" ht="15">
      <c r="A10" s="217" t="s">
        <v>749</v>
      </c>
      <c r="B10" s="217"/>
    </row>
    <row r="11" spans="1:2">
      <c r="A11" s="164" t="s">
        <v>12</v>
      </c>
      <c r="B11" s="168" t="str">
        <f>IF(Categories!C20&lt;&gt;"",Categories!C20,"")</f>
        <v>Industrie de Transformation de Bois</v>
      </c>
    </row>
    <row r="12" spans="1:2">
      <c r="A12" s="164" t="s">
        <v>242</v>
      </c>
      <c r="B12" s="168" t="str">
        <f>IF(Categories!C21&lt;&gt;"",Categories!C21,"")</f>
        <v/>
      </c>
    </row>
    <row r="13" spans="1:2">
      <c r="A13" s="164" t="s">
        <v>14</v>
      </c>
      <c r="B13" s="168" t="str">
        <f>IF(Categories!C22&lt;&gt;"",Categories!C22,"")</f>
        <v>N° 5501, Avenue de l'Ouest, Quartier Kingabwa, Commune de Limete, Ville-Province de Kinshasa, en République Démocratique du Congo</v>
      </c>
    </row>
    <row r="14" spans="1:2">
      <c r="A14" s="164" t="s">
        <v>16</v>
      </c>
      <c r="B14" s="168" t="str">
        <f>IF(Categories!C23&lt;&gt;"",Categories!C23,"")</f>
        <v/>
      </c>
    </row>
    <row r="15" spans="1:2">
      <c r="A15" s="164" t="s">
        <v>755</v>
      </c>
      <c r="B15" s="168" t="str">
        <f>IF(Categories!C24&lt;&gt;"",Categories!C24,"")</f>
        <v/>
      </c>
    </row>
    <row r="16" spans="1:2">
      <c r="A16" s="164" t="s">
        <v>242</v>
      </c>
      <c r="B16" s="168" t="str">
        <f>IF(Categories!C25&lt;&gt;"",Categories!C25,"")</f>
        <v/>
      </c>
    </row>
    <row r="17" spans="1:2">
      <c r="A17" s="164" t="s">
        <v>19</v>
      </c>
      <c r="B17" s="168" t="str">
        <f>IF(Categories!C26&lt;&gt;"",Categories!C26,"")</f>
        <v/>
      </c>
    </row>
    <row r="18" spans="1:2">
      <c r="A18" s="164" t="s">
        <v>22</v>
      </c>
      <c r="B18" s="168" t="str">
        <f>IF(Categories!C28&lt;&gt;"",Categories!C28,"")</f>
        <v/>
      </c>
    </row>
    <row r="19" spans="1:2" ht="30">
      <c r="A19" s="164" t="s">
        <v>23</v>
      </c>
      <c r="B19" s="168" t="str">
        <f>IF(Categories!C29&lt;&gt;"",Categories!C29,"")</f>
        <v/>
      </c>
    </row>
    <row r="20" spans="1:2">
      <c r="A20" s="164" t="s">
        <v>756</v>
      </c>
      <c r="B20" s="168" t="str">
        <f>IF(Categories!C30&lt;&gt;"",Categories!C30,"")</f>
        <v>Secteur: Ekonda, territoire: Bikoro et Ingende, district: Equateur, province: Equateur.  La délimitation physique se décrit dans l'article 2(II).</v>
      </c>
    </row>
    <row r="21" spans="1:2">
      <c r="A21" s="164" t="s">
        <v>25</v>
      </c>
      <c r="B21" s="168" t="str">
        <f>IF(Categories!C31&lt;&gt;"",Categories!C31,"")</f>
        <v/>
      </c>
    </row>
    <row r="22" spans="1:2">
      <c r="A22" s="164" t="s">
        <v>27</v>
      </c>
      <c r="B22" s="168" t="str">
        <f>IF(Categories!C32&lt;&gt;"",Categories!C32,"")</f>
        <v/>
      </c>
    </row>
    <row r="23" spans="1:2">
      <c r="A23" s="164" t="s">
        <v>29</v>
      </c>
      <c r="B23" s="168" t="str">
        <f>IF(Categories!C33&lt;&gt;"",Categories!C33,"")</f>
        <v/>
      </c>
    </row>
    <row r="24" spans="1:2">
      <c r="A24" s="164" t="s">
        <v>31</v>
      </c>
      <c r="B24" s="168" t="str">
        <f>IF(Categories!C34&lt;&gt;"",Categories!C34,"")</f>
        <v/>
      </c>
    </row>
    <row r="25" spans="1:2">
      <c r="A25" s="164" t="s">
        <v>757</v>
      </c>
      <c r="B25" s="168" t="str">
        <f>IF(B24&lt;&gt;"",YEAR(B24),"")</f>
        <v/>
      </c>
    </row>
    <row r="26" spans="1:2">
      <c r="A26" s="164" t="s">
        <v>33</v>
      </c>
      <c r="B26" s="168" t="str">
        <f>IF(Categories!C35&lt;&gt;"",Categories!C35,"")</f>
        <v/>
      </c>
    </row>
    <row r="27" spans="1:2">
      <c r="A27" s="164" t="s">
        <v>35</v>
      </c>
      <c r="B27" s="168" t="str">
        <f>IF(Categories!C36&lt;&gt;"",Categories!C36,"")</f>
        <v/>
      </c>
    </row>
    <row r="28" spans="1:2" ht="45">
      <c r="A28" s="164" t="s">
        <v>41</v>
      </c>
      <c r="B28" s="168" t="str">
        <f>IF(Categories!C40&lt;&gt;"",Categories!C40,"")</f>
        <v>Industrie de Transformation de Bois</v>
      </c>
    </row>
    <row r="29" spans="1:2">
      <c r="A29" s="164" t="s">
        <v>242</v>
      </c>
      <c r="B29" s="168" t="str">
        <f>IF(Categories!C41&lt;&gt;"",Categories!C41,"")</f>
        <v/>
      </c>
    </row>
    <row r="30" spans="1:2">
      <c r="A30" s="164" t="s">
        <v>43</v>
      </c>
      <c r="B30" s="168" t="str">
        <f>IF(Categories!C42&lt;&gt;"",Categories!C42,"")</f>
        <v>Fouad Sarrouf, Gérant Statutaire</v>
      </c>
    </row>
    <row r="31" spans="1:2" ht="30">
      <c r="A31" s="164" t="s">
        <v>45</v>
      </c>
      <c r="B31" s="168" t="str">
        <f>IF(Categories!C43&lt;&gt;"",Categories!C43,"")</f>
        <v>Le Ministre de l'Environnement, Conservation de la Nature et Tourisme</v>
      </c>
    </row>
    <row r="32" spans="1:2">
      <c r="A32" s="164" t="s">
        <v>47</v>
      </c>
      <c r="B32" s="168" t="str">
        <f>IF(Categories!C44&lt;&gt;"",Categories!C44,"")</f>
        <v>José E.B. Endundo, Ministre de l'Environnement, Conservation de la Nature et Tourisme</v>
      </c>
    </row>
    <row r="33" spans="1:2" ht="30">
      <c r="A33" s="164" t="s">
        <v>49</v>
      </c>
      <c r="B33" s="168" t="str">
        <f>IF(Categories!C45&lt;&gt;"",Categories!C45,"")</f>
        <v/>
      </c>
    </row>
    <row r="34" spans="1:2" ht="30">
      <c r="A34" s="164" t="s">
        <v>169</v>
      </c>
      <c r="B34" s="168" t="str">
        <f>IF(Categories!C46&lt;&gt;"",Categories!C46,"")</f>
        <v/>
      </c>
    </row>
    <row r="35" spans="1:2">
      <c r="A35" s="164" t="s">
        <v>57</v>
      </c>
      <c r="B35" s="168" t="str">
        <f>IF(Categories!C50&lt;&gt;"",Categories!C50,"")</f>
        <v>A l'expiration du contrat de concession, ou un an avant la date d'expiration, Industrie de Transformation de Bois peut demander le renouvellement du contrat dans les conditions déterminées par les règlements en vigueur et à condition que les obligations découlant du contrat et du cahier des charges aient été exécutées. En demandant un renouvellement, Industrie de Transformation de Bois  doit fournir les preuves de mise à jour de son plan d'aménagement et du cahier des charges sur la période de renouvellement. Le Gouvernement peut refuser le renouvellement en cas de violation de l'une des quelconques dispositions du présent contrat et du cahier des charges: (1) le non payement de la redevance de superficie et/ou de toutes autres taxes et redevances pertinents; (2) l'exploitation forestière illégale; (3) le commerce illégal des produits forestiers; (4) la violation des obligations sociales et environnementales et de celles relatives aux engagements d'investissements industriels imposées par le présent contrat en vertu des dispositions légales et règlementaires en vigueur; et (5) la corruption, le dol ou la violence ou leur tentative dûment constatés.</v>
      </c>
    </row>
    <row r="36" spans="1:2">
      <c r="A36" s="164" t="s">
        <v>217</v>
      </c>
      <c r="B36" s="168" t="str">
        <f>IF(Categories!C52&lt;&gt;"",Categories!C52,"")</f>
        <v>256.545 hectares</v>
      </c>
    </row>
    <row r="37" spans="1:2">
      <c r="A37" s="166" t="s">
        <v>160</v>
      </c>
      <c r="B37" s="168" t="str">
        <f>IF(Categories!C143&lt;&gt;"",Categories!C143,"")</f>
        <v/>
      </c>
    </row>
    <row r="38" spans="1:2">
      <c r="A38" s="166" t="s">
        <v>162</v>
      </c>
      <c r="B38" s="168" t="str">
        <f>IF(Categories!C144&lt;&gt;"",Categories!C144,"")</f>
        <v>Le cahier des charges, la carte de la concession forestière</v>
      </c>
    </row>
  </sheetData>
  <mergeCells count="1">
    <mergeCell ref="A10:B10"/>
  </mergeCells>
  <dataValidations count="1">
    <dataValidation type="list" allowBlank="1" showInputMessage="1" showErrorMessage="1" sqref="B6">
      <formula1>license_type</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P248"/>
  <sheetViews>
    <sheetView workbookViewId="0">
      <selection activeCell="A51" sqref="A51"/>
    </sheetView>
  </sheetViews>
  <sheetFormatPr baseColWidth="10" defaultColWidth="11" defaultRowHeight="15" x14ac:dyDescent="0"/>
  <cols>
    <col min="7" max="7" width="23.5" bestFit="1" customWidth="1"/>
  </cols>
  <sheetData>
    <row r="1" spans="1:11">
      <c r="A1" t="s">
        <v>245</v>
      </c>
      <c r="B1" t="s">
        <v>246</v>
      </c>
      <c r="D1" t="s">
        <v>738</v>
      </c>
      <c r="G1" t="s">
        <v>742</v>
      </c>
      <c r="J1" t="s">
        <v>758</v>
      </c>
    </row>
    <row r="2" spans="1:11">
      <c r="A2" t="s">
        <v>247</v>
      </c>
      <c r="B2" t="s">
        <v>248</v>
      </c>
      <c r="D2" t="s">
        <v>782</v>
      </c>
      <c r="G2" s="163" t="s">
        <v>744</v>
      </c>
      <c r="H2" s="163" t="s">
        <v>744</v>
      </c>
      <c r="J2" t="s">
        <v>771</v>
      </c>
      <c r="K2" t="s">
        <v>773</v>
      </c>
    </row>
    <row r="3" spans="1:11">
      <c r="A3" t="s">
        <v>249</v>
      </c>
      <c r="B3" t="s">
        <v>250</v>
      </c>
      <c r="D3" s="170" t="s">
        <v>783</v>
      </c>
      <c r="E3" s="170" t="s">
        <v>783</v>
      </c>
      <c r="G3" t="s">
        <v>775</v>
      </c>
      <c r="J3" t="s">
        <v>772</v>
      </c>
      <c r="K3" t="s">
        <v>770</v>
      </c>
    </row>
    <row r="4" spans="1:11">
      <c r="A4" t="s">
        <v>251</v>
      </c>
      <c r="B4" t="s">
        <v>252</v>
      </c>
      <c r="D4" t="s">
        <v>784</v>
      </c>
      <c r="E4" t="s">
        <v>814</v>
      </c>
      <c r="G4" s="163" t="s">
        <v>743</v>
      </c>
      <c r="H4" t="s">
        <v>765</v>
      </c>
    </row>
    <row r="5" spans="1:11" ht="30">
      <c r="A5" t="s">
        <v>253</v>
      </c>
      <c r="B5" t="s">
        <v>254</v>
      </c>
      <c r="D5" t="s">
        <v>785</v>
      </c>
      <c r="G5" s="163" t="s">
        <v>776</v>
      </c>
      <c r="H5" t="s">
        <v>822</v>
      </c>
    </row>
    <row r="6" spans="1:11">
      <c r="A6" t="s">
        <v>255</v>
      </c>
      <c r="B6" t="s">
        <v>256</v>
      </c>
      <c r="D6" t="s">
        <v>786</v>
      </c>
      <c r="G6" s="163" t="s">
        <v>777</v>
      </c>
    </row>
    <row r="7" spans="1:11" ht="30">
      <c r="A7" t="s">
        <v>257</v>
      </c>
      <c r="B7" t="s">
        <v>258</v>
      </c>
      <c r="D7" t="s">
        <v>787</v>
      </c>
      <c r="E7" t="s">
        <v>815</v>
      </c>
      <c r="G7" s="163" t="s">
        <v>778</v>
      </c>
    </row>
    <row r="8" spans="1:11">
      <c r="A8" t="s">
        <v>259</v>
      </c>
      <c r="B8" t="s">
        <v>260</v>
      </c>
      <c r="D8" t="s">
        <v>788</v>
      </c>
      <c r="G8" t="s">
        <v>779</v>
      </c>
    </row>
    <row r="9" spans="1:11">
      <c r="A9" t="s">
        <v>261</v>
      </c>
      <c r="B9" t="s">
        <v>262</v>
      </c>
      <c r="D9" t="s">
        <v>789</v>
      </c>
      <c r="E9" t="s">
        <v>816</v>
      </c>
      <c r="G9" t="s">
        <v>747</v>
      </c>
      <c r="H9" t="s">
        <v>768</v>
      </c>
    </row>
    <row r="10" spans="1:11" ht="30">
      <c r="A10" t="s">
        <v>263</v>
      </c>
      <c r="B10" t="s">
        <v>264</v>
      </c>
      <c r="D10" t="s">
        <v>790</v>
      </c>
      <c r="E10" t="s">
        <v>819</v>
      </c>
      <c r="G10" s="163" t="s">
        <v>748</v>
      </c>
      <c r="H10" t="s">
        <v>766</v>
      </c>
    </row>
    <row r="11" spans="1:11" ht="45">
      <c r="A11" t="s">
        <v>265</v>
      </c>
      <c r="B11" t="s">
        <v>266</v>
      </c>
      <c r="D11" t="s">
        <v>791</v>
      </c>
      <c r="G11" s="163" t="s">
        <v>780</v>
      </c>
    </row>
    <row r="12" spans="1:11">
      <c r="A12" t="s">
        <v>267</v>
      </c>
      <c r="B12" t="s">
        <v>268</v>
      </c>
      <c r="D12" t="s">
        <v>792</v>
      </c>
      <c r="G12" s="163" t="s">
        <v>781</v>
      </c>
    </row>
    <row r="13" spans="1:11">
      <c r="A13" t="s">
        <v>269</v>
      </c>
      <c r="B13" t="s">
        <v>270</v>
      </c>
      <c r="D13" t="s">
        <v>793</v>
      </c>
      <c r="G13" s="163" t="s">
        <v>745</v>
      </c>
      <c r="H13" t="s">
        <v>767</v>
      </c>
    </row>
    <row r="14" spans="1:11">
      <c r="A14" t="s">
        <v>271</v>
      </c>
      <c r="B14" t="s">
        <v>272</v>
      </c>
      <c r="D14" t="s">
        <v>794</v>
      </c>
      <c r="G14" s="163" t="s">
        <v>746</v>
      </c>
      <c r="H14" t="s">
        <v>769</v>
      </c>
    </row>
    <row r="15" spans="1:11">
      <c r="A15" t="s">
        <v>273</v>
      </c>
      <c r="B15" t="s">
        <v>274</v>
      </c>
      <c r="D15" t="s">
        <v>795</v>
      </c>
    </row>
    <row r="16" spans="1:11">
      <c r="A16" t="s">
        <v>275</v>
      </c>
      <c r="B16" t="s">
        <v>276</v>
      </c>
      <c r="D16" t="s">
        <v>796</v>
      </c>
    </row>
    <row r="17" spans="1:16">
      <c r="A17" t="s">
        <v>277</v>
      </c>
      <c r="B17" t="s">
        <v>278</v>
      </c>
      <c r="D17" t="s">
        <v>797</v>
      </c>
    </row>
    <row r="18" spans="1:16">
      <c r="A18" t="s">
        <v>279</v>
      </c>
      <c r="B18" t="s">
        <v>280</v>
      </c>
      <c r="D18" t="s">
        <v>798</v>
      </c>
    </row>
    <row r="19" spans="1:16">
      <c r="A19" t="s">
        <v>281</v>
      </c>
      <c r="B19" t="s">
        <v>282</v>
      </c>
      <c r="D19" t="s">
        <v>799</v>
      </c>
      <c r="O19" t="s">
        <v>739</v>
      </c>
      <c r="P19" t="s">
        <v>760</v>
      </c>
    </row>
    <row r="20" spans="1:16">
      <c r="A20" t="s">
        <v>283</v>
      </c>
      <c r="B20" t="s">
        <v>284</v>
      </c>
      <c r="D20" t="s">
        <v>800</v>
      </c>
      <c r="O20" t="s">
        <v>741</v>
      </c>
      <c r="P20" t="s">
        <v>741</v>
      </c>
    </row>
    <row r="21" spans="1:16">
      <c r="A21" t="s">
        <v>285</v>
      </c>
      <c r="B21" t="s">
        <v>286</v>
      </c>
      <c r="D21" t="s">
        <v>801</v>
      </c>
      <c r="O21" t="s">
        <v>750</v>
      </c>
      <c r="P21" t="s">
        <v>759</v>
      </c>
    </row>
    <row r="22" spans="1:16">
      <c r="A22" t="s">
        <v>287</v>
      </c>
      <c r="B22" t="s">
        <v>288</v>
      </c>
      <c r="D22" t="s">
        <v>802</v>
      </c>
      <c r="O22" t="s">
        <v>751</v>
      </c>
      <c r="P22" t="s">
        <v>761</v>
      </c>
    </row>
    <row r="23" spans="1:16">
      <c r="A23" t="s">
        <v>289</v>
      </c>
      <c r="B23" t="s">
        <v>290</v>
      </c>
      <c r="D23" t="s">
        <v>803</v>
      </c>
      <c r="O23" t="s">
        <v>752</v>
      </c>
      <c r="P23" t="s">
        <v>762</v>
      </c>
    </row>
    <row r="24" spans="1:16">
      <c r="A24" t="s">
        <v>291</v>
      </c>
      <c r="B24" t="s">
        <v>292</v>
      </c>
      <c r="D24" t="s">
        <v>804</v>
      </c>
      <c r="O24" t="s">
        <v>753</v>
      </c>
      <c r="P24" t="s">
        <v>763</v>
      </c>
    </row>
    <row r="25" spans="1:16">
      <c r="A25" t="s">
        <v>293</v>
      </c>
      <c r="B25" t="s">
        <v>294</v>
      </c>
      <c r="D25" t="s">
        <v>805</v>
      </c>
      <c r="O25" t="s">
        <v>754</v>
      </c>
      <c r="P25" t="s">
        <v>764</v>
      </c>
    </row>
    <row r="26" spans="1:16">
      <c r="A26" t="s">
        <v>295</v>
      </c>
      <c r="B26" t="s">
        <v>296</v>
      </c>
      <c r="D26" t="s">
        <v>806</v>
      </c>
    </row>
    <row r="27" spans="1:16">
      <c r="A27" t="s">
        <v>297</v>
      </c>
      <c r="B27" t="s">
        <v>298</v>
      </c>
      <c r="D27" t="s">
        <v>807</v>
      </c>
      <c r="E27" t="s">
        <v>821</v>
      </c>
    </row>
    <row r="28" spans="1:16">
      <c r="A28" t="s">
        <v>299</v>
      </c>
      <c r="B28" t="s">
        <v>300</v>
      </c>
      <c r="D28" t="s">
        <v>808</v>
      </c>
    </row>
    <row r="29" spans="1:16">
      <c r="A29" t="s">
        <v>301</v>
      </c>
      <c r="B29" t="s">
        <v>302</v>
      </c>
      <c r="D29" t="s">
        <v>809</v>
      </c>
      <c r="E29" t="s">
        <v>820</v>
      </c>
    </row>
    <row r="30" spans="1:16">
      <c r="A30" t="s">
        <v>303</v>
      </c>
      <c r="B30" t="s">
        <v>304</v>
      </c>
      <c r="D30" t="s">
        <v>810</v>
      </c>
    </row>
    <row r="31" spans="1:16">
      <c r="A31" t="s">
        <v>305</v>
      </c>
      <c r="B31" t="s">
        <v>306</v>
      </c>
      <c r="D31" t="s">
        <v>811</v>
      </c>
    </row>
    <row r="32" spans="1:16">
      <c r="A32" t="s">
        <v>307</v>
      </c>
      <c r="B32" t="s">
        <v>308</v>
      </c>
      <c r="D32" t="s">
        <v>812</v>
      </c>
      <c r="E32" t="s">
        <v>818</v>
      </c>
    </row>
    <row r="33" spans="1:5">
      <c r="A33" t="s">
        <v>309</v>
      </c>
      <c r="B33" t="s">
        <v>310</v>
      </c>
      <c r="D33" t="s">
        <v>813</v>
      </c>
      <c r="E33" t="s">
        <v>817</v>
      </c>
    </row>
    <row r="34" spans="1:5">
      <c r="A34" t="s">
        <v>311</v>
      </c>
      <c r="B34" t="s">
        <v>312</v>
      </c>
    </row>
    <row r="35" spans="1:5">
      <c r="A35" t="s">
        <v>313</v>
      </c>
      <c r="B35" t="s">
        <v>314</v>
      </c>
    </row>
    <row r="36" spans="1:5">
      <c r="A36" t="s">
        <v>315</v>
      </c>
      <c r="B36" t="s">
        <v>316</v>
      </c>
    </row>
    <row r="37" spans="1:5">
      <c r="A37" t="s">
        <v>317</v>
      </c>
      <c r="B37" t="s">
        <v>318</v>
      </c>
    </row>
    <row r="38" spans="1:5">
      <c r="A38" t="s">
        <v>319</v>
      </c>
      <c r="B38" t="s">
        <v>320</v>
      </c>
    </row>
    <row r="39" spans="1:5">
      <c r="A39" t="s">
        <v>321</v>
      </c>
      <c r="B39" t="s">
        <v>322</v>
      </c>
    </row>
    <row r="40" spans="1:5">
      <c r="A40" t="s">
        <v>323</v>
      </c>
      <c r="B40" t="s">
        <v>324</v>
      </c>
    </row>
    <row r="41" spans="1:5">
      <c r="A41" t="s">
        <v>325</v>
      </c>
      <c r="B41" t="s">
        <v>326</v>
      </c>
    </row>
    <row r="42" spans="1:5">
      <c r="A42" t="s">
        <v>327</v>
      </c>
      <c r="B42" t="s">
        <v>328</v>
      </c>
    </row>
    <row r="43" spans="1:5">
      <c r="A43" t="s">
        <v>329</v>
      </c>
      <c r="B43" t="s">
        <v>330</v>
      </c>
    </row>
    <row r="44" spans="1:5">
      <c r="A44" t="s">
        <v>331</v>
      </c>
      <c r="B44" t="s">
        <v>332</v>
      </c>
    </row>
    <row r="45" spans="1:5">
      <c r="A45" t="s">
        <v>333</v>
      </c>
      <c r="B45" t="s">
        <v>334</v>
      </c>
    </row>
    <row r="46" spans="1:5">
      <c r="A46" t="s">
        <v>335</v>
      </c>
      <c r="B46" t="s">
        <v>336</v>
      </c>
    </row>
    <row r="47" spans="1:5">
      <c r="A47" t="s">
        <v>337</v>
      </c>
      <c r="B47" t="s">
        <v>338</v>
      </c>
    </row>
    <row r="48" spans="1:5">
      <c r="A48" t="s">
        <v>339</v>
      </c>
      <c r="B48" t="s">
        <v>340</v>
      </c>
    </row>
    <row r="49" spans="1:2">
      <c r="A49" t="s">
        <v>341</v>
      </c>
      <c r="B49" t="s">
        <v>342</v>
      </c>
    </row>
    <row r="50" spans="1:2">
      <c r="A50" t="s">
        <v>343</v>
      </c>
      <c r="B50" t="s">
        <v>344</v>
      </c>
    </row>
    <row r="51" spans="1:2">
      <c r="A51" t="s">
        <v>345</v>
      </c>
      <c r="B51" t="s">
        <v>346</v>
      </c>
    </row>
    <row r="52" spans="1:2">
      <c r="A52" t="s">
        <v>347</v>
      </c>
      <c r="B52" t="s">
        <v>348</v>
      </c>
    </row>
    <row r="53" spans="1:2">
      <c r="A53" t="s">
        <v>349</v>
      </c>
      <c r="B53" t="s">
        <v>350</v>
      </c>
    </row>
    <row r="54" spans="1:2">
      <c r="A54" t="s">
        <v>351</v>
      </c>
      <c r="B54" t="s">
        <v>352</v>
      </c>
    </row>
    <row r="55" spans="1:2">
      <c r="A55" t="s">
        <v>353</v>
      </c>
      <c r="B55" t="s">
        <v>354</v>
      </c>
    </row>
    <row r="56" spans="1:2">
      <c r="A56" t="s">
        <v>355</v>
      </c>
      <c r="B56" t="s">
        <v>356</v>
      </c>
    </row>
    <row r="57" spans="1:2">
      <c r="A57" t="s">
        <v>357</v>
      </c>
      <c r="B57" t="s">
        <v>358</v>
      </c>
    </row>
    <row r="58" spans="1:2">
      <c r="A58" t="s">
        <v>359</v>
      </c>
      <c r="B58" t="s">
        <v>360</v>
      </c>
    </row>
    <row r="59" spans="1:2">
      <c r="A59" t="s">
        <v>361</v>
      </c>
      <c r="B59" t="s">
        <v>362</v>
      </c>
    </row>
    <row r="60" spans="1:2">
      <c r="A60" t="s">
        <v>363</v>
      </c>
      <c r="B60" t="s">
        <v>364</v>
      </c>
    </row>
    <row r="61" spans="1:2">
      <c r="A61" t="s">
        <v>365</v>
      </c>
      <c r="B61" t="s">
        <v>366</v>
      </c>
    </row>
    <row r="62" spans="1:2">
      <c r="A62" t="s">
        <v>367</v>
      </c>
      <c r="B62" t="s">
        <v>368</v>
      </c>
    </row>
    <row r="63" spans="1:2">
      <c r="A63" t="s">
        <v>369</v>
      </c>
      <c r="B63" t="s">
        <v>370</v>
      </c>
    </row>
    <row r="64" spans="1:2">
      <c r="A64" t="s">
        <v>371</v>
      </c>
      <c r="B64" t="s">
        <v>372</v>
      </c>
    </row>
    <row r="65" spans="1:2">
      <c r="A65" t="s">
        <v>373</v>
      </c>
      <c r="B65" t="s">
        <v>374</v>
      </c>
    </row>
    <row r="66" spans="1:2">
      <c r="A66" t="s">
        <v>375</v>
      </c>
      <c r="B66" t="s">
        <v>376</v>
      </c>
    </row>
    <row r="67" spans="1:2">
      <c r="A67" t="s">
        <v>377</v>
      </c>
      <c r="B67" t="s">
        <v>378</v>
      </c>
    </row>
    <row r="68" spans="1:2">
      <c r="A68" t="s">
        <v>379</v>
      </c>
      <c r="B68" t="s">
        <v>380</v>
      </c>
    </row>
    <row r="69" spans="1:2">
      <c r="A69" t="s">
        <v>381</v>
      </c>
      <c r="B69" t="s">
        <v>382</v>
      </c>
    </row>
    <row r="70" spans="1:2">
      <c r="A70" t="s">
        <v>383</v>
      </c>
      <c r="B70" t="s">
        <v>384</v>
      </c>
    </row>
    <row r="71" spans="1:2">
      <c r="A71" t="s">
        <v>385</v>
      </c>
      <c r="B71" t="s">
        <v>386</v>
      </c>
    </row>
    <row r="72" spans="1:2">
      <c r="A72" t="s">
        <v>387</v>
      </c>
      <c r="B72" t="s">
        <v>388</v>
      </c>
    </row>
    <row r="73" spans="1:2">
      <c r="A73" t="s">
        <v>389</v>
      </c>
      <c r="B73" t="s">
        <v>390</v>
      </c>
    </row>
    <row r="74" spans="1:2">
      <c r="A74" t="s">
        <v>391</v>
      </c>
      <c r="B74" t="s">
        <v>392</v>
      </c>
    </row>
    <row r="75" spans="1:2">
      <c r="A75" t="s">
        <v>393</v>
      </c>
      <c r="B75" t="s">
        <v>394</v>
      </c>
    </row>
    <row r="76" spans="1:2">
      <c r="A76" t="s">
        <v>395</v>
      </c>
      <c r="B76" t="s">
        <v>396</v>
      </c>
    </row>
    <row r="77" spans="1:2">
      <c r="A77" t="s">
        <v>397</v>
      </c>
      <c r="B77" t="s">
        <v>398</v>
      </c>
    </row>
    <row r="78" spans="1:2">
      <c r="A78" t="s">
        <v>399</v>
      </c>
      <c r="B78" t="s">
        <v>400</v>
      </c>
    </row>
    <row r="79" spans="1:2">
      <c r="A79" t="s">
        <v>401</v>
      </c>
      <c r="B79" t="s">
        <v>402</v>
      </c>
    </row>
    <row r="80" spans="1:2">
      <c r="A80" t="s">
        <v>403</v>
      </c>
      <c r="B80" t="s">
        <v>404</v>
      </c>
    </row>
    <row r="81" spans="1:2">
      <c r="A81" t="s">
        <v>405</v>
      </c>
      <c r="B81" t="s">
        <v>406</v>
      </c>
    </row>
    <row r="82" spans="1:2">
      <c r="A82" t="s">
        <v>407</v>
      </c>
      <c r="B82" t="s">
        <v>408</v>
      </c>
    </row>
    <row r="83" spans="1:2">
      <c r="A83" t="s">
        <v>409</v>
      </c>
      <c r="B83" t="s">
        <v>410</v>
      </c>
    </row>
    <row r="84" spans="1:2">
      <c r="A84" t="s">
        <v>411</v>
      </c>
      <c r="B84" t="s">
        <v>412</v>
      </c>
    </row>
    <row r="85" spans="1:2">
      <c r="A85" t="s">
        <v>413</v>
      </c>
      <c r="B85" t="s">
        <v>414</v>
      </c>
    </row>
    <row r="86" spans="1:2">
      <c r="A86" t="s">
        <v>415</v>
      </c>
      <c r="B86" t="s">
        <v>416</v>
      </c>
    </row>
    <row r="87" spans="1:2">
      <c r="A87" t="s">
        <v>417</v>
      </c>
      <c r="B87" t="s">
        <v>418</v>
      </c>
    </row>
    <row r="88" spans="1:2">
      <c r="A88" t="s">
        <v>419</v>
      </c>
      <c r="B88" t="s">
        <v>420</v>
      </c>
    </row>
    <row r="89" spans="1:2">
      <c r="A89" t="s">
        <v>421</v>
      </c>
      <c r="B89" t="s">
        <v>422</v>
      </c>
    </row>
    <row r="90" spans="1:2">
      <c r="A90" t="s">
        <v>423</v>
      </c>
      <c r="B90" t="s">
        <v>424</v>
      </c>
    </row>
    <row r="91" spans="1:2">
      <c r="A91" t="s">
        <v>425</v>
      </c>
      <c r="B91" t="s">
        <v>426</v>
      </c>
    </row>
    <row r="92" spans="1:2">
      <c r="A92" t="s">
        <v>427</v>
      </c>
      <c r="B92" t="s">
        <v>428</v>
      </c>
    </row>
    <row r="93" spans="1:2">
      <c r="A93" t="s">
        <v>429</v>
      </c>
      <c r="B93" t="s">
        <v>430</v>
      </c>
    </row>
    <row r="94" spans="1:2">
      <c r="A94" t="s">
        <v>431</v>
      </c>
      <c r="B94" t="s">
        <v>432</v>
      </c>
    </row>
    <row r="95" spans="1:2">
      <c r="A95" t="s">
        <v>433</v>
      </c>
      <c r="B95" t="s">
        <v>434</v>
      </c>
    </row>
    <row r="96" spans="1:2">
      <c r="A96" t="s">
        <v>435</v>
      </c>
      <c r="B96" t="s">
        <v>108</v>
      </c>
    </row>
    <row r="97" spans="1:2">
      <c r="A97" t="s">
        <v>436</v>
      </c>
      <c r="B97" t="s">
        <v>437</v>
      </c>
    </row>
    <row r="98" spans="1:2">
      <c r="A98" t="s">
        <v>438</v>
      </c>
      <c r="B98" t="s">
        <v>439</v>
      </c>
    </row>
    <row r="99" spans="1:2">
      <c r="A99" t="s">
        <v>440</v>
      </c>
      <c r="B99" t="s">
        <v>441</v>
      </c>
    </row>
    <row r="100" spans="1:2">
      <c r="A100" t="s">
        <v>442</v>
      </c>
      <c r="B100" t="s">
        <v>443</v>
      </c>
    </row>
    <row r="101" spans="1:2">
      <c r="A101" t="s">
        <v>444</v>
      </c>
      <c r="B101" t="s">
        <v>445</v>
      </c>
    </row>
    <row r="102" spans="1:2">
      <c r="A102" t="s">
        <v>446</v>
      </c>
      <c r="B102" t="s">
        <v>447</v>
      </c>
    </row>
    <row r="103" spans="1:2">
      <c r="A103" t="s">
        <v>448</v>
      </c>
      <c r="B103" t="s">
        <v>449</v>
      </c>
    </row>
    <row r="104" spans="1:2">
      <c r="A104" t="s">
        <v>450</v>
      </c>
      <c r="B104" t="s">
        <v>451</v>
      </c>
    </row>
    <row r="105" spans="1:2">
      <c r="A105" t="s">
        <v>452</v>
      </c>
      <c r="B105" t="s">
        <v>453</v>
      </c>
    </row>
    <row r="106" spans="1:2">
      <c r="A106" t="s">
        <v>454</v>
      </c>
      <c r="B106" t="s">
        <v>455</v>
      </c>
    </row>
    <row r="107" spans="1:2">
      <c r="A107" t="s">
        <v>456</v>
      </c>
      <c r="B107" t="s">
        <v>457</v>
      </c>
    </row>
    <row r="108" spans="1:2">
      <c r="A108" t="s">
        <v>458</v>
      </c>
      <c r="B108" t="s">
        <v>459</v>
      </c>
    </row>
    <row r="109" spans="1:2">
      <c r="A109" t="s">
        <v>460</v>
      </c>
      <c r="B109" t="s">
        <v>461</v>
      </c>
    </row>
    <row r="110" spans="1:2">
      <c r="A110" t="s">
        <v>462</v>
      </c>
      <c r="B110" t="s">
        <v>463</v>
      </c>
    </row>
    <row r="111" spans="1:2">
      <c r="A111" t="s">
        <v>464</v>
      </c>
      <c r="B111" t="s">
        <v>465</v>
      </c>
    </row>
    <row r="112" spans="1:2">
      <c r="A112" t="s">
        <v>466</v>
      </c>
      <c r="B112" t="s">
        <v>467</v>
      </c>
    </row>
    <row r="113" spans="1:2">
      <c r="A113" t="s">
        <v>468</v>
      </c>
      <c r="B113" t="s">
        <v>469</v>
      </c>
    </row>
    <row r="114" spans="1:2">
      <c r="A114" t="s">
        <v>470</v>
      </c>
      <c r="B114" t="s">
        <v>471</v>
      </c>
    </row>
    <row r="115" spans="1:2">
      <c r="A115" t="s">
        <v>472</v>
      </c>
      <c r="B115" t="s">
        <v>473</v>
      </c>
    </row>
    <row r="116" spans="1:2">
      <c r="A116" t="s">
        <v>474</v>
      </c>
      <c r="B116" t="s">
        <v>475</v>
      </c>
    </row>
    <row r="117" spans="1:2">
      <c r="A117" t="s">
        <v>476</v>
      </c>
      <c r="B117" t="s">
        <v>477</v>
      </c>
    </row>
    <row r="118" spans="1:2">
      <c r="A118" t="s">
        <v>478</v>
      </c>
      <c r="B118" t="s">
        <v>479</v>
      </c>
    </row>
    <row r="119" spans="1:2">
      <c r="A119" t="s">
        <v>480</v>
      </c>
      <c r="B119" t="s">
        <v>481</v>
      </c>
    </row>
    <row r="120" spans="1:2">
      <c r="A120" t="s">
        <v>482</v>
      </c>
      <c r="B120" t="s">
        <v>483</v>
      </c>
    </row>
    <row r="121" spans="1:2">
      <c r="A121" t="s">
        <v>484</v>
      </c>
      <c r="B121" t="s">
        <v>485</v>
      </c>
    </row>
    <row r="122" spans="1:2">
      <c r="A122" t="s">
        <v>486</v>
      </c>
      <c r="B122" t="s">
        <v>487</v>
      </c>
    </row>
    <row r="123" spans="1:2">
      <c r="A123" t="s">
        <v>488</v>
      </c>
      <c r="B123" t="s">
        <v>489</v>
      </c>
    </row>
    <row r="124" spans="1:2">
      <c r="A124" t="s">
        <v>490</v>
      </c>
      <c r="B124" t="s">
        <v>491</v>
      </c>
    </row>
    <row r="125" spans="1:2">
      <c r="A125" t="s">
        <v>492</v>
      </c>
      <c r="B125" t="s">
        <v>493</v>
      </c>
    </row>
    <row r="126" spans="1:2">
      <c r="A126" t="s">
        <v>494</v>
      </c>
      <c r="B126" t="s">
        <v>495</v>
      </c>
    </row>
    <row r="127" spans="1:2">
      <c r="A127" t="s">
        <v>496</v>
      </c>
      <c r="B127" t="s">
        <v>497</v>
      </c>
    </row>
    <row r="128" spans="1:2">
      <c r="A128" t="s">
        <v>498</v>
      </c>
      <c r="B128" t="s">
        <v>499</v>
      </c>
    </row>
    <row r="129" spans="1:2">
      <c r="A129" t="s">
        <v>500</v>
      </c>
      <c r="B129" t="s">
        <v>501</v>
      </c>
    </row>
    <row r="130" spans="1:2">
      <c r="A130" t="s">
        <v>502</v>
      </c>
      <c r="B130" t="s">
        <v>503</v>
      </c>
    </row>
    <row r="131" spans="1:2">
      <c r="A131" t="s">
        <v>504</v>
      </c>
      <c r="B131" t="s">
        <v>505</v>
      </c>
    </row>
    <row r="132" spans="1:2">
      <c r="A132" t="s">
        <v>506</v>
      </c>
      <c r="B132" t="s">
        <v>507</v>
      </c>
    </row>
    <row r="133" spans="1:2">
      <c r="A133" t="s">
        <v>508</v>
      </c>
      <c r="B133" t="s">
        <v>509</v>
      </c>
    </row>
    <row r="134" spans="1:2">
      <c r="A134" t="s">
        <v>510</v>
      </c>
      <c r="B134" t="s">
        <v>511</v>
      </c>
    </row>
    <row r="135" spans="1:2">
      <c r="A135" t="s">
        <v>512</v>
      </c>
      <c r="B135" t="s">
        <v>513</v>
      </c>
    </row>
    <row r="136" spans="1:2">
      <c r="A136" t="s">
        <v>514</v>
      </c>
      <c r="B136" t="s">
        <v>515</v>
      </c>
    </row>
    <row r="137" spans="1:2">
      <c r="A137" t="s">
        <v>516</v>
      </c>
      <c r="B137" t="s">
        <v>517</v>
      </c>
    </row>
    <row r="138" spans="1:2">
      <c r="A138" t="s">
        <v>518</v>
      </c>
      <c r="B138" t="s">
        <v>519</v>
      </c>
    </row>
    <row r="139" spans="1:2">
      <c r="A139" t="s">
        <v>520</v>
      </c>
      <c r="B139" t="s">
        <v>521</v>
      </c>
    </row>
    <row r="140" spans="1:2">
      <c r="A140" t="s">
        <v>522</v>
      </c>
      <c r="B140" t="s">
        <v>523</v>
      </c>
    </row>
    <row r="141" spans="1:2">
      <c r="A141" t="s">
        <v>524</v>
      </c>
      <c r="B141" t="s">
        <v>525</v>
      </c>
    </row>
    <row r="142" spans="1:2">
      <c r="A142" t="s">
        <v>526</v>
      </c>
      <c r="B142" t="s">
        <v>527</v>
      </c>
    </row>
    <row r="143" spans="1:2">
      <c r="A143" t="s">
        <v>528</v>
      </c>
      <c r="B143" t="s">
        <v>529</v>
      </c>
    </row>
    <row r="144" spans="1:2">
      <c r="A144" t="s">
        <v>530</v>
      </c>
      <c r="B144" t="s">
        <v>531</v>
      </c>
    </row>
    <row r="145" spans="1:2">
      <c r="A145" t="s">
        <v>532</v>
      </c>
      <c r="B145" t="s">
        <v>533</v>
      </c>
    </row>
    <row r="146" spans="1:2">
      <c r="A146" t="s">
        <v>534</v>
      </c>
      <c r="B146" t="s">
        <v>535</v>
      </c>
    </row>
    <row r="147" spans="1:2">
      <c r="A147" t="s">
        <v>536</v>
      </c>
      <c r="B147" t="s">
        <v>537</v>
      </c>
    </row>
    <row r="148" spans="1:2">
      <c r="A148" t="s">
        <v>538</v>
      </c>
      <c r="B148" t="s">
        <v>539</v>
      </c>
    </row>
    <row r="149" spans="1:2">
      <c r="A149" t="s">
        <v>540</v>
      </c>
      <c r="B149" t="s">
        <v>541</v>
      </c>
    </row>
    <row r="150" spans="1:2">
      <c r="A150" t="s">
        <v>542</v>
      </c>
      <c r="B150" t="s">
        <v>543</v>
      </c>
    </row>
    <row r="151" spans="1:2">
      <c r="A151" t="s">
        <v>544</v>
      </c>
      <c r="B151" t="s">
        <v>545</v>
      </c>
    </row>
    <row r="152" spans="1:2">
      <c r="A152" t="s">
        <v>546</v>
      </c>
      <c r="B152" t="s">
        <v>547</v>
      </c>
    </row>
    <row r="153" spans="1:2">
      <c r="A153" t="s">
        <v>548</v>
      </c>
      <c r="B153" t="s">
        <v>549</v>
      </c>
    </row>
    <row r="154" spans="1:2">
      <c r="A154" t="s">
        <v>550</v>
      </c>
      <c r="B154" t="s">
        <v>551</v>
      </c>
    </row>
    <row r="155" spans="1:2">
      <c r="A155" t="s">
        <v>552</v>
      </c>
      <c r="B155" t="s">
        <v>553</v>
      </c>
    </row>
    <row r="156" spans="1:2">
      <c r="A156" t="s">
        <v>554</v>
      </c>
      <c r="B156" t="s">
        <v>555</v>
      </c>
    </row>
    <row r="157" spans="1:2">
      <c r="A157" t="s">
        <v>556</v>
      </c>
      <c r="B157" t="s">
        <v>557</v>
      </c>
    </row>
    <row r="158" spans="1:2">
      <c r="A158" t="s">
        <v>558</v>
      </c>
      <c r="B158" t="s">
        <v>559</v>
      </c>
    </row>
    <row r="159" spans="1:2">
      <c r="A159" t="s">
        <v>560</v>
      </c>
      <c r="B159" t="s">
        <v>561</v>
      </c>
    </row>
    <row r="160" spans="1:2">
      <c r="A160" t="s">
        <v>562</v>
      </c>
      <c r="B160" t="s">
        <v>563</v>
      </c>
    </row>
    <row r="161" spans="1:2">
      <c r="A161" t="s">
        <v>564</v>
      </c>
      <c r="B161" t="s">
        <v>565</v>
      </c>
    </row>
    <row r="162" spans="1:2">
      <c r="A162" t="s">
        <v>566</v>
      </c>
      <c r="B162" t="s">
        <v>567</v>
      </c>
    </row>
    <row r="163" spans="1:2">
      <c r="A163" t="s">
        <v>568</v>
      </c>
      <c r="B163" t="s">
        <v>569</v>
      </c>
    </row>
    <row r="164" spans="1:2">
      <c r="A164" t="s">
        <v>570</v>
      </c>
      <c r="B164" t="s">
        <v>571</v>
      </c>
    </row>
    <row r="165" spans="1:2">
      <c r="A165" t="s">
        <v>572</v>
      </c>
      <c r="B165" t="s">
        <v>573</v>
      </c>
    </row>
    <row r="166" spans="1:2">
      <c r="A166" t="s">
        <v>574</v>
      </c>
      <c r="B166" t="s">
        <v>575</v>
      </c>
    </row>
    <row r="167" spans="1:2">
      <c r="A167" t="s">
        <v>576</v>
      </c>
      <c r="B167" t="s">
        <v>577</v>
      </c>
    </row>
    <row r="168" spans="1:2">
      <c r="A168" t="s">
        <v>578</v>
      </c>
      <c r="B168" t="s">
        <v>579</v>
      </c>
    </row>
    <row r="169" spans="1:2">
      <c r="A169" t="s">
        <v>580</v>
      </c>
      <c r="B169" t="s">
        <v>581</v>
      </c>
    </row>
    <row r="170" spans="1:2">
      <c r="A170" t="s">
        <v>582</v>
      </c>
      <c r="B170" t="s">
        <v>583</v>
      </c>
    </row>
    <row r="171" spans="1:2">
      <c r="A171" t="s">
        <v>584</v>
      </c>
      <c r="B171" t="s">
        <v>585</v>
      </c>
    </row>
    <row r="172" spans="1:2">
      <c r="A172" t="s">
        <v>586</v>
      </c>
      <c r="B172" t="s">
        <v>587</v>
      </c>
    </row>
    <row r="173" spans="1:2">
      <c r="A173" t="s">
        <v>588</v>
      </c>
      <c r="B173" t="s">
        <v>589</v>
      </c>
    </row>
    <row r="174" spans="1:2">
      <c r="A174" t="s">
        <v>590</v>
      </c>
      <c r="B174" t="s">
        <v>591</v>
      </c>
    </row>
    <row r="175" spans="1:2">
      <c r="A175" t="s">
        <v>592</v>
      </c>
      <c r="B175" t="s">
        <v>593</v>
      </c>
    </row>
    <row r="176" spans="1:2">
      <c r="A176" t="s">
        <v>594</v>
      </c>
      <c r="B176" t="s">
        <v>595</v>
      </c>
    </row>
    <row r="177" spans="1:2">
      <c r="A177" t="s">
        <v>596</v>
      </c>
      <c r="B177" t="s">
        <v>597</v>
      </c>
    </row>
    <row r="178" spans="1:2">
      <c r="A178" t="s">
        <v>598</v>
      </c>
      <c r="B178" t="s">
        <v>599</v>
      </c>
    </row>
    <row r="179" spans="1:2">
      <c r="A179" t="s">
        <v>600</v>
      </c>
      <c r="B179" t="s">
        <v>601</v>
      </c>
    </row>
    <row r="180" spans="1:2">
      <c r="A180" t="s">
        <v>602</v>
      </c>
      <c r="B180" t="s">
        <v>603</v>
      </c>
    </row>
    <row r="181" spans="1:2">
      <c r="A181" t="s">
        <v>604</v>
      </c>
      <c r="B181" t="s">
        <v>605</v>
      </c>
    </row>
    <row r="182" spans="1:2">
      <c r="A182" t="s">
        <v>606</v>
      </c>
      <c r="B182" t="s">
        <v>607</v>
      </c>
    </row>
    <row r="183" spans="1:2">
      <c r="A183" t="s">
        <v>608</v>
      </c>
      <c r="B183" t="s">
        <v>609</v>
      </c>
    </row>
    <row r="184" spans="1:2">
      <c r="A184" t="s">
        <v>610</v>
      </c>
      <c r="B184" t="s">
        <v>298</v>
      </c>
    </row>
    <row r="185" spans="1:2">
      <c r="A185" t="s">
        <v>611</v>
      </c>
      <c r="B185" t="s">
        <v>612</v>
      </c>
    </row>
    <row r="186" spans="1:2">
      <c r="A186" t="s">
        <v>613</v>
      </c>
      <c r="B186" t="s">
        <v>614</v>
      </c>
    </row>
    <row r="187" spans="1:2">
      <c r="A187" t="s">
        <v>615</v>
      </c>
      <c r="B187" t="s">
        <v>616</v>
      </c>
    </row>
    <row r="188" spans="1:2">
      <c r="A188" t="s">
        <v>617</v>
      </c>
      <c r="B188" t="s">
        <v>618</v>
      </c>
    </row>
    <row r="189" spans="1:2">
      <c r="A189" t="s">
        <v>619</v>
      </c>
      <c r="B189" t="s">
        <v>620</v>
      </c>
    </row>
    <row r="190" spans="1:2">
      <c r="A190" t="s">
        <v>621</v>
      </c>
      <c r="B190" t="s">
        <v>622</v>
      </c>
    </row>
    <row r="191" spans="1:2">
      <c r="A191" t="s">
        <v>623</v>
      </c>
      <c r="B191" t="s">
        <v>624</v>
      </c>
    </row>
    <row r="192" spans="1:2">
      <c r="A192" t="s">
        <v>625</v>
      </c>
      <c r="B192" t="s">
        <v>626</v>
      </c>
    </row>
    <row r="193" spans="1:2">
      <c r="A193" t="s">
        <v>627</v>
      </c>
      <c r="B193" t="s">
        <v>628</v>
      </c>
    </row>
    <row r="194" spans="1:2">
      <c r="A194" t="s">
        <v>629</v>
      </c>
      <c r="B194" t="s">
        <v>630</v>
      </c>
    </row>
    <row r="195" spans="1:2">
      <c r="A195" t="s">
        <v>631</v>
      </c>
      <c r="B195" t="s">
        <v>632</v>
      </c>
    </row>
    <row r="196" spans="1:2">
      <c r="A196" t="s">
        <v>633</v>
      </c>
      <c r="B196" t="s">
        <v>634</v>
      </c>
    </row>
    <row r="197" spans="1:2">
      <c r="A197" t="s">
        <v>635</v>
      </c>
      <c r="B197" t="s">
        <v>636</v>
      </c>
    </row>
    <row r="198" spans="1:2">
      <c r="A198" t="s">
        <v>637</v>
      </c>
      <c r="B198" t="s">
        <v>638</v>
      </c>
    </row>
    <row r="199" spans="1:2">
      <c r="A199" t="s">
        <v>639</v>
      </c>
      <c r="B199" t="s">
        <v>640</v>
      </c>
    </row>
    <row r="200" spans="1:2">
      <c r="A200" t="s">
        <v>641</v>
      </c>
      <c r="B200" t="s">
        <v>642</v>
      </c>
    </row>
    <row r="201" spans="1:2">
      <c r="A201" t="s">
        <v>643</v>
      </c>
      <c r="B201" t="s">
        <v>298</v>
      </c>
    </row>
    <row r="202" spans="1:2">
      <c r="A202" t="s">
        <v>644</v>
      </c>
      <c r="B202" t="s">
        <v>645</v>
      </c>
    </row>
    <row r="203" spans="1:2">
      <c r="A203" t="s">
        <v>646</v>
      </c>
      <c r="B203" t="s">
        <v>647</v>
      </c>
    </row>
    <row r="204" spans="1:2">
      <c r="A204" t="s">
        <v>648</v>
      </c>
      <c r="B204" t="s">
        <v>649</v>
      </c>
    </row>
    <row r="205" spans="1:2">
      <c r="A205" t="s">
        <v>650</v>
      </c>
      <c r="B205" t="s">
        <v>651</v>
      </c>
    </row>
    <row r="206" spans="1:2">
      <c r="A206" t="s">
        <v>652</v>
      </c>
      <c r="B206" t="s">
        <v>653</v>
      </c>
    </row>
    <row r="207" spans="1:2">
      <c r="A207" t="s">
        <v>654</v>
      </c>
      <c r="B207" t="s">
        <v>653</v>
      </c>
    </row>
    <row r="208" spans="1:2">
      <c r="A208" t="s">
        <v>655</v>
      </c>
      <c r="B208" t="s">
        <v>656</v>
      </c>
    </row>
    <row r="209" spans="1:2">
      <c r="A209" t="s">
        <v>657</v>
      </c>
      <c r="B209" t="s">
        <v>658</v>
      </c>
    </row>
    <row r="210" spans="1:2">
      <c r="A210" t="s">
        <v>659</v>
      </c>
      <c r="B210" t="s">
        <v>660</v>
      </c>
    </row>
    <row r="211" spans="1:2">
      <c r="A211" t="s">
        <v>661</v>
      </c>
      <c r="B211" t="s">
        <v>662</v>
      </c>
    </row>
    <row r="212" spans="1:2">
      <c r="A212" t="s">
        <v>663</v>
      </c>
      <c r="B212" t="s">
        <v>664</v>
      </c>
    </row>
    <row r="213" spans="1:2">
      <c r="A213" t="s">
        <v>665</v>
      </c>
      <c r="B213" t="s">
        <v>666</v>
      </c>
    </row>
    <row r="214" spans="1:2">
      <c r="A214" t="s">
        <v>667</v>
      </c>
      <c r="B214" t="s">
        <v>668</v>
      </c>
    </row>
    <row r="215" spans="1:2">
      <c r="A215" t="s">
        <v>669</v>
      </c>
      <c r="B215" t="s">
        <v>670</v>
      </c>
    </row>
    <row r="216" spans="1:2">
      <c r="A216" t="s">
        <v>671</v>
      </c>
      <c r="B216" t="s">
        <v>672</v>
      </c>
    </row>
    <row r="217" spans="1:2">
      <c r="A217" t="s">
        <v>673</v>
      </c>
      <c r="B217" t="s">
        <v>674</v>
      </c>
    </row>
    <row r="218" spans="1:2">
      <c r="A218" t="s">
        <v>675</v>
      </c>
      <c r="B218" t="s">
        <v>676</v>
      </c>
    </row>
    <row r="219" spans="1:2">
      <c r="A219" t="s">
        <v>677</v>
      </c>
      <c r="B219" t="s">
        <v>678</v>
      </c>
    </row>
    <row r="220" spans="1:2">
      <c r="A220" t="s">
        <v>679</v>
      </c>
      <c r="B220" t="s">
        <v>680</v>
      </c>
    </row>
    <row r="221" spans="1:2">
      <c r="A221" t="s">
        <v>681</v>
      </c>
      <c r="B221" t="s">
        <v>682</v>
      </c>
    </row>
    <row r="222" spans="1:2">
      <c r="A222" t="s">
        <v>683</v>
      </c>
      <c r="B222" t="s">
        <v>684</v>
      </c>
    </row>
    <row r="223" spans="1:2">
      <c r="A223" t="s">
        <v>685</v>
      </c>
      <c r="B223" t="s">
        <v>686</v>
      </c>
    </row>
    <row r="224" spans="1:2">
      <c r="A224" t="s">
        <v>687</v>
      </c>
      <c r="B224" t="s">
        <v>688</v>
      </c>
    </row>
    <row r="225" spans="1:2">
      <c r="A225" t="s">
        <v>689</v>
      </c>
      <c r="B225" t="s">
        <v>690</v>
      </c>
    </row>
    <row r="226" spans="1:2">
      <c r="A226" t="s">
        <v>691</v>
      </c>
      <c r="B226" t="s">
        <v>692</v>
      </c>
    </row>
    <row r="227" spans="1:2">
      <c r="A227" t="s">
        <v>693</v>
      </c>
      <c r="B227" t="s">
        <v>694</v>
      </c>
    </row>
    <row r="228" spans="1:2">
      <c r="A228" t="s">
        <v>695</v>
      </c>
      <c r="B228" t="s">
        <v>696</v>
      </c>
    </row>
    <row r="229" spans="1:2">
      <c r="A229" t="s">
        <v>697</v>
      </c>
      <c r="B229" t="s">
        <v>698</v>
      </c>
    </row>
    <row r="230" spans="1:2">
      <c r="A230" t="s">
        <v>699</v>
      </c>
      <c r="B230" t="s">
        <v>700</v>
      </c>
    </row>
    <row r="231" spans="1:2">
      <c r="A231" t="s">
        <v>701</v>
      </c>
      <c r="B231" t="s">
        <v>702</v>
      </c>
    </row>
    <row r="232" spans="1:2">
      <c r="A232" t="s">
        <v>703</v>
      </c>
      <c r="B232" t="s">
        <v>704</v>
      </c>
    </row>
    <row r="233" spans="1:2">
      <c r="A233" t="s">
        <v>705</v>
      </c>
      <c r="B233" t="s">
        <v>706</v>
      </c>
    </row>
    <row r="234" spans="1:2">
      <c r="A234" t="s">
        <v>707</v>
      </c>
      <c r="B234" t="s">
        <v>708</v>
      </c>
    </row>
    <row r="235" spans="1:2">
      <c r="A235" t="s">
        <v>709</v>
      </c>
      <c r="B235" t="s">
        <v>710</v>
      </c>
    </row>
    <row r="236" spans="1:2">
      <c r="A236" t="s">
        <v>711</v>
      </c>
      <c r="B236" t="s">
        <v>712</v>
      </c>
    </row>
    <row r="237" spans="1:2">
      <c r="A237" t="s">
        <v>713</v>
      </c>
      <c r="B237" t="s">
        <v>714</v>
      </c>
    </row>
    <row r="238" spans="1:2">
      <c r="A238" t="s">
        <v>715</v>
      </c>
      <c r="B238" t="s">
        <v>716</v>
      </c>
    </row>
    <row r="239" spans="1:2">
      <c r="A239" t="s">
        <v>717</v>
      </c>
      <c r="B239" t="s">
        <v>718</v>
      </c>
    </row>
    <row r="240" spans="1:2">
      <c r="A240" t="s">
        <v>719</v>
      </c>
      <c r="B240" t="s">
        <v>720</v>
      </c>
    </row>
    <row r="241" spans="1:2">
      <c r="A241" t="s">
        <v>721</v>
      </c>
      <c r="B241" t="s">
        <v>722</v>
      </c>
    </row>
    <row r="242" spans="1:2">
      <c r="A242" t="s">
        <v>723</v>
      </c>
      <c r="B242" t="s">
        <v>724</v>
      </c>
    </row>
    <row r="243" spans="1:2">
      <c r="A243" t="s">
        <v>725</v>
      </c>
      <c r="B243" t="s">
        <v>726</v>
      </c>
    </row>
    <row r="244" spans="1:2">
      <c r="A244" t="s">
        <v>727</v>
      </c>
      <c r="B244" t="s">
        <v>728</v>
      </c>
    </row>
    <row r="245" spans="1:2">
      <c r="A245" t="s">
        <v>729</v>
      </c>
      <c r="B245" t="s">
        <v>730</v>
      </c>
    </row>
    <row r="246" spans="1:2">
      <c r="A246" t="s">
        <v>731</v>
      </c>
      <c r="B246" t="s">
        <v>732</v>
      </c>
    </row>
    <row r="247" spans="1:2">
      <c r="A247" t="s">
        <v>733</v>
      </c>
      <c r="B247" t="s">
        <v>734</v>
      </c>
    </row>
    <row r="248" spans="1:2">
      <c r="A248" t="s">
        <v>735</v>
      </c>
      <c r="B248" t="s">
        <v>736</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Categories</vt:lpstr>
      <vt:lpstr>Metadata</vt:lpstr>
      <vt:lpstr>picklists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Kaitlin Cordes</dc:creator>
  <cp:lastModifiedBy>Sam Burke</cp:lastModifiedBy>
  <cp:lastPrinted>2014-02-01T19:00:50Z</cp:lastPrinted>
  <dcterms:created xsi:type="dcterms:W3CDTF">2013-09-30T16:43:43Z</dcterms:created>
  <dcterms:modified xsi:type="dcterms:W3CDTF">2015-09-24T15:57:18Z</dcterms:modified>
</cp:coreProperties>
</file>