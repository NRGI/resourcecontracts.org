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0730" windowHeight="11760" tabRatio="500" activeTab="1"/>
  </bookViews>
  <sheets>
    <sheet name="Categories" sheetId="1" r:id="rId1"/>
    <sheet name="Metadata" sheetId="2" r:id="rId2"/>
    <sheet name="picklists" sheetId="3" r:id="rId3"/>
  </sheets>
  <definedNames>
    <definedName name="countries">picklists!$A$2:$A$248</definedName>
    <definedName name="language">picklists!$J$2:$J$3</definedName>
    <definedName name="license_type">picklists!$G$2:$G$32</definedName>
    <definedName name="resources">picklists!$D$2:$D$60</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B6" i="2"/>
  <c r="B4" i="2"/>
  <c r="B5" i="2"/>
  <c r="B38" i="2"/>
  <c r="B37" i="2"/>
  <c r="G18" i="1"/>
  <c r="C33" i="1"/>
  <c r="C48" i="1"/>
  <c r="B24" i="2"/>
  <c r="B25" i="2"/>
  <c r="B36" i="2"/>
  <c r="B35" i="2"/>
  <c r="B9" i="2"/>
  <c r="B8" i="2"/>
  <c r="B7" i="2"/>
  <c r="B34" i="2"/>
  <c r="B33" i="2"/>
  <c r="B32" i="2"/>
  <c r="B31" i="2"/>
  <c r="B30" i="2"/>
  <c r="B29" i="2"/>
  <c r="B28" i="2"/>
  <c r="B27" i="2"/>
  <c r="B26" i="2"/>
  <c r="B23" i="2"/>
  <c r="B22" i="2"/>
  <c r="B21" i="2"/>
  <c r="B20" i="2"/>
  <c r="B19" i="2"/>
  <c r="B18" i="2"/>
  <c r="B17" i="2"/>
  <c r="B16" i="2"/>
  <c r="B15" i="2"/>
  <c r="B14" i="2"/>
  <c r="B13" i="2"/>
  <c r="B12" i="2"/>
  <c r="B11" i="2"/>
  <c r="B3"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<sst xmlns="http://schemas.openxmlformats.org/spreadsheetml/2006/main" count="954" uniqueCount="890">
  <si>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</si>
  <si>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</si>
  <si>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</si>
  <si>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</si>
  <si>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</si>
  <si>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</si>
  <si>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</si>
  <si>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</si>
  <si>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</si>
  <si>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</si>
  <si>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</si>
  <si>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</si>
  <si>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</si>
  <si>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</si>
  <si>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</si>
  <si>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</si>
  <si>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</si>
  <si>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</si>
  <si>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</si>
  <si>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</si>
  <si>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</si>
  <si>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</si>
  <si>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</si>
  <si>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</si>
  <si>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</si>
  <si>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</si>
  <si>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</si>
  <si>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</si>
  <si>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</si>
  <si>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</si>
  <si>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</si>
  <si>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</si>
  <si>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</si>
  <si>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</si>
  <si>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</si>
  <si>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</si>
  <si>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</si>
  <si>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</si>
  <si>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</si>
  <si>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</si>
  <si>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</si>
  <si>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</si>
  <si>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</si>
  <si>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</si>
  <si>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</si>
  <si>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</si>
  <si>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</si>
  <si>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</si>
  <si>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</si>
  <si>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</si>
  <si>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</si>
  <si>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</si>
  <si>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</si>
  <si>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</si>
  <si>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</si>
  <si>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</si>
  <si>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</si>
  <si>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</si>
  <si>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</si>
  <si>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</si>
  <si>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</si>
  <si>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</si>
  <si>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</si>
  <si>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</si>
  <si>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</si>
  <si>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</si>
  <si>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</si>
  <si>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</si>
  <si>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</si>
  <si>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</si>
  <si>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</si>
  <si>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</si>
  <si>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</si>
  <si>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</si>
  <si>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</si>
  <si>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</si>
  <si>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</si>
  <si>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</si>
  <si>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</si>
  <si>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</si>
  <si>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</si>
  <si>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</si>
  <si>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</si>
  <si>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</si>
  <si>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</si>
  <si>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</si>
  <si>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</si>
  <si>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</si>
  <si>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</si>
  <si>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</si>
  <si>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</si>
  <si>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</si>
  <si>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</si>
  <si>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</si>
  <si>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</si>
  <si>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</si>
  <si>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</si>
  <si>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</si>
  <si>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</si>
  <si>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</si>
  <si>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</si>
  <si>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</si>
  <si>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</si>
  <si>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</si>
  <si>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</si>
  <si>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</si>
  <si>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</si>
  <si>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</si>
  <si>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</si>
  <si>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</si>
  <si>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</si>
  <si>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</si>
  <si>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</si>
  <si>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</si>
  <si>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</si>
  <si>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</si>
  <si>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</si>
  <si>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</si>
  <si>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</si>
  <si>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</si>
  <si>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</si>
  <si>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</si>
  <si>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</si>
  <si>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</si>
  <si>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</si>
  <si>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</si>
  <si>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</si>
  <si>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</si>
  <si>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</si>
  <si>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</si>
  <si>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</si>
  <si>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</si>
  <si>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</si>
  <si>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</si>
  <si>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</si>
  <si>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</si>
  <si>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</si>
  <si>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</si>
  <si>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</si>
  <si>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</si>
  <si>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</si>
  <si>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</si>
  <si>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</si>
  <si>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</si>
  <si>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</si>
  <si>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</si>
  <si>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</si>
  <si>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</si>
  <si>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</si>
  <si>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</si>
  <si>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</si>
  <si>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</si>
  <si>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</si>
  <si>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</si>
  <si>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</si>
  <si>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</si>
  <si>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</si>
  <si>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</si>
  <si>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</si>
  <si>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</si>
  <si>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</si>
  <si>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</si>
  <si>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</si>
  <si>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</si>
  <si>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</si>
  <si>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</si>
  <si>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</si>
  <si>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</si>
  <si>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</si>
  <si>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</si>
  <si>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</si>
  <si>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</si>
  <si>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</si>
  <si>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</si>
  <si>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</si>
  <si>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</si>
  <si>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</si>
  <si>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</si>
  <si>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</si>
  <si>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</si>
  <si>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</si>
  <si>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</si>
  <si>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</si>
  <si>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</si>
  <si>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</si>
  <si>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</si>
  <si>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</si>
  <si>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</si>
  <si>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</si>
  <si>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</si>
  <si>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</si>
  <si>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</si>
  <si>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</si>
  <si>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</si>
  <si>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</si>
  <si>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</si>
  <si>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</si>
  <si>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</si>
  <si>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</si>
  <si>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</si>
  <si>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</si>
  <si>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</si>
  <si>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</si>
  <si>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</si>
  <si>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</si>
  <si>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</si>
  <si>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</si>
  <si>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</si>
  <si>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</si>
  <si>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</si>
  <si>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</si>
  <si>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</si>
  <si>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</si>
  <si>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</si>
  <si>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</si>
  <si>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</si>
  <si>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</si>
  <si>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</si>
  <si>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</si>
  <si>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</si>
  <si>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</si>
  <si>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</si>
  <si>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</si>
  <si>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</si>
  <si>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</si>
  <si>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</si>
  <si>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</si>
  <si>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</si>
  <si>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</si>
  <si>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</si>
  <si>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</si>
  <si>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</si>
  <si>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</si>
  <si>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</si>
  <si>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</si>
  <si>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</si>
  <si>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</si>
  <si>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</si>
  <si>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</si>
  <si>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</si>
  <si>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</si>
  <si>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</si>
  <si>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</si>
  <si>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</si>
  <si>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</si>
  <si>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</si>
  <si>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</si>
  <si>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</si>
  <si>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</si>
  <si>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</si>
  <si>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</si>
  <si>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</si>
  <si>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</si>
  <si>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</si>
  <si>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</si>
  <si>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</si>
  <si>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</si>
  <si>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</si>
  <si>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</si>
  <si>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</si>
  <si>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</si>
  <si>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</si>
  <si>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</si>
  <si>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</si>
  <si>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</si>
  <si>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</si>
  <si>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</si>
  <si>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</si>
  <si>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</si>
  <si>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</si>
  <si>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</si>
  <si>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</si>
  <si>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</si>
  <si>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</si>
  <si>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</si>
  <si>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</si>
  <si>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</si>
  <si>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</si>
  <si>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</si>
  <si>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</si>
  <si>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</si>
  <si>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</si>
  <si>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</si>
  <si>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</si>
  <si>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</si>
  <si>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</si>
  <si>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</si>
  <si>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</si>
  <si>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</si>
  <si>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</si>
  <si>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</si>
  <si>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</si>
  <si>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</si>
  <si>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</si>
  <si>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</si>
  <si>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</si>
  <si>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</si>
  <si>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</si>
  <si>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</si>
  <si>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</si>
  <si>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</si>
  <si>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</si>
  <si>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</si>
  <si>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</si>
  <si>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</si>
  <si>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</si>
  <si>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</si>
  <si>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</si>
  <si>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</si>
  <si>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</si>
  <si>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</si>
  <si>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</si>
  <si>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</si>
  <si>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</si>
  <si>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</si>
  <si>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</si>
  <si>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</si>
  <si>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</si>
  <si>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</si>
  <si>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</si>
  <si>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</si>
  <si>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</si>
  <si>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</si>
  <si>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</si>
  <si>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</si>
  <si>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</si>
  <si>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</si>
  <si>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</si>
  <si>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</si>
  <si>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</si>
  <si>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</si>
  <si>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</si>
  <si>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</si>
  <si>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</si>
  <si>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</si>
  <si>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</si>
  <si>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</si>
  <si>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</si>
  <si>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</si>
  <si>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</si>
  <si>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</si>
  <si>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</si>
  <si>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</si>
  <si>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</si>
  <si>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</si>
  <si>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</si>
  <si>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</si>
  <si>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</si>
  <si>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</si>
  <si>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</si>
  <si>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</si>
  <si>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</si>
  <si>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</si>
  <si>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</si>
  <si>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</si>
  <si>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</si>
  <si>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</si>
  <si>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</si>
  <si>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</si>
  <si>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</si>
  <si>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</si>
  <si>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</si>
  <si>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</si>
  <si>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</si>
  <si>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</si>
  <si>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</si>
  <si>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</si>
  <si>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</si>
  <si>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</si>
  <si>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</si>
  <si>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</si>
  <si>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</si>
  <si>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</si>
  <si>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</si>
  <si>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</si>
  <si>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</si>
  <si>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</si>
  <si>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</si>
  <si>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</si>
  <si>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</si>
  <si>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</si>
  <si>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</si>
  <si>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</si>
  <si>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</si>
  <si>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</si>
  <si>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</si>
  <si>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</si>
  <si>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</si>
  <si>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</si>
  <si>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</si>
  <si>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</si>
  <si>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</si>
  <si>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</si>
  <si>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</si>
  <si>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</si>
  <si>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</si>
  <si>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</si>
  <si>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</si>
  <si>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</si>
  <si>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</si>
  <si>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</si>
  <si>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</si>
  <si>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</si>
  <si>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</si>
  <si>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</si>
  <si>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</si>
  <si>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</si>
  <si>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</si>
  <si>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</si>
  <si>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</si>
  <si>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</si>
  <si>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</si>
  <si>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</si>
  <si>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</si>
  <si>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</si>
  <si>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</si>
  <si>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</si>
  <si>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</si>
  <si>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</si>
  <si>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</si>
  <si>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</si>
  <si>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</si>
  <si>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</si>
  <si>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</si>
  <si>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</si>
  <si>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</si>
  <si>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</si>
  <si>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</si>
  <si>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</si>
  <si>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</si>
  <si>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</si>
  <si>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</si>
  <si>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</si>
  <si>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</si>
  <si>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</si>
  <si>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</si>
  <si>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</si>
  <si>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</si>
  <si>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</si>
  <si>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</si>
  <si>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</si>
  <si>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</si>
  <si>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</si>
  <si>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</si>
  <si>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</si>
  <si>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</si>
  <si>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</si>
  <si>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</si>
  <si>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</si>
  <si>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</si>
  <si>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</si>
  <si>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</si>
  <si>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</si>
  <si>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</si>
  <si>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</si>
  <si>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</si>
  <si>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</si>
  <si>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</si>
  <si>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</si>
  <si>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</si>
  <si>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</si>
  <si>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</si>
  <si>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</si>
  <si>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</si>
  <si>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</si>
  <si>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</si>
  <si>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</si>
  <si>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</si>
  <si>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</si>
  <si>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</si>
  <si>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</si>
  <si>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</si>
  <si>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</si>
  <si>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</si>
  <si>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</si>
  <si>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</si>
  <si>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</si>
  <si>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</si>
  <si>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</si>
  <si>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</si>
  <si>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</si>
  <si>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</si>
  <si>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</si>
  <si>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</si>
  <si>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</si>
  <si>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</si>
  <si>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</si>
  <si>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</si>
  <si>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</si>
  <si>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</si>
  <si>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</si>
  <si>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</si>
  <si>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</si>
  <si>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</si>
  <si>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</si>
  <si>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</si>
  <si>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</si>
  <si>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</si>
  <si>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</si>
  <si>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</si>
  <si>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</si>
  <si>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</si>
  <si>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</si>
  <si>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</si>
  <si>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</si>
  <si>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</si>
  <si>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</si>
  <si>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</si>
  <si>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</si>
  <si>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</si>
  <si>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</si>
  <si>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</si>
  <si>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</si>
  <si>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</si>
  <si>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</si>
  <si>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</si>
  <si>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</si>
  <si>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</si>
  <si>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</si>
  <si>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</si>
  <si>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</si>
  <si>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</si>
  <si>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</si>
  <si>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</si>
  <si>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</si>
  <si>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</si>
  <si>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</si>
  <si>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</si>
  <si>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</si>
  <si>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</si>
  <si>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</si>
  <si>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</si>
  <si>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</si>
  <si>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</si>
  <si>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</si>
  <si>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</si>
  <si>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</si>
  <si>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</si>
  <si>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</si>
  <si>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</si>
  <si>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</si>
  <si>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</si>
  <si>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</si>
  <si>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</si>
  <si>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</si>
  <si>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</si>
  <si>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</si>
  <si>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</si>
  <si>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</si>
  <si>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</si>
  <si>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</si>
  <si>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</si>
  <si>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</si>
  <si>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</si>
  <si>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</si>
  <si>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</si>
  <si>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</si>
  <si>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</si>
  <si>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</si>
  <si>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</si>
  <si>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</si>
  <si>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</si>
  <si>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</si>
  <si>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</si>
  <si>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</si>
  <si>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</si>
  <si>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</si>
  <si>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</si>
  <si>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</si>
  <si>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</si>
  <si>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</si>
  <si>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</si>
  <si>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</si>
  <si>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</si>
  <si>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</si>
  <si>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</si>
  <si>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</si>
  <si>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</si>
  <si>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</si>
  <si>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</si>
  <si>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</si>
  <si>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</si>
  <si>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</si>
  <si>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</si>
  <si>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</si>
  <si>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</si>
  <si>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</si>
  <si>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</si>
  <si>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</si>
  <si>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</si>
  <si>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</si>
  <si>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</si>
  <si>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</si>
  <si>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</si>
  <si>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</si>
  <si>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</si>
  <si>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</si>
  <si>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</si>
  <si>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</si>
  <si>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</si>
  <si>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</si>
  <si>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</si>
  <si>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</si>
  <si>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</si>
  <si>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</si>
  <si>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</si>
  <si>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</si>
  <si>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</si>
  <si>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</si>
  <si>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</si>
  <si>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</si>
  <si>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</si>
  <si>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</si>
  <si>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</si>
  <si>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</si>
  <si>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</si>
  <si>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</si>
  <si>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</si>
  <si>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</si>
  <si>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</si>
  <si>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</si>
  <si>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</si>
  <si>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</si>
  <si>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</si>
  <si>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</si>
  <si>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</si>
  <si>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</si>
  <si>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</si>
  <si>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</si>
  <si>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</si>
  <si>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</si>
  <si>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</si>
  <si>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</si>
  <si>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</si>
  <si>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</si>
  <si>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</si>
  <si>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</si>
  <si>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</si>
  <si>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</si>
  <si>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</si>
  <si>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</si>
  <si>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</si>
  <si>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</si>
  <si>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</si>
  <si>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</si>
  <si>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</si>
  <si>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</si>
  <si>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</si>
  <si>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</si>
  <si>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</si>
  <si>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</si>
  <si>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</si>
  <si>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</si>
  <si>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</si>
  <si>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</si>
  <si>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</si>
  <si>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</si>
  <si>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</si>
  <si>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</si>
  <si>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</si>
  <si>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</si>
  <si>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</si>
  <si>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</si>
  <si>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</si>
  <si>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</si>
  <si>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</si>
  <si>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</si>
  <si>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</si>
  <si>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</si>
  <si>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</si>
  <si>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</si>
  <si>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</si>
  <si>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</si>
  <si>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</si>
  <si>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</si>
  <si>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</si>
  <si>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</si>
  <si>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</si>
  <si>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</si>
  <si>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</si>
  <si>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</si>
  <si>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</si>
  <si>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</si>
  <si>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</si>
  <si>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</si>
  <si>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</si>
  <si>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</si>
  <si>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</si>
  <si>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</si>
  <si>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</si>
  <si>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</si>
  <si>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</si>
  <si>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</si>
  <si>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</si>
  <si>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</si>
  <si>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</si>
  <si>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</si>
  <si>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</si>
  <si>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</si>
  <si>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</si>
  <si>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</si>
  <si>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</si>
  <si>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</si>
  <si>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</si>
  <si>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</si>
  <si>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</si>
  <si>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</si>
  <si>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</si>
  <si>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</si>
  <si>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</si>
  <si>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</si>
  <si>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</si>
  <si>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</si>
  <si>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</si>
  <si>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</si>
  <si>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</si>
  <si>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</si>
  <si>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</si>
  <si>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</si>
  <si>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</si>
  <si>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</si>
  <si>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</si>
  <si>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</si>
  <si>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</si>
  <si>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</si>
  <si>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</si>
  <si>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</si>
  <si>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</si>
  <si>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</si>
  <si>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</si>
  <si>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</si>
  <si>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</si>
  <si>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</si>
  <si>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</si>
  <si>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</si>
  <si>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</si>
  <si>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</si>
  <si>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</si>
  <si>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</si>
  <si>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coal</t>
  </si>
  <si>
    <t>resource</t>
  </si>
  <si>
    <t>bauxite</t>
  </si>
  <si>
    <t>license type</t>
  </si>
  <si>
    <t>Exploration Permit/License</t>
  </si>
  <si>
    <t>Concession</t>
  </si>
  <si>
    <t>Service Contract</t>
  </si>
  <si>
    <t>Other</t>
  </si>
  <si>
    <t>Lease</t>
  </si>
  <si>
    <t>Production Sharing Agreement</t>
  </si>
  <si>
    <t>PROPOSED ADDITIONAL FIELDS (AUTOPOPULATED)</t>
  </si>
  <si>
    <t>crude oil</t>
  </si>
  <si>
    <t>gas</t>
  </si>
  <si>
    <t>timber</t>
  </si>
  <si>
    <t>food crops</t>
  </si>
  <si>
    <t>palm oil</t>
  </si>
  <si>
    <t>Parent companies or affilates</t>
  </si>
  <si>
    <t>location</t>
  </si>
  <si>
    <t>Year of ratifciation</t>
  </si>
  <si>
    <t>language</t>
  </si>
  <si>
    <t>huile brute</t>
  </si>
  <si>
    <t>charbon</t>
  </si>
  <si>
    <t>gaz</t>
  </si>
  <si>
    <t>bois</t>
  </si>
  <si>
    <t>les cultures vivrières</t>
  </si>
  <si>
    <t>huile de palme</t>
  </si>
  <si>
    <t>Permis d'exploration</t>
  </si>
  <si>
    <t>Accord de partage</t>
  </si>
  <si>
    <t>Contrat de service</t>
  </si>
  <si>
    <t>Bail</t>
  </si>
  <si>
    <t>Autre</t>
  </si>
  <si>
    <t>french</t>
  </si>
  <si>
    <t>ENG</t>
  </si>
  <si>
    <t>FRE</t>
  </si>
  <si>
    <t>english</t>
  </si>
  <si>
    <t xml:space="preserve">TEMPLATE OIL/GAS/MINING/LAND -   </t>
  </si>
  <si>
    <t>Convention</t>
  </si>
  <si>
    <t>Exploitation Permit/License</t>
  </si>
  <si>
    <t>Investment Agreement</t>
  </si>
  <si>
    <t>Investment Incentive Contract</t>
  </si>
  <si>
    <t>Joint Venture Contract</t>
  </si>
  <si>
    <t>Operating Agreement between Private Companies</t>
  </si>
  <si>
    <t>Profit Sharing Contract</t>
  </si>
  <si>
    <t>Base metals</t>
  </si>
  <si>
    <t>Bauxite</t>
  </si>
  <si>
    <t>Coal</t>
  </si>
  <si>
    <t>Cobalt</t>
  </si>
  <si>
    <t>Copper</t>
  </si>
  <si>
    <t>Crude oil</t>
  </si>
  <si>
    <t>Diamonds</t>
  </si>
  <si>
    <t>Gas</t>
  </si>
  <si>
    <t>Gold</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</si>
  <si>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</si>
  <si>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</si>
  <si>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</si>
  <si>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</si>
  <si>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</si>
  <si>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</si>
  <si>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</si>
  <si>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</si>
  <si>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</si>
  <si>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</si>
  <si>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</si>
  <si>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</si>
  <si>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</si>
  <si>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</si>
  <si>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</si>
  <si>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</si>
  <si>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</si>
  <si>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Hydrocarbons</t>
  </si>
  <si>
    <t>Palm oil</t>
  </si>
  <si>
    <t>Rubber</t>
  </si>
  <si>
    <t>Soy</t>
  </si>
  <si>
    <t>Sugar</t>
  </si>
  <si>
    <t>Timber</t>
  </si>
  <si>
    <t>Charbon</t>
  </si>
  <si>
    <t>Huile brute</t>
  </si>
  <si>
    <t>Gaz</t>
  </si>
  <si>
    <t>Bois d'œuvre</t>
  </si>
  <si>
    <t>Sucre</t>
  </si>
  <si>
    <t>Or</t>
  </si>
  <si>
    <t>Huile de palme</t>
  </si>
  <si>
    <t>Les cultures vivrières</t>
  </si>
  <si>
    <t>Permis d'exploitation</t>
  </si>
  <si>
    <t>Industrie de Transformation de Bois</t>
  </si>
  <si>
    <t>N° 5501, Avenue de l'Ouest, Quartier Kingabwa, Commune de Limete, Ville-Province de Kinshasa, en République Démocratique du Congo</t>
  </si>
  <si>
    <t>Préambule</t>
  </si>
  <si>
    <t>1 (middle)</t>
  </si>
  <si>
    <t>1 (top)</t>
  </si>
  <si>
    <t>Art. 2</t>
  </si>
  <si>
    <t>2 (top)</t>
  </si>
  <si>
    <t>Fouad Sarrouf, Gérant Statutaire</t>
  </si>
  <si>
    <t>Page de signatures</t>
  </si>
  <si>
    <t>13 (bottom)</t>
  </si>
  <si>
    <t>Le Ministre de l'Environnement, Conservation de la Nature et Tourisme</t>
  </si>
  <si>
    <t>José E.B. Endundo, Ministre de l'Environnement, Conservation de la Nature et Tourisme</t>
  </si>
  <si>
    <t>25 ans renouvelables. Le contrat prend fin le 11/08/2036.</t>
  </si>
  <si>
    <t>Arts. 3, 27</t>
  </si>
  <si>
    <t>2 (bottom), 12 (bottom)</t>
  </si>
  <si>
    <t>Arts. 8, 27</t>
  </si>
  <si>
    <t>4 (top), 12 (middle)</t>
  </si>
  <si>
    <t>Art. 5</t>
  </si>
  <si>
    <t>3 (middle)</t>
  </si>
  <si>
    <t>Arts. 9(4), 17</t>
  </si>
  <si>
    <t>Industrie de Transformation de 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t>
  </si>
  <si>
    <t>Art. 6</t>
  </si>
  <si>
    <t>Art. 19</t>
  </si>
  <si>
    <t>9 (bottom)</t>
  </si>
  <si>
    <t>Art. 10</t>
  </si>
  <si>
    <t>5 (bottom), 6 (top)</t>
  </si>
  <si>
    <t>Industrie de Transformation de 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Industrie de Transformation de Bois est tenu de respecter la législation en vigueur en matière de protection de l'environnement et de conservation de la diversité biologique. Industrie de Transformation de Bois contribue, en particulier, sur toute l'étendue de sa concession, à la lutte contre les feux de brousse, le braconnage et l'exploitation illégale du bois. Industrie de Transformation de Bois définit et met en œuvre des mesurés appropriées de contrôle pour minimiser, réduire ou compenser tant à l'intérieur de la concession que dans ses environs immédiats, tout impact négatif sur l'environnement, des travaux de réalisation d'infrastructures. Industrie de Transformation de Bois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t>
  </si>
  <si>
    <t>Arts. 9(3), 11, 11(6), 12, 14</t>
  </si>
  <si>
    <t>Industrie de Transformation de Bois bénéficie d'une servitude de passage sur les fonds riverains, destinée à favoriser l'accès à sa concession et l'évacuation de sa production. Il exerce cette servitude uniquement dans les limites de ce qui est strictement nécessaire à son droit de passage.</t>
  </si>
  <si>
    <t>Art. 7</t>
  </si>
  <si>
    <t>3 (bottom)</t>
  </si>
  <si>
    <t>En cas de différend sur le tracé des voies d'accès ou d'évacuation à la concession, Industrie de Transformation de Bois fera appel aux mécanismes de règlement des différends définis aux articles 103 et 104 du code forestier. En cas de résiliation du contrat ou de déchéance, Industrie de Transformation de Bois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t>
  </si>
  <si>
    <t>Arts. 7, 26, 30</t>
  </si>
  <si>
    <t xml:space="preserve">Industrie de Transformation de Bois a la faculté de renoncer au bénéfice de la concession avant l'expiration du contrat de concession forestière. En cas de non respect par Industrie de Transformation de Bois de l'une des quelconques clauses du présent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d'Industrie de Transformation de Bois constitue une cause de déchéance et entraîne la résiliation du présent contrat. Le Gouvernement constate la déchéance et procède à la résiliation du contrat par voie d'arrêté. </t>
  </si>
  <si>
    <t>Arts. 22, 23, 25</t>
  </si>
  <si>
    <t>10 (bottom), 11 (top), 12 (top)</t>
  </si>
  <si>
    <t>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t>
  </si>
  <si>
    <t>Arts. 25, 31</t>
  </si>
  <si>
    <t>12 (top), 13 (middle)</t>
  </si>
  <si>
    <t>1 (bottom), 2 (bottom)</t>
  </si>
  <si>
    <t>Secteur: Ekonda, territoire: Bikoro et Ingende, district: Equateur, province: Equateur.  La délimitation physique se décrit dans l'article 2(II).</t>
  </si>
  <si>
    <t>Le cahier des charges, la carte de la concession forestière</t>
  </si>
  <si>
    <t>256.545 hectares</t>
  </si>
  <si>
    <t>4 (bottom), 5 (middle), 9 (middle)</t>
  </si>
  <si>
    <t>5 (top), 7 (top), 7 (middle), 7 (bottom), 8 (bottom)</t>
  </si>
  <si>
    <t>5 (bottom)</t>
  </si>
  <si>
    <t xml:space="preserve">Industrie de Transformation de Bois s'engage à préparer et à soumettre pour approbation à l'administration chargée des forêts, dans une période maximum de 4 ans, le plan d'aménagement. Le plan de gestion constitue l'ensemble des engagements d'Industrie de Transformation de Bois avant l'approbation du plan d'aménagement. Dans l'intervalle qui sépare la signature du contrat de l'approbation du plan, Industrie de Transformation de Bois exploite la forêt concédée en conformité avec un plan de gestion. </t>
  </si>
  <si>
    <t>4 (top), 12 (middle), 13 (top)</t>
  </si>
  <si>
    <t>3 (bottom), 6 (middle), 6 (bottom), 9 (middle), 14 (middle)</t>
  </si>
  <si>
    <t>5 (middle), 15 (top)</t>
  </si>
  <si>
    <t>Contrat de concession forrestière</t>
  </si>
  <si>
    <r>
      <rPr>
        <sz val="12"/>
        <color theme="0" tint="-0.34998626667073579"/>
        <rFont val="Calibri"/>
        <scheme val="minor"/>
      </rPr>
      <t>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t>
    </r>
    <r>
      <rPr>
        <sz val="12"/>
        <color rgb="FFFF0000"/>
        <rFont val="Calibri"/>
        <family val="2"/>
        <charset val="134"/>
        <scheme val="minor"/>
      </rPr>
      <t xml:space="preserve"> </t>
    </r>
    <r>
      <rPr>
        <sz val="12"/>
        <color theme="0" tint="-0.34998626667073579"/>
        <rFont val="Calibri"/>
        <scheme val="minor"/>
      </rPr>
      <t>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t>
    </r>
  </si>
  <si>
    <t>Aucun - Industrie de Transformation de Bois est tenu au paiement régulier et dans les délais légaux des taxes et redevances forestières en vigueur et ne peut bénéficier d'aucune exonération</t>
  </si>
  <si>
    <t>Art. 29</t>
  </si>
  <si>
    <t>12 (bottom)</t>
  </si>
  <si>
    <t>DRC, Industrie de Transformation des Bois, Contrat de concession forestière N. 013, 12 août 2011</t>
  </si>
  <si>
    <t>Congo, the Democratic Republic of the</t>
  </si>
  <si>
    <t>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Industrie de Transformation de Bois doit consulter les communautés locales et/ou peuples autochtones riverains sur le plan socio-économique et les infrastructures qui feront l'objet du cahier des charges définitif qui sera annexé au plan d'aménagement.</t>
  </si>
  <si>
    <t>Arts. 7, 10, 10(3), 17</t>
  </si>
  <si>
    <t>Industrie de Transformation de Bois doit payer la redevance de superficie forestière et toutes autres taxes et redevances en vigueur liées a l'exploitation de la concession, dans les délais prescrits par la réglementation fiscale.</t>
  </si>
  <si>
    <t>Arts. 9(6), 19bis</t>
  </si>
  <si>
    <t>Industrie de Transformation de Bois doit réaliser les infrastructures socio-économiques et des services sociaux au profit des communautés locales et/ou peuples autochtones riverains contenues: (1) dans le plan de relance dans le cadre d'une conversion; ou (2) dans la proposition technique dans les cas d'une adjudication et définies dans le cahier des charges. Industrie de Transformation de Bois s'engage à mettre en œuvre un plan socio-économique, y compris les infrastructures socio-économiques et services sociaux, pour la période du plan d'aménagement.</t>
  </si>
  <si>
    <t>A la fin de la concession, un bilan de clôture des comptes est dressé par Industrie de Transformation de Bois dans un délai maximum de 6 mois à compter de la date d'expiration du présent contrat de concession</t>
  </si>
  <si>
    <t xml:space="preserve">Industrie de Transformation de Bois s'engage à préparer et à soumettre pour approbation à l'administration chargée des forêts, dans une période maximum de 4 ans, le plan d'aménagement conformément à la législation et à la réglementation en vigueur. Ce plan doit comprendre l'ensemble des obligations d'Industrie de Transformation de Bois en vue de s'assurer une gestion durable de la forêt concédée. Dans l'intervalle qui sépare la signature du présent contrat et l'approbation du plan, Industrie de Transformation de Bois ne peut exploiter la forêt concédée qu’en conformité avec un plan de gestion. Le plan de gestion doit être approuvé en même temps que le contrat de concession et constitue l'ensemble des engagements de Industrie de Transformation de 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 </t>
  </si>
  <si>
    <t>Industrie de Transformation de Bois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t>
  </si>
  <si>
    <t>Art. 9(5)</t>
  </si>
  <si>
    <t>6 (middle)</t>
  </si>
</sst>
</file>

<file path=xl/styles.xml><?xml version="1.0" encoding="utf-8"?>
<styleSheet xmlns="http://schemas.openxmlformats.org/spreadsheetml/2006/main" xmlns:mc="http://schemas.openxmlformats.org/markup-compatibility/2006" xmlns:x14ac="http://schemas.microsoft.com/office/spreadsheetml/2009/9/ac" mc:Ignorable="x14ac">
  <fonts count="21">
    <font>
      <sz val="12"/>
      <color theme="1"/>
      <name val="Calibri"/>
      <family val="2"/>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name val="Calibri (Body)"/>
    </font>
    <font>
      <b/>
      <sz val="11"/>
      <name val="Calibri (Body)"/>
    </font>
    <font>
      <sz val="12"/>
      <color rgb="FFFF0000"/>
      <name val="Calibri"/>
      <scheme val="minor"/>
    </font>
    <font>
      <sz val="12"/>
      <name val="Calibri"/>
      <family val="2"/>
      <charset val="134"/>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FF"/>
        <bgColor rgb="FF000000"/>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17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218">
    <xf numFmtId="0" fontId="0" fillId="0" borderId="0" xfId="0"/>
    <xf numFmtId="0" fontId="0" fillId="0" borderId="0" xfId="0" applyAlignment="1">
      <alignment wrapText="1"/>
    </xf>
    <xf numFmtId="49" fontId="1" fillId="0" borderId="0" xfId="0" applyNumberFormat="1" applyFont="1"/>
    <xf numFmtId="49" fontId="1" fillId="0" borderId="0" xfId="0" applyNumberFormat="1" applyFont="1" applyAlignment="1">
      <alignment wrapText="1"/>
    </xf>
    <xf numFmtId="0" fontId="0" fillId="2" borderId="3" xfId="0" applyFill="1" applyBorder="1"/>
    <xf numFmtId="49" fontId="1" fillId="0" borderId="4" xfId="0" applyNumberFormat="1" applyFont="1" applyBorder="1" applyAlignment="1">
      <alignment wrapText="1"/>
    </xf>
    <xf numFmtId="0" fontId="3" fillId="3" borderId="5" xfId="0" applyFont="1" applyFill="1" applyBorder="1" applyAlignment="1">
      <alignment horizontal="left" wrapText="1"/>
    </xf>
    <xf numFmtId="0" fontId="3" fillId="3" borderId="6" xfId="0" applyFont="1" applyFill="1" applyBorder="1" applyAlignment="1">
      <alignment horizontal="left" wrapText="1"/>
    </xf>
    <xf numFmtId="0" fontId="3" fillId="3" borderId="7" xfId="0" applyFont="1" applyFill="1" applyBorder="1" applyAlignment="1">
      <alignment horizontal="left" wrapText="1"/>
    </xf>
    <xf numFmtId="0" fontId="0" fillId="2" borderId="8" xfId="0" applyFill="1" applyBorder="1" applyAlignment="1"/>
    <xf numFmtId="0" fontId="4" fillId="2" borderId="9" xfId="0" applyFont="1" applyFill="1" applyBorder="1" applyAlignment="1">
      <alignment wrapText="1"/>
    </xf>
    <xf numFmtId="0" fontId="4" fillId="2" borderId="5" xfId="0" applyFont="1" applyFill="1" applyBorder="1"/>
    <xf numFmtId="0" fontId="4" fillId="2" borderId="7" xfId="0" applyFont="1" applyFill="1" applyBorder="1"/>
    <xf numFmtId="0" fontId="4" fillId="2" borderId="8" xfId="0" applyFont="1" applyFill="1" applyBorder="1" applyAlignment="1">
      <alignment wrapText="1"/>
    </xf>
    <xf numFmtId="0" fontId="1" fillId="2" borderId="0" xfId="0" applyFont="1" applyFill="1" applyAlignment="1">
      <alignment wrapText="1"/>
    </xf>
    <xf numFmtId="0" fontId="1" fillId="2" borderId="0" xfId="0" applyFont="1" applyFill="1"/>
    <xf numFmtId="0" fontId="1" fillId="2" borderId="3" xfId="0" applyFont="1" applyFill="1" applyBorder="1"/>
    <xf numFmtId="0" fontId="1" fillId="2" borderId="4" xfId="0" applyFont="1" applyFill="1" applyBorder="1" applyAlignment="1">
      <alignment wrapText="1"/>
    </xf>
    <xf numFmtId="0" fontId="1" fillId="3" borderId="6" xfId="0" applyFont="1" applyFill="1" applyBorder="1" applyAlignment="1">
      <alignment horizontal="left" wrapText="1"/>
    </xf>
    <xf numFmtId="0" fontId="1" fillId="3" borderId="7" xfId="0" applyFont="1" applyFill="1" applyBorder="1" applyAlignment="1">
      <alignment horizontal="left" wrapText="1"/>
    </xf>
    <xf numFmtId="0" fontId="1" fillId="3" borderId="10" xfId="0" applyFont="1" applyFill="1" applyBorder="1" applyAlignment="1">
      <alignment horizontal="left" wrapText="1"/>
    </xf>
    <xf numFmtId="0" fontId="1" fillId="3" borderId="5" xfId="0" applyFont="1" applyFill="1" applyBorder="1" applyAlignment="1">
      <alignment horizontal="left" wrapText="1"/>
    </xf>
    <xf numFmtId="0" fontId="4" fillId="2" borderId="5" xfId="0" applyFont="1" applyFill="1" applyBorder="1" applyAlignment="1">
      <alignment wrapText="1"/>
    </xf>
    <xf numFmtId="0" fontId="4" fillId="2" borderId="7" xfId="0" applyFont="1" applyFill="1" applyBorder="1" applyAlignment="1">
      <alignment wrapText="1"/>
    </xf>
    <xf numFmtId="0" fontId="1" fillId="2" borderId="9" xfId="0" applyFont="1" applyFill="1" applyBorder="1" applyAlignment="1"/>
    <xf numFmtId="0" fontId="1" fillId="2" borderId="8" xfId="0" applyFont="1" applyFill="1" applyBorder="1" applyAlignment="1"/>
    <xf numFmtId="0" fontId="1" fillId="3" borderId="9" xfId="0" applyFont="1" applyFill="1" applyBorder="1" applyAlignment="1">
      <alignment horizontal="left" wrapText="1"/>
    </xf>
    <xf numFmtId="0" fontId="4" fillId="2" borderId="9" xfId="0" applyFont="1" applyFill="1" applyBorder="1" applyAlignment="1">
      <alignment horizontal="left" wrapText="1"/>
    </xf>
    <xf numFmtId="0" fontId="4" fillId="2" borderId="9" xfId="0" applyFont="1" applyFill="1" applyBorder="1" applyAlignment="1">
      <alignment horizontal="left"/>
    </xf>
    <xf numFmtId="0" fontId="4" fillId="2" borderId="5" xfId="0" applyFont="1" applyFill="1" applyBorder="1" applyAlignment="1">
      <alignment horizontal="left"/>
    </xf>
    <xf numFmtId="0" fontId="4" fillId="2" borderId="7" xfId="0" applyFont="1" applyFill="1" applyBorder="1" applyAlignment="1">
      <alignment horizontal="left"/>
    </xf>
    <xf numFmtId="0" fontId="4" fillId="2" borderId="8" xfId="0" applyFont="1" applyFill="1" applyBorder="1" applyAlignment="1">
      <alignment horizontal="left" wrapText="1"/>
    </xf>
    <xf numFmtId="0" fontId="4" fillId="2" borderId="8" xfId="0" applyFont="1" applyFill="1" applyBorder="1"/>
    <xf numFmtId="0" fontId="4" fillId="2" borderId="0" xfId="0" applyFont="1" applyFill="1" applyAlignment="1">
      <alignment wrapText="1"/>
    </xf>
    <xf numFmtId="0" fontId="3" fillId="2" borderId="9" xfId="0" applyFont="1" applyFill="1" applyBorder="1" applyAlignment="1">
      <alignment wrapText="1"/>
    </xf>
    <xf numFmtId="0" fontId="1" fillId="2" borderId="8" xfId="0" applyFont="1" applyFill="1" applyBorder="1"/>
    <xf numFmtId="0" fontId="4" fillId="2" borderId="9" xfId="0" applyFont="1" applyFill="1" applyBorder="1" applyAlignment="1"/>
    <xf numFmtId="0" fontId="1" fillId="2" borderId="5" xfId="0" applyFont="1" applyFill="1" applyBorder="1" applyAlignment="1">
      <alignment horizontal="left" wrapText="1"/>
    </xf>
    <xf numFmtId="0" fontId="1" fillId="2" borderId="9" xfId="0" applyFont="1" applyFill="1" applyBorder="1" applyAlignment="1">
      <alignment wrapText="1"/>
    </xf>
    <xf numFmtId="0" fontId="4" fillId="2" borderId="0" xfId="0" applyFont="1" applyFill="1" applyAlignment="1"/>
    <xf numFmtId="0" fontId="3" fillId="2" borderId="5" xfId="0" applyFont="1" applyFill="1" applyBorder="1" applyAlignment="1">
      <alignment horizontal="left" wrapText="1"/>
    </xf>
    <xf numFmtId="0" fontId="4" fillId="2" borderId="0" xfId="0" applyFont="1" applyFill="1"/>
    <xf numFmtId="0" fontId="4" fillId="2" borderId="3" xfId="0" applyFont="1" applyFill="1" applyBorder="1"/>
    <xf numFmtId="0" fontId="4" fillId="2" borderId="4" xfId="0" applyFont="1" applyFill="1" applyBorder="1" applyAlignment="1">
      <alignment wrapText="1"/>
    </xf>
    <xf numFmtId="0" fontId="6" fillId="2" borderId="0" xfId="0" applyFont="1" applyFill="1" applyAlignment="1"/>
    <xf numFmtId="0" fontId="1" fillId="3" borderId="11" xfId="0" applyFont="1" applyFill="1" applyBorder="1" applyAlignment="1">
      <alignment horizontal="left" wrapText="1"/>
    </xf>
    <xf numFmtId="0" fontId="1" fillId="3" borderId="8" xfId="0" applyFont="1" applyFill="1" applyBorder="1" applyAlignment="1">
      <alignment horizontal="left" wrapText="1"/>
    </xf>
    <xf numFmtId="0" fontId="0" fillId="0" borderId="3" xfId="0" applyBorder="1"/>
    <xf numFmtId="0" fontId="0" fillId="0" borderId="4" xfId="0" applyBorder="1"/>
    <xf numFmtId="0" fontId="2" fillId="0" borderId="0" xfId="0" applyFont="1"/>
    <xf numFmtId="0" fontId="0" fillId="0" borderId="0" xfId="0" applyFont="1"/>
    <xf numFmtId="0" fontId="4" fillId="2" borderId="4" xfId="0" applyNumberFormat="1" applyFont="1" applyFill="1" applyBorder="1" applyAlignment="1">
      <alignment wrapText="1"/>
    </xf>
    <xf numFmtId="0" fontId="4" fillId="2" borderId="3" xfId="0" applyFont="1" applyFill="1" applyBorder="1" applyAlignment="1">
      <alignment horizontal="left"/>
    </xf>
    <xf numFmtId="0" fontId="4" fillId="2" borderId="4" xfId="0" applyNumberFormat="1" applyFont="1" applyFill="1" applyBorder="1" applyAlignment="1">
      <alignment horizontal="left" wrapText="1"/>
    </xf>
    <xf numFmtId="0" fontId="4" fillId="2" borderId="0" xfId="0" applyFont="1" applyFill="1" applyBorder="1" applyAlignment="1">
      <alignment horizontal="left"/>
    </xf>
    <xf numFmtId="0" fontId="4" fillId="2" borderId="5" xfId="0" applyFont="1" applyFill="1" applyBorder="1" applyAlignment="1">
      <alignment horizontal="left" wrapText="1"/>
    </xf>
    <xf numFmtId="0" fontId="9" fillId="0" borderId="5" xfId="0" applyFont="1" applyFill="1" applyBorder="1" applyAlignment="1">
      <alignment wrapText="1"/>
    </xf>
    <xf numFmtId="0" fontId="9" fillId="0" borderId="3" xfId="0" applyFont="1" applyFill="1" applyBorder="1" applyAlignment="1">
      <alignment wrapText="1"/>
    </xf>
    <xf numFmtId="0" fontId="9" fillId="0" borderId="4" xfId="0" applyNumberFormat="1" applyFont="1" applyFill="1" applyBorder="1" applyAlignment="1">
      <alignment wrapText="1"/>
    </xf>
    <xf numFmtId="0" fontId="4"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4" fillId="2" borderId="6" xfId="0" applyFont="1" applyFill="1" applyBorder="1" applyAlignment="1">
      <alignment horizontal="left" wrapText="1"/>
    </xf>
    <xf numFmtId="0" fontId="4" fillId="2" borderId="3" xfId="0" applyFont="1" applyFill="1" applyBorder="1" applyAlignment="1">
      <alignment horizontal="left" wrapText="1"/>
    </xf>
    <xf numFmtId="0" fontId="1" fillId="4" borderId="9" xfId="0" applyFont="1" applyFill="1" applyBorder="1" applyAlignment="1">
      <alignment wrapText="1"/>
    </xf>
    <xf numFmtId="0" fontId="1" fillId="4" borderId="5" xfId="0" applyFont="1" applyFill="1" applyBorder="1"/>
    <xf numFmtId="0" fontId="1" fillId="4" borderId="7" xfId="0" applyFont="1" applyFill="1" applyBorder="1"/>
    <xf numFmtId="0" fontId="1" fillId="4" borderId="8" xfId="0" applyFont="1" applyFill="1" applyBorder="1" applyAlignment="1">
      <alignment wrapText="1"/>
    </xf>
    <xf numFmtId="0" fontId="0" fillId="4" borderId="9" xfId="0" applyFont="1" applyFill="1" applyBorder="1" applyAlignment="1">
      <alignment wrapText="1"/>
    </xf>
    <xf numFmtId="0" fontId="5" fillId="4" borderId="9" xfId="0" applyFont="1" applyFill="1" applyBorder="1" applyAlignment="1">
      <alignment wrapText="1"/>
    </xf>
    <xf numFmtId="0" fontId="1" fillId="4" borderId="5" xfId="0" applyFont="1" applyFill="1" applyBorder="1" applyAlignment="1">
      <alignment wrapText="1"/>
    </xf>
    <xf numFmtId="0" fontId="1" fillId="4" borderId="7" xfId="0" applyFont="1" applyFill="1" applyBorder="1" applyAlignment="1">
      <alignment wrapText="1"/>
    </xf>
    <xf numFmtId="0" fontId="1" fillId="4" borderId="9" xfId="0" applyFont="1" applyFill="1" applyBorder="1" applyAlignment="1"/>
    <xf numFmtId="0" fontId="6" fillId="4" borderId="9" xfId="0" applyFont="1" applyFill="1" applyBorder="1" applyAlignment="1">
      <alignment wrapText="1"/>
    </xf>
    <xf numFmtId="0" fontId="6" fillId="4" borderId="5" xfId="0" applyFont="1" applyFill="1" applyBorder="1" applyAlignment="1">
      <alignment wrapText="1"/>
    </xf>
    <xf numFmtId="0" fontId="6" fillId="4" borderId="7" xfId="0" applyFont="1" applyFill="1" applyBorder="1" applyAlignment="1">
      <alignment wrapText="1"/>
    </xf>
    <xf numFmtId="0" fontId="6" fillId="4" borderId="8" xfId="0" applyFont="1" applyFill="1" applyBorder="1" applyAlignment="1">
      <alignment wrapText="1"/>
    </xf>
    <xf numFmtId="0" fontId="6" fillId="4" borderId="3" xfId="0" applyFont="1" applyFill="1" applyBorder="1" applyAlignment="1">
      <alignment wrapText="1"/>
    </xf>
    <xf numFmtId="0" fontId="6" fillId="4" borderId="4" xfId="0" applyNumberFormat="1" applyFont="1" applyFill="1" applyBorder="1" applyAlignment="1">
      <alignment wrapText="1"/>
    </xf>
    <xf numFmtId="0" fontId="6" fillId="4" borderId="0" xfId="0" applyFont="1" applyFill="1" applyBorder="1" applyAlignment="1">
      <alignment wrapText="1"/>
    </xf>
    <xf numFmtId="0" fontId="3" fillId="5" borderId="9" xfId="0" applyFont="1" applyFill="1" applyBorder="1" applyAlignment="1">
      <alignment horizontal="left" wrapText="1"/>
    </xf>
    <xf numFmtId="0" fontId="3" fillId="4" borderId="9" xfId="0" applyFont="1" applyFill="1" applyBorder="1" applyAlignment="1">
      <alignment horizontal="left"/>
    </xf>
    <xf numFmtId="0" fontId="3" fillId="4" borderId="9" xfId="0" applyFont="1" applyFill="1" applyBorder="1" applyAlignment="1">
      <alignment horizontal="left" wrapText="1"/>
    </xf>
    <xf numFmtId="0" fontId="1" fillId="4" borderId="5" xfId="0" applyFont="1" applyFill="1" applyBorder="1" applyAlignment="1">
      <alignment horizontal="left"/>
    </xf>
    <xf numFmtId="0" fontId="1" fillId="4" borderId="7" xfId="0" applyFont="1" applyFill="1" applyBorder="1" applyAlignment="1">
      <alignment horizontal="left"/>
    </xf>
    <xf numFmtId="0" fontId="1" fillId="4" borderId="8" xfId="0" applyFont="1" applyFill="1" applyBorder="1" applyAlignment="1">
      <alignment horizontal="left" wrapText="1"/>
    </xf>
    <xf numFmtId="0" fontId="6" fillId="4" borderId="9" xfId="0" applyFont="1" applyFill="1" applyBorder="1" applyAlignment="1">
      <alignment horizontal="left" wrapText="1"/>
    </xf>
    <xf numFmtId="0" fontId="6" fillId="4" borderId="5" xfId="0" applyFont="1" applyFill="1" applyBorder="1" applyAlignment="1">
      <alignment horizontal="left"/>
    </xf>
    <xf numFmtId="0" fontId="6" fillId="4" borderId="7" xfId="0" applyFont="1" applyFill="1" applyBorder="1" applyAlignment="1">
      <alignment horizontal="left"/>
    </xf>
    <xf numFmtId="0" fontId="6" fillId="4" borderId="8" xfId="0" applyFont="1" applyFill="1" applyBorder="1" applyAlignment="1">
      <alignment horizontal="left" wrapText="1"/>
    </xf>
    <xf numFmtId="0" fontId="3" fillId="4" borderId="9" xfId="0" applyFont="1" applyFill="1" applyBorder="1" applyAlignment="1">
      <alignment wrapText="1"/>
    </xf>
    <xf numFmtId="0" fontId="6" fillId="4" borderId="0" xfId="0" applyFont="1" applyFill="1" applyBorder="1" applyAlignment="1">
      <alignment horizontal="left" wrapText="1"/>
    </xf>
    <xf numFmtId="0" fontId="6" fillId="4" borderId="5" xfId="0" applyFont="1" applyFill="1" applyBorder="1" applyAlignment="1">
      <alignment horizontal="left" wrapText="1"/>
    </xf>
    <xf numFmtId="0" fontId="6" fillId="4" borderId="0" xfId="0" applyFont="1" applyFill="1" applyBorder="1" applyAlignment="1">
      <alignment horizontal="left"/>
    </xf>
    <xf numFmtId="0" fontId="6" fillId="4" borderId="3" xfId="0" applyFont="1" applyFill="1" applyBorder="1" applyAlignment="1">
      <alignment horizontal="left"/>
    </xf>
    <xf numFmtId="0" fontId="6" fillId="4" borderId="4" xfId="0" applyNumberFormat="1" applyFont="1" applyFill="1" applyBorder="1" applyAlignment="1">
      <alignment horizontal="left" wrapText="1"/>
    </xf>
    <xf numFmtId="0" fontId="3" fillId="4" borderId="9" xfId="0" applyFont="1" applyFill="1" applyBorder="1" applyAlignment="1"/>
    <xf numFmtId="0" fontId="6" fillId="4" borderId="9" xfId="0" applyFont="1" applyFill="1" applyBorder="1" applyAlignment="1"/>
    <xf numFmtId="0" fontId="4" fillId="4" borderId="0" xfId="0" applyFont="1" applyFill="1"/>
    <xf numFmtId="0" fontId="4" fillId="4" borderId="3" xfId="0" applyFont="1" applyFill="1" applyBorder="1"/>
    <xf numFmtId="0" fontId="4" fillId="4" borderId="4" xfId="0" applyNumberFormat="1" applyFont="1" applyFill="1" applyBorder="1" applyAlignment="1">
      <alignment wrapText="1"/>
    </xf>
    <xf numFmtId="0" fontId="3" fillId="6" borderId="9" xfId="0" applyFont="1" applyFill="1" applyBorder="1" applyAlignment="1">
      <alignment horizontal="left" wrapText="1"/>
    </xf>
    <xf numFmtId="0" fontId="6" fillId="2" borderId="9" xfId="0" applyFont="1" applyFill="1" applyBorder="1" applyAlignment="1">
      <alignment wrapText="1"/>
    </xf>
    <xf numFmtId="0" fontId="6" fillId="7" borderId="9" xfId="0" applyFont="1" applyFill="1" applyBorder="1" applyAlignment="1">
      <alignment horizontal="left" wrapText="1"/>
    </xf>
    <xf numFmtId="0" fontId="6" fillId="7" borderId="5" xfId="0" applyFont="1" applyFill="1" applyBorder="1" applyAlignment="1">
      <alignment horizontal="left"/>
    </xf>
    <xf numFmtId="0" fontId="6" fillId="7" borderId="7" xfId="0" applyFont="1" applyFill="1" applyBorder="1" applyAlignment="1">
      <alignment horizontal="left"/>
    </xf>
    <xf numFmtId="0" fontId="6" fillId="7" borderId="8" xfId="0" applyFont="1" applyFill="1" applyBorder="1" applyAlignment="1">
      <alignment horizontal="left" wrapText="1"/>
    </xf>
    <xf numFmtId="0" fontId="4" fillId="2" borderId="3" xfId="0" applyFont="1" applyFill="1" applyBorder="1" applyAlignment="1">
      <alignment wrapText="1"/>
    </xf>
    <xf numFmtId="0" fontId="0" fillId="4" borderId="9" xfId="0" applyFill="1" applyBorder="1" applyAlignment="1">
      <alignment wrapText="1"/>
    </xf>
    <xf numFmtId="0" fontId="6" fillId="8" borderId="9" xfId="0" applyFont="1" applyFill="1" applyBorder="1" applyAlignment="1">
      <alignment wrapText="1"/>
    </xf>
    <xf numFmtId="0" fontId="6" fillId="8" borderId="0" xfId="0" applyFont="1" applyFill="1" applyAlignment="1"/>
    <xf numFmtId="0" fontId="6" fillId="8" borderId="0" xfId="0" applyFont="1" applyFill="1" applyAlignment="1">
      <alignment wrapText="1"/>
    </xf>
    <xf numFmtId="0" fontId="6" fillId="8" borderId="5" xfId="0" applyFont="1" applyFill="1" applyBorder="1"/>
    <xf numFmtId="0" fontId="6" fillId="8" borderId="7" xfId="0" applyFont="1" applyFill="1" applyBorder="1"/>
    <xf numFmtId="0" fontId="6"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6" fillId="10" borderId="9" xfId="0" applyFont="1" applyFill="1" applyBorder="1" applyAlignment="1">
      <alignment wrapText="1"/>
    </xf>
    <xf numFmtId="0" fontId="6" fillId="10" borderId="5" xfId="0" applyFont="1" applyFill="1" applyBorder="1" applyAlignment="1">
      <alignment wrapText="1"/>
    </xf>
    <xf numFmtId="0" fontId="6" fillId="10" borderId="3" xfId="0" applyFont="1" applyFill="1" applyBorder="1" applyAlignment="1">
      <alignment wrapText="1"/>
    </xf>
    <xf numFmtId="0" fontId="6" fillId="10" borderId="4" xfId="0" applyNumberFormat="1" applyFont="1" applyFill="1" applyBorder="1" applyAlignment="1">
      <alignment wrapText="1"/>
    </xf>
    <xf numFmtId="0" fontId="6" fillId="10" borderId="0" xfId="0" applyFont="1" applyFill="1" applyBorder="1" applyAlignment="1">
      <alignment horizontal="left" wrapText="1"/>
    </xf>
    <xf numFmtId="0" fontId="6" fillId="10" borderId="5" xfId="0" applyFont="1" applyFill="1" applyBorder="1" applyAlignment="1">
      <alignment horizontal="left" wrapText="1"/>
    </xf>
    <xf numFmtId="0" fontId="6" fillId="10" borderId="0" xfId="0" applyFont="1" applyFill="1" applyBorder="1" applyAlignment="1">
      <alignment horizontal="left"/>
    </xf>
    <xf numFmtId="0" fontId="6" fillId="10" borderId="3" xfId="0" applyFont="1" applyFill="1" applyBorder="1" applyAlignment="1">
      <alignment horizontal="left"/>
    </xf>
    <xf numFmtId="0" fontId="6"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6" fillId="11" borderId="9" xfId="0" applyFont="1" applyFill="1" applyBorder="1" applyAlignment="1">
      <alignment horizontal="left" wrapText="1"/>
    </xf>
    <xf numFmtId="0" fontId="6" fillId="12" borderId="0" xfId="0" applyFont="1" applyFill="1" applyBorder="1" applyAlignment="1">
      <alignment wrapText="1"/>
    </xf>
    <xf numFmtId="0" fontId="6" fillId="12" borderId="5" xfId="0" applyFont="1" applyFill="1" applyBorder="1" applyAlignment="1">
      <alignment wrapText="1"/>
    </xf>
    <xf numFmtId="0" fontId="6" fillId="12" borderId="3" xfId="0" applyFont="1" applyFill="1" applyBorder="1" applyAlignment="1">
      <alignment wrapText="1"/>
    </xf>
    <xf numFmtId="0" fontId="6" fillId="12" borderId="4" xfId="0" applyNumberFormat="1"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3" fillId="3" borderId="6" xfId="0" applyFont="1" applyFill="1" applyBorder="1" applyAlignment="1">
      <alignment horizontal="left" vertical="top" wrapText="1"/>
    </xf>
    <xf numFmtId="0" fontId="6" fillId="4" borderId="9" xfId="0" applyFont="1" applyFill="1" applyBorder="1" applyAlignment="1">
      <alignment vertical="top" wrapText="1"/>
    </xf>
    <xf numFmtId="0" fontId="4" fillId="2" borderId="0" xfId="0" applyFont="1" applyFill="1" applyBorder="1" applyAlignment="1">
      <alignment vertical="top" wrapText="1"/>
    </xf>
    <xf numFmtId="0" fontId="13" fillId="2" borderId="9" xfId="0" applyFont="1" applyFill="1" applyBorder="1" applyAlignment="1">
      <alignment vertical="top" wrapText="1"/>
    </xf>
    <xf numFmtId="0" fontId="4" fillId="2" borderId="0" xfId="0" applyFont="1" applyFill="1" applyBorder="1" applyAlignment="1">
      <alignment horizontal="left" wrapText="1"/>
    </xf>
    <xf numFmtId="0" fontId="13" fillId="13" borderId="0" xfId="0" applyFont="1" applyFill="1" applyAlignment="1">
      <alignment wrapText="1"/>
    </xf>
    <xf numFmtId="0" fontId="0" fillId="2" borderId="0" xfId="0" applyFont="1" applyFill="1" applyAlignment="1">
      <alignment wrapText="1"/>
    </xf>
    <xf numFmtId="0" fontId="6" fillId="4" borderId="9" xfId="0" applyFont="1" applyFill="1" applyBorder="1" applyAlignment="1">
      <alignment horizontal="left" vertical="top" wrapText="1"/>
    </xf>
    <xf numFmtId="0" fontId="6" fillId="5" borderId="12" xfId="0" applyFont="1" applyFill="1" applyBorder="1" applyAlignment="1">
      <alignment wrapText="1"/>
    </xf>
    <xf numFmtId="0" fontId="0" fillId="4" borderId="5" xfId="0" applyFont="1" applyFill="1" applyBorder="1"/>
    <xf numFmtId="0" fontId="1"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3" fillId="0" borderId="0" xfId="0" applyFont="1" applyAlignment="1">
      <alignment wrapText="1"/>
    </xf>
    <xf numFmtId="0" fontId="5" fillId="0" borderId="0" xfId="0" applyFont="1" applyFill="1" applyBorder="1" applyAlignment="1">
      <alignment wrapText="1"/>
    </xf>
    <xf numFmtId="0" fontId="17" fillId="0" borderId="0" xfId="0" applyFont="1" applyFill="1" applyBorder="1" applyAlignment="1"/>
    <xf numFmtId="0" fontId="17" fillId="0" borderId="0" xfId="0" applyFont="1" applyFill="1" applyBorder="1" applyAlignment="1">
      <alignment wrapText="1"/>
    </xf>
    <xf numFmtId="0" fontId="18" fillId="0" borderId="0" xfId="0" applyFont="1"/>
    <xf numFmtId="0" fontId="17" fillId="0" borderId="0" xfId="0" applyFont="1"/>
    <xf numFmtId="0" fontId="17" fillId="0" borderId="0" xfId="0" applyFont="1" applyAlignment="1">
      <alignment wrapText="1"/>
    </xf>
    <xf numFmtId="0" fontId="3" fillId="0" borderId="0" xfId="0" applyFont="1"/>
    <xf numFmtId="14" fontId="6" fillId="4" borderId="9" xfId="0" applyNumberFormat="1" applyFont="1" applyFill="1" applyBorder="1" applyAlignment="1">
      <alignment wrapText="1"/>
    </xf>
    <xf numFmtId="0" fontId="6" fillId="4" borderId="9" xfId="0" applyFont="1" applyFill="1" applyBorder="1" applyAlignment="1">
      <alignment vertical="center" wrapText="1"/>
    </xf>
    <xf numFmtId="0" fontId="6" fillId="4" borderId="9" xfId="0" applyFont="1" applyFill="1" applyBorder="1" applyAlignment="1">
      <alignment horizontal="left" vertical="center" wrapText="1"/>
    </xf>
    <xf numFmtId="0" fontId="16" fillId="4" borderId="9" xfId="0" applyFont="1" applyFill="1" applyBorder="1" applyAlignment="1">
      <alignment vertical="top" wrapText="1"/>
    </xf>
    <xf numFmtId="0" fontId="16" fillId="2" borderId="9" xfId="0" applyFont="1" applyFill="1" applyBorder="1" applyAlignment="1">
      <alignment wrapText="1"/>
    </xf>
    <xf numFmtId="0" fontId="16" fillId="2" borderId="9" xfId="0" applyFont="1" applyFill="1" applyBorder="1" applyAlignment="1">
      <alignment vertical="top" wrapText="1"/>
    </xf>
    <xf numFmtId="0" fontId="16" fillId="2" borderId="0" xfId="0" applyFont="1" applyFill="1" applyAlignment="1">
      <alignment vertical="top" wrapText="1"/>
    </xf>
    <xf numFmtId="0" fontId="16" fillId="2" borderId="0" xfId="0" applyFont="1" applyFill="1" applyAlignment="1">
      <alignment wrapText="1"/>
    </xf>
    <xf numFmtId="0" fontId="16" fillId="3" borderId="6" xfId="0" applyFont="1" applyFill="1" applyBorder="1" applyAlignment="1">
      <alignment horizontal="left" vertical="top" wrapText="1"/>
    </xf>
    <xf numFmtId="0" fontId="16" fillId="3" borderId="6" xfId="0" applyFont="1" applyFill="1" applyBorder="1" applyAlignment="1">
      <alignment horizontal="left" wrapText="1"/>
    </xf>
    <xf numFmtId="0" fontId="16" fillId="0" borderId="9" xfId="0" applyFont="1" applyFill="1" applyBorder="1" applyAlignment="1">
      <alignment vertical="top" wrapText="1"/>
    </xf>
    <xf numFmtId="0" fontId="16" fillId="0" borderId="9" xfId="0" applyFont="1" applyFill="1" applyBorder="1" applyAlignment="1">
      <alignment wrapText="1"/>
    </xf>
    <xf numFmtId="0" fontId="16" fillId="2" borderId="0" xfId="0" applyFont="1" applyFill="1" applyBorder="1" applyAlignment="1">
      <alignment wrapText="1"/>
    </xf>
    <xf numFmtId="0" fontId="16" fillId="2" borderId="0" xfId="0" applyFont="1" applyFill="1" applyBorder="1" applyAlignment="1">
      <alignment vertical="top" wrapText="1"/>
    </xf>
    <xf numFmtId="0" fontId="16" fillId="10" borderId="9" xfId="0" applyFont="1" applyFill="1" applyBorder="1" applyAlignment="1">
      <alignment vertical="top" wrapText="1"/>
    </xf>
    <xf numFmtId="0" fontId="16" fillId="10" borderId="9" xfId="0" applyFont="1" applyFill="1" applyBorder="1" applyAlignment="1">
      <alignment wrapText="1"/>
    </xf>
    <xf numFmtId="0" fontId="16" fillId="4" borderId="0" xfId="0" applyFont="1" applyFill="1" applyBorder="1" applyAlignment="1">
      <alignment vertical="top" wrapText="1"/>
    </xf>
    <xf numFmtId="0" fontId="16" fillId="12" borderId="0" xfId="0" applyFont="1" applyFill="1" applyBorder="1" applyAlignment="1">
      <alignment vertical="top" wrapText="1"/>
    </xf>
    <xf numFmtId="0" fontId="16" fillId="12" borderId="9" xfId="0" applyFont="1" applyFill="1" applyBorder="1" applyAlignment="1">
      <alignment wrapText="1"/>
    </xf>
    <xf numFmtId="0" fontId="16" fillId="4" borderId="9" xfId="0" applyFont="1" applyFill="1" applyBorder="1" applyAlignment="1">
      <alignment horizontal="left" wrapText="1"/>
    </xf>
    <xf numFmtId="0" fontId="16" fillId="4" borderId="9" xfId="0" applyFont="1" applyFill="1" applyBorder="1" applyAlignment="1">
      <alignment horizontal="left" vertical="top" wrapText="1"/>
    </xf>
    <xf numFmtId="0" fontId="16" fillId="7" borderId="9" xfId="0" applyFont="1" applyFill="1" applyBorder="1" applyAlignment="1">
      <alignment horizontal="left" vertical="top" wrapText="1"/>
    </xf>
    <xf numFmtId="0" fontId="16" fillId="7" borderId="9" xfId="0" applyFont="1" applyFill="1" applyBorder="1" applyAlignment="1">
      <alignment horizontal="left" wrapText="1"/>
    </xf>
    <xf numFmtId="0" fontId="16" fillId="2" borderId="9" xfId="0" applyFont="1" applyFill="1" applyBorder="1" applyAlignment="1">
      <alignment horizontal="left" wrapText="1"/>
    </xf>
    <xf numFmtId="9" fontId="16" fillId="2" borderId="9" xfId="0" applyNumberFormat="1" applyFont="1" applyFill="1" applyBorder="1" applyAlignment="1">
      <alignment horizontal="left" vertical="top" wrapText="1"/>
    </xf>
    <xf numFmtId="0" fontId="16" fillId="2" borderId="9" xfId="0" applyFont="1" applyFill="1" applyBorder="1" applyAlignment="1">
      <alignment horizontal="left" vertical="top" wrapText="1"/>
    </xf>
    <xf numFmtId="0" fontId="16" fillId="4" borderId="0" xfId="0" applyFont="1" applyFill="1" applyBorder="1" applyAlignment="1">
      <alignment wrapText="1"/>
    </xf>
    <xf numFmtId="0" fontId="16" fillId="4" borderId="0" xfId="0" applyFont="1" applyFill="1" applyBorder="1" applyAlignment="1">
      <alignment horizontal="left" wrapText="1"/>
    </xf>
    <xf numFmtId="0" fontId="16" fillId="2" borderId="0" xfId="0" applyFont="1" applyFill="1" applyBorder="1" applyAlignment="1">
      <alignment horizontal="left" wrapText="1"/>
    </xf>
    <xf numFmtId="0" fontId="16" fillId="2" borderId="6" xfId="0" applyFont="1" applyFill="1" applyBorder="1" applyAlignment="1">
      <alignment vertical="top" wrapText="1"/>
    </xf>
    <xf numFmtId="0" fontId="16" fillId="2" borderId="0" xfId="0" applyFont="1" applyFill="1" applyAlignment="1">
      <alignment horizontal="left" vertical="top" wrapText="1"/>
    </xf>
    <xf numFmtId="0" fontId="16" fillId="4" borderId="0" xfId="0" applyFont="1" applyFill="1" applyAlignment="1">
      <alignment vertical="top" wrapText="1"/>
    </xf>
    <xf numFmtId="0" fontId="16" fillId="4" borderId="0" xfId="0" applyFont="1" applyFill="1" applyAlignment="1">
      <alignment wrapText="1"/>
    </xf>
    <xf numFmtId="0" fontId="16" fillId="3" borderId="5" xfId="0" applyFont="1" applyFill="1" applyBorder="1" applyAlignment="1">
      <alignment horizontal="left" vertical="top" wrapText="1"/>
    </xf>
    <xf numFmtId="0" fontId="16" fillId="3" borderId="5" xfId="0" applyFont="1" applyFill="1" applyBorder="1" applyAlignment="1">
      <alignment horizontal="left" wrapText="1"/>
    </xf>
    <xf numFmtId="0" fontId="4" fillId="14" borderId="12" xfId="0" applyFont="1" applyFill="1" applyBorder="1" applyAlignment="1">
      <alignment wrapText="1"/>
    </xf>
    <xf numFmtId="0" fontId="19" fillId="2" borderId="0" xfId="0" applyFont="1" applyFill="1" applyBorder="1" applyAlignment="1">
      <alignment wrapText="1"/>
    </xf>
    <xf numFmtId="0" fontId="20" fillId="4" borderId="9" xfId="0" applyFont="1" applyFill="1" applyBorder="1" applyAlignment="1">
      <alignment horizontal="left" wrapText="1"/>
    </xf>
    <xf numFmtId="0" fontId="10" fillId="0" borderId="0" xfId="0" applyFont="1" applyAlignment="1">
      <alignment horizontal="center" wrapText="1"/>
    </xf>
    <xf numFmtId="0" fontId="2" fillId="2" borderId="1" xfId="0" applyFont="1" applyFill="1" applyBorder="1" applyAlignment="1">
      <alignment horizontal="center"/>
    </xf>
    <xf numFmtId="0" fontId="2" fillId="2" borderId="2" xfId="0" applyFont="1" applyFill="1" applyBorder="1" applyAlignment="1">
      <alignment horizontal="center"/>
    </xf>
    <xf numFmtId="17" fontId="12" fillId="0" borderId="0" xfId="0" applyNumberFormat="1" applyFont="1" applyAlignment="1">
      <alignment horizontal="center" wrapText="1"/>
    </xf>
    <xf numFmtId="0" fontId="12" fillId="0" borderId="0" xfId="0" applyFont="1" applyAlignment="1">
      <alignment horizontal="center" wrapText="1"/>
    </xf>
    <xf numFmtId="0" fontId="11" fillId="0" borderId="0" xfId="0" applyFont="1" applyAlignment="1">
      <alignment horizontal="center" wrapText="1"/>
    </xf>
    <xf numFmtId="0" fontId="0" fillId="0" borderId="0" xfId="0" applyAlignment="1">
      <alignment horizontal="center"/>
    </xf>
    <xf numFmtId="0" fontId="20" fillId="4" borderId="9" xfId="0" applyFont="1" applyFill="1" applyBorder="1" applyAlignment="1">
      <alignment vertical="top" wrapText="1"/>
    </xf>
    <xf numFmtId="0" fontId="20" fillId="4" borderId="9" xfId="0" applyFont="1" applyFill="1" applyBorder="1" applyAlignment="1">
      <alignment wrapText="1"/>
    </xf>
  </cellXfs>
  <cellStyles count="17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150679</xdr:colOff>
      <xdr:row>1</xdr:row>
      <xdr:rowOff>53814</xdr:rowOff>
    </xdr:from>
    <xdr:to>
      <xdr:col>1</xdr:col>
      <xdr:colOff>388114</xdr:colOff>
      <xdr:row>6</xdr:row>
      <xdr:rowOff>10279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679" y="247543"/>
          <a:ext cx="4241164" cy="1108075"/>
        </a:xfrm>
        <a:prstGeom prst="rect">
          <a:avLst/>
        </a:prstGeom>
      </xdr:spPr>
    </xdr:pic>
    <xdr:clientData/>
  </xdr:twoCellAnchor>
  <xdr:twoCellAnchor editAs="oneCell">
    <xdr:from>
      <xdr:col>1</xdr:col>
      <xdr:colOff>548898</xdr:colOff>
      <xdr:row>1</xdr:row>
      <xdr:rowOff>161441</xdr:rowOff>
    </xdr:from>
    <xdr:to>
      <xdr:col>1</xdr:col>
      <xdr:colOff>3706753</xdr:colOff>
      <xdr:row>5</xdr:row>
      <xdr:rowOff>92560</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2627" y="355170"/>
          <a:ext cx="3157855" cy="889000"/>
        </a:xfrm>
        <a:prstGeom prst="rect">
          <a:avLst/>
        </a:prstGeom>
      </xdr:spPr>
    </xdr:pic>
    <xdr:clientData/>
  </xdr:twoCellAnchor>
  <xdr:twoCellAnchor editAs="oneCell">
    <xdr:from>
      <xdr:col>2</xdr:col>
      <xdr:colOff>118390</xdr:colOff>
      <xdr:row>1</xdr:row>
      <xdr:rowOff>118390</xdr:rowOff>
    </xdr:from>
    <xdr:to>
      <xdr:col>2</xdr:col>
      <xdr:colOff>3232676</xdr:colOff>
      <xdr:row>4</xdr:row>
      <xdr:rowOff>154973</xdr:rowOff>
    </xdr:to>
    <xdr:pic>
      <xdr:nvPicPr>
        <xdr:cNvPr id="7" name="Picture 6"/>
        <xdr:cNvPicPr>
          <a:picLocks noChangeAspect="1"/>
        </xdr:cNvPicPr>
      </xdr:nvPicPr>
      <xdr:blipFill>
        <a:blip xmlns:r="http://schemas.openxmlformats.org/officeDocument/2006/relationships" r:embed="rId3"/>
        <a:stretch>
          <a:fillRect/>
        </a:stretch>
      </xdr:blipFill>
      <xdr:spPr>
        <a:xfrm>
          <a:off x="8125848" y="312119"/>
          <a:ext cx="3114286" cy="800735"/>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B16" workbookViewId="0">
      <selection activeCell="C125" sqref="C125"/>
    </sheetView>
  </sheetViews>
  <sheetFormatPr defaultColWidth="8.625" defaultRowHeight="15.75"/>
  <cols>
    <col min="1" max="2" width="52.5" style="1" customWidth="1"/>
    <col min="3" max="3" width="60.5" style="1" customWidth="1"/>
    <col min="4" max="4" width="13.5" style="1" customWidth="1"/>
    <col min="6" max="6" width="19.875" customWidth="1"/>
    <col min="7" max="7" width="31.125" style="47" customWidth="1"/>
    <col min="8" max="8" width="17.375" style="48" customWidth="1"/>
  </cols>
  <sheetData>
    <row r="2" spans="1:8" ht="30" customHeight="1"/>
    <row r="10" spans="1:8" ht="27.95" customHeight="1">
      <c r="A10" s="214" t="s">
        <v>774</v>
      </c>
      <c r="B10" s="214"/>
      <c r="C10" s="212">
        <v>41640</v>
      </c>
      <c r="D10" s="213"/>
    </row>
    <row r="16" spans="1:8" ht="108.95" customHeight="1">
      <c r="B16" s="209" t="s">
        <v>878</v>
      </c>
      <c r="C16" s="209"/>
      <c r="G16" s="210" t="s">
        <v>0</v>
      </c>
      <c r="H16" s="211"/>
    </row>
    <row r="17" spans="1:8" ht="31.5">
      <c r="A17" s="2" t="s">
        <v>1</v>
      </c>
      <c r="B17" s="2" t="s">
        <v>2</v>
      </c>
      <c r="C17" s="162" t="s">
        <v>243</v>
      </c>
      <c r="D17" s="3" t="s">
        <v>3</v>
      </c>
      <c r="E17" s="162" t="s">
        <v>244</v>
      </c>
      <c r="F17" s="2" t="s">
        <v>4</v>
      </c>
      <c r="G17" s="4" t="s">
        <v>5</v>
      </c>
      <c r="H17" s="5" t="s">
        <v>6</v>
      </c>
    </row>
    <row r="18" spans="1:8" ht="31.5">
      <c r="A18" s="6" t="s">
        <v>7</v>
      </c>
      <c r="B18" s="7" t="s">
        <v>8</v>
      </c>
      <c r="C18" s="150"/>
      <c r="D18" s="147"/>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0.95" customHeight="1">
      <c r="A19" s="64" t="s">
        <v>9</v>
      </c>
      <c r="B19" s="64" t="s">
        <v>10</v>
      </c>
      <c r="C19" s="68" t="s">
        <v>879</v>
      </c>
      <c r="D19" s="68"/>
      <c r="E19" s="68"/>
      <c r="F19" s="65"/>
      <c r="G19" s="66" t="str">
        <f>IF(OR(Table1[[#This Row],[English]]&lt;&gt;"",Table1[[#This Row],[Français]]&lt;&gt;""),Table1[[#This Row],[Français]]&amp;"//"&amp;Table1[[#This Row],[English]],"")</f>
        <v>Pays//Country</v>
      </c>
      <c r="H19" s="67" t="str">
        <f t="shared" si="0"/>
        <v>Congo, the Democratic Republic of the</v>
      </c>
    </row>
    <row r="20" spans="1:8" ht="47.25">
      <c r="A20" s="64" t="s">
        <v>11</v>
      </c>
      <c r="B20" s="68" t="s">
        <v>12</v>
      </c>
      <c r="C20" s="73" t="s">
        <v>823</v>
      </c>
      <c r="D20" s="73" t="s">
        <v>825</v>
      </c>
      <c r="E20" s="73" t="s">
        <v>826</v>
      </c>
      <c r="F20" s="65"/>
      <c r="G20" s="66" t="str">
        <f>IF(OR(Table1[[#This Row],[English]]&lt;&gt;"",Table1[[#This Row],[Français]]&lt;&gt;""),Table1[[#This Row],[Français]]&amp;"//"&amp;Table1[[#This Row],[English]],"")</f>
        <v>Nom de la société locale//Local company name</v>
      </c>
      <c r="H20" s="67" t="str">
        <f t="shared" si="0"/>
        <v>Industrie de Transformation de Bois--Préambule</v>
      </c>
    </row>
    <row r="21" spans="1:8">
      <c r="A21" s="68" t="s">
        <v>241</v>
      </c>
      <c r="B21" s="68" t="s">
        <v>242</v>
      </c>
      <c r="C21" s="174"/>
      <c r="D21" s="148"/>
      <c r="E21" s="148"/>
      <c r="F21" s="159"/>
      <c r="G21" s="16" t="str">
        <f>IF(OR(Table1[[#This Row],[English]]&lt;&gt;"",Table1[[#This Row],[Français]]&lt;&gt;""),Table1[[#This Row],[Français]]&amp;"//"&amp;Table1[[#This Row],[English]],"")</f>
        <v>Numéro d'entreprise légal//Legal Enterprise Identifier</v>
      </c>
      <c r="H21" s="160" t="str">
        <f>IF(C21&lt;&gt;"",IF(D21&lt;&gt;"",C21&amp;"--"&amp;D21,C21),"")</f>
        <v/>
      </c>
    </row>
    <row r="22" spans="1:8" ht="157.5">
      <c r="A22" s="10" t="s">
        <v>13</v>
      </c>
      <c r="B22" s="10" t="s">
        <v>14</v>
      </c>
      <c r="C22" s="102" t="s">
        <v>824</v>
      </c>
      <c r="D22" s="102" t="s">
        <v>825</v>
      </c>
      <c r="E22" s="102" t="s">
        <v>826</v>
      </c>
      <c r="F22" s="11"/>
      <c r="G22" s="12" t="str">
        <f>IF(OR(Table1[[#This Row],[English]]&lt;&gt;"",Table1[[#This Row],[Français]]&lt;&gt;""),Table1[[#This Row],[Français]]&amp;"//"&amp;Table1[[#This Row],[English]],"")</f>
        <v xml:space="preserve">Siège social //Corporate headquarters </v>
      </c>
      <c r="H22" s="13" t="str">
        <f t="shared" si="0"/>
        <v>N° 5501, Avenue de l'Ouest, Quartier Kingabwa, Commune de Limete, Ville-Province de Kinshasa, en République Démocratique du Congo--Préambule</v>
      </c>
    </row>
    <row r="23" spans="1:8">
      <c r="A23" s="10" t="s">
        <v>15</v>
      </c>
      <c r="B23" s="10" t="s">
        <v>16</v>
      </c>
      <c r="C23" s="176"/>
      <c r="D23" s="175"/>
      <c r="E23" s="175"/>
      <c r="F23" s="11"/>
      <c r="G23" s="12" t="str">
        <f>IF(OR(Table1[[#This Row],[English]]&lt;&gt;"",Table1[[#This Row],[Français]]&lt;&gt;""),Table1[[#This Row],[Français]]&amp;"//"&amp;Table1[[#This Row],[English]],"")</f>
        <v>Structure du Capital//Company structure</v>
      </c>
      <c r="H23" s="13" t="str">
        <f t="shared" si="0"/>
        <v/>
      </c>
    </row>
    <row r="24" spans="1:8" ht="33.75" customHeight="1">
      <c r="A24" s="64" t="s">
        <v>17</v>
      </c>
      <c r="B24" s="68" t="s">
        <v>193</v>
      </c>
      <c r="C24" s="174"/>
      <c r="D24" s="148"/>
      <c r="E24" s="148"/>
      <c r="F24" s="65"/>
      <c r="G24" s="66"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7" t="str">
        <f t="shared" si="0"/>
        <v/>
      </c>
    </row>
    <row r="25" spans="1:8">
      <c r="A25" s="68" t="s">
        <v>241</v>
      </c>
      <c r="B25" s="68" t="s">
        <v>242</v>
      </c>
      <c r="C25" s="174"/>
      <c r="D25" s="148"/>
      <c r="E25" s="148"/>
      <c r="F25" s="159"/>
      <c r="G25" s="16" t="str">
        <f>IF(OR(Table1[[#This Row],[English]]&lt;&gt;"",Table1[[#This Row],[Français]]&lt;&gt;""),Table1[[#This Row],[Français]]&amp;"//"&amp;Table1[[#This Row],[English]],"")</f>
        <v>Numéro d'entreprise légal//Legal Enterprise Identifier</v>
      </c>
      <c r="H25" s="160" t="str">
        <f>IF(C25&lt;&gt;"",IF(D25&lt;&gt;"",C25&amp;"--"&amp;D25,C25),"")</f>
        <v/>
      </c>
    </row>
    <row r="26" spans="1:8">
      <c r="A26" s="64" t="s">
        <v>18</v>
      </c>
      <c r="B26" s="64" t="s">
        <v>19</v>
      </c>
      <c r="C26" s="174"/>
      <c r="D26" s="148"/>
      <c r="E26" s="148"/>
      <c r="F26" s="65"/>
      <c r="G26" s="66" t="str">
        <f>IF(OR(Table1[[#This Row],[English]]&lt;&gt;"",Table1[[#This Row],[Français]]&lt;&gt;""),Table1[[#This Row],[Français]]&amp;"//"&amp;Table1[[#This Row],[English]],"")</f>
        <v>Site web de l’entreprise//Company website</v>
      </c>
      <c r="H26" s="67" t="str">
        <f t="shared" si="0"/>
        <v/>
      </c>
    </row>
    <row r="27" spans="1:8" ht="63">
      <c r="A27" s="68" t="s">
        <v>204</v>
      </c>
      <c r="B27" s="69" t="s">
        <v>20</v>
      </c>
      <c r="C27" s="73" t="s">
        <v>873</v>
      </c>
      <c r="D27" s="73" t="s">
        <v>825</v>
      </c>
      <c r="E27" s="73" t="s">
        <v>827</v>
      </c>
      <c r="F27" s="65"/>
      <c r="G27" s="66"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7" t="str">
        <f t="shared" si="0"/>
        <v>Contrat de concession forrestière--Préambule</v>
      </c>
    </row>
    <row r="28" spans="1:8">
      <c r="A28" s="64" t="s">
        <v>21</v>
      </c>
      <c r="B28" s="64" t="s">
        <v>22</v>
      </c>
      <c r="C28" s="174"/>
      <c r="D28" s="148"/>
      <c r="E28" s="148"/>
      <c r="F28" s="65"/>
      <c r="G28" s="66" t="str">
        <f>IF(OR(Table1[[#This Row],[English]]&lt;&gt;"",Table1[[#This Row],[Français]]&lt;&gt;""),Table1[[#This Row],[Français]]&amp;"//"&amp;Table1[[#This Row],[English]],"")</f>
        <v>Nom du projet//Project title</v>
      </c>
      <c r="H28" s="67" t="str">
        <f t="shared" si="0"/>
        <v/>
      </c>
    </row>
    <row r="29" spans="1:8">
      <c r="A29" s="68" t="s">
        <v>201</v>
      </c>
      <c r="B29" s="69" t="s">
        <v>23</v>
      </c>
      <c r="C29" s="174"/>
      <c r="D29" s="148"/>
      <c r="E29" s="148"/>
      <c r="F29" s="65"/>
      <c r="G29" s="66" t="str">
        <f>IF(OR(Table1[[#This Row],[English]]&lt;&gt;"",Table1[[#This Row],[Français]]&lt;&gt;""),Table1[[#This Row],[Français]]&amp;"//"&amp;Table1[[#This Row],[English]],"")</f>
        <v>Nom du gisement/ champ de pétrole/ gas//Name and/or number of field, block or deposit</v>
      </c>
      <c r="H29" s="67" t="str">
        <f t="shared" si="0"/>
        <v/>
      </c>
    </row>
    <row r="30" spans="1:8" ht="54.95" customHeight="1">
      <c r="A30" s="73" t="s">
        <v>206</v>
      </c>
      <c r="B30" s="108" t="s">
        <v>205</v>
      </c>
      <c r="C30" s="73" t="s">
        <v>863</v>
      </c>
      <c r="D30" s="73" t="s">
        <v>828</v>
      </c>
      <c r="E30" s="73" t="s">
        <v>829</v>
      </c>
      <c r="F30" s="65"/>
      <c r="G30" s="66"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7" t="str">
        <f t="shared" si="0"/>
        <v>Secteur: Ekonda, territoire: Bikoro et Ingende, district: Equateur, province: Equateur.  La délimitation physique se décrit dans l'article 2(II).--Art. 2</v>
      </c>
    </row>
    <row r="31" spans="1:8">
      <c r="A31" s="64" t="s">
        <v>24</v>
      </c>
      <c r="B31" s="64" t="s">
        <v>25</v>
      </c>
      <c r="C31" s="174"/>
      <c r="D31" s="148"/>
      <c r="E31" s="148"/>
      <c r="F31" s="65"/>
      <c r="G31" s="66" t="str">
        <f>IF(OR(Table1[[#This Row],[English]]&lt;&gt;"",Table1[[#This Row],[Français]]&lt;&gt;""),Table1[[#This Row],[Français]]&amp;"//"&amp;Table1[[#This Row],[English]],"")</f>
        <v>Lieu-dit habité le plus proche//Closest community</v>
      </c>
      <c r="H31" s="67" t="str">
        <f t="shared" si="0"/>
        <v/>
      </c>
    </row>
    <row r="32" spans="1:8" ht="54" customHeight="1">
      <c r="A32" s="64" t="s">
        <v>26</v>
      </c>
      <c r="B32" s="64" t="s">
        <v>27</v>
      </c>
      <c r="C32" s="174"/>
      <c r="D32" s="148"/>
      <c r="E32" s="148"/>
      <c r="F32" s="65"/>
      <c r="G32" s="66" t="str">
        <f>IF(OR(Table1[[#This Row],[English]]&lt;&gt;"",Table1[[#This Row],[Français]]&lt;&gt;""),Table1[[#This Row],[Français]]&amp;"//"&amp;Table1[[#This Row],[English]],"")</f>
        <v>Date d'octroi du permis d'exploitation ou concession//Date of issue of title/permit</v>
      </c>
      <c r="H32" s="67" t="str">
        <f t="shared" si="0"/>
        <v/>
      </c>
    </row>
    <row r="33" spans="1:8" ht="45" customHeight="1">
      <c r="A33" s="64" t="s">
        <v>28</v>
      </c>
      <c r="B33" s="64" t="s">
        <v>29</v>
      </c>
      <c r="C33" s="174" t="str">
        <f>IF(C32&lt;&gt;"",YEAR(C32),"")</f>
        <v/>
      </c>
      <c r="D33" s="148"/>
      <c r="E33" s="148"/>
      <c r="F33" s="65"/>
      <c r="G33" s="66" t="str">
        <f>IF(OR(Table1[[#This Row],[English]]&lt;&gt;"",Table1[[#This Row],[Français]]&lt;&gt;""),Table1[[#This Row],[Français]]&amp;"//"&amp;Table1[[#This Row],[English]],"")</f>
        <v>Année d'octroi du permis d'exploitation ou concession//Year of issue of title/permit</v>
      </c>
      <c r="H33" s="67" t="str">
        <f t="shared" si="0"/>
        <v/>
      </c>
    </row>
    <row r="34" spans="1:8">
      <c r="A34" s="10" t="s">
        <v>30</v>
      </c>
      <c r="B34" s="10" t="s">
        <v>31</v>
      </c>
      <c r="C34" s="176"/>
      <c r="D34" s="175"/>
      <c r="E34" s="175"/>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76"/>
      <c r="D35" s="175"/>
      <c r="E35" s="175"/>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76"/>
      <c r="D36" s="175"/>
      <c r="E36" s="175"/>
      <c r="F36" s="11"/>
      <c r="G36" s="12" t="str">
        <f>IF(OR(Table1[[#This Row],[English]]&lt;&gt;"",Table1[[#This Row],[Français]]&lt;&gt;""),Table1[[#This Row],[Français]]&amp;"//"&amp;Table1[[#This Row],[English]],"")</f>
        <v>Production attendue//Expected production</v>
      </c>
      <c r="H36" s="13" t="str">
        <f t="shared" si="0"/>
        <v/>
      </c>
    </row>
    <row r="37" spans="1:8">
      <c r="A37" s="14"/>
      <c r="B37" s="14"/>
      <c r="C37" s="177"/>
      <c r="D37" s="178"/>
      <c r="E37" s="178"/>
      <c r="F37" s="15"/>
      <c r="G37" s="16" t="str">
        <f>IF(OR(Table1[[#This Row],[English]]&lt;&gt;"",Table1[[#This Row],[Français]]&lt;&gt;""),Table1[[#This Row],[Français]]&amp;"//"&amp;Table1[[#This Row],[English]],"")</f>
        <v/>
      </c>
      <c r="H37" s="17" t="str">
        <f t="shared" si="0"/>
        <v/>
      </c>
    </row>
    <row r="38" spans="1:8" ht="31.5">
      <c r="A38" s="161" t="s">
        <v>36</v>
      </c>
      <c r="B38" s="161" t="s">
        <v>37</v>
      </c>
      <c r="C38" s="179"/>
      <c r="D38" s="180"/>
      <c r="E38" s="180"/>
      <c r="F38" s="18"/>
      <c r="G38" s="19" t="str">
        <f>IF(OR(Table1[[#This Row],[English]]&lt;&gt;"",Table1[[#This Row],[Français]]&lt;&gt;""),Table1[[#This Row],[Français]]&amp;"//"&amp;Table1[[#This Row],[English]],"")</f>
        <v>II. Résumé des dispositions du contrat//II. Summary of terms</v>
      </c>
      <c r="H38" s="20" t="str">
        <f t="shared" si="0"/>
        <v/>
      </c>
    </row>
    <row r="39" spans="1:8" ht="31.5">
      <c r="A39" s="21" t="s">
        <v>38</v>
      </c>
      <c r="B39" s="18" t="s">
        <v>39</v>
      </c>
      <c r="C39" s="179"/>
      <c r="D39" s="180"/>
      <c r="E39" s="180"/>
      <c r="F39" s="18"/>
      <c r="G39" s="19" t="str">
        <f>IF(OR(Table1[[#This Row],[English]]&lt;&gt;"",Table1[[#This Row],[Français]]&lt;&gt;""),Table1[[#This Row],[Français]]&amp;"//"&amp;Table1[[#This Row],[English]],"")</f>
        <v>1. Dispositions du base//1. Fundamental provisions</v>
      </c>
      <c r="H39" s="20" t="str">
        <f t="shared" si="0"/>
        <v/>
      </c>
    </row>
    <row r="40" spans="1:8" ht="94.5">
      <c r="A40" s="64" t="s">
        <v>40</v>
      </c>
      <c r="B40" s="64" t="s">
        <v>41</v>
      </c>
      <c r="C40" s="73" t="s">
        <v>823</v>
      </c>
      <c r="D40" s="73" t="s">
        <v>825</v>
      </c>
      <c r="E40" s="73" t="s">
        <v>826</v>
      </c>
      <c r="F40" s="70"/>
      <c r="G40" s="71"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7" t="str">
        <f t="shared" si="0"/>
        <v>Industrie de Transformation de Bois--Préambule</v>
      </c>
    </row>
    <row r="41" spans="1:8">
      <c r="A41" s="68" t="s">
        <v>241</v>
      </c>
      <c r="B41" s="68" t="s">
        <v>242</v>
      </c>
      <c r="C41" s="174"/>
      <c r="D41" s="148"/>
      <c r="E41" s="148"/>
      <c r="F41" s="159"/>
      <c r="G41" s="16" t="str">
        <f>IF(OR(Table1[[#This Row],[English]]&lt;&gt;"",Table1[[#This Row],[Français]]&lt;&gt;""),Table1[[#This Row],[Français]]&amp;"//"&amp;Table1[[#This Row],[English]],"")</f>
        <v>Numéro d'entreprise légal//Legal Enterprise Identifier</v>
      </c>
      <c r="H41" s="160" t="str">
        <f>IF(C41&lt;&gt;"",IF(D41&lt;&gt;"",C41&amp;"--"&amp;D41,C41),"")</f>
        <v/>
      </c>
    </row>
    <row r="42" spans="1:8" ht="47.25">
      <c r="A42" s="10" t="s">
        <v>42</v>
      </c>
      <c r="B42" s="10" t="s">
        <v>43</v>
      </c>
      <c r="C42" s="10" t="s">
        <v>830</v>
      </c>
      <c r="D42" s="10" t="s">
        <v>831</v>
      </c>
      <c r="E42" s="10" t="s">
        <v>832</v>
      </c>
      <c r="F42" s="22"/>
      <c r="G42" s="23" t="str">
        <f>IF(OR(Table1[[#This Row],[English]]&lt;&gt;"",Table1[[#This Row],[Français]]&lt;&gt;""),Table1[[#This Row],[Français]]&amp;"//"&amp;Table1[[#This Row],[English]],"")</f>
        <v>Signataire(s), société //Signatories, company</v>
      </c>
      <c r="H42" s="13" t="str">
        <f t="shared" si="0"/>
        <v>Fouad Sarrouf, Gérant Statutaire--Page de signatures</v>
      </c>
    </row>
    <row r="43" spans="1:8" ht="42" customHeight="1">
      <c r="A43" s="64" t="s">
        <v>44</v>
      </c>
      <c r="B43" s="64" t="s">
        <v>45</v>
      </c>
      <c r="C43" s="73" t="s">
        <v>833</v>
      </c>
      <c r="D43" s="73" t="s">
        <v>825</v>
      </c>
      <c r="E43" s="73" t="s">
        <v>826</v>
      </c>
      <c r="F43" s="70"/>
      <c r="G43" s="71" t="str">
        <f>IF(OR(Table1[[#This Row],[English]]&lt;&gt;"",Table1[[#This Row],[Français]]&lt;&gt;""),Table1[[#This Row],[Français]]&amp;"//"&amp;Table1[[#This Row],[English]],"")</f>
        <v>Agence de l'Etat, société nationale, ministère signataire du contrat//State agency, national company, ministry executing the document</v>
      </c>
      <c r="H43" s="67" t="str">
        <f t="shared" si="0"/>
        <v>Le Ministre de l'Environnement, Conservation de la Nature et Tourisme--Préambule</v>
      </c>
    </row>
    <row r="44" spans="1:8" ht="94.5">
      <c r="A44" s="10" t="s">
        <v>46</v>
      </c>
      <c r="B44" s="10" t="s">
        <v>47</v>
      </c>
      <c r="C44" s="10" t="s">
        <v>834</v>
      </c>
      <c r="D44" s="10" t="s">
        <v>831</v>
      </c>
      <c r="E44" s="10" t="s">
        <v>832</v>
      </c>
      <c r="F44" s="22"/>
      <c r="G44" s="23" t="str">
        <f>IF(OR(Table1[[#This Row],[English]]&lt;&gt;"",Table1[[#This Row],[Français]]&lt;&gt;""),Table1[[#This Row],[Français]]&amp;"//"&amp;Table1[[#This Row],[English]],"")</f>
        <v>Signataire(s), Etat//Signatories, State</v>
      </c>
      <c r="H44" s="13" t="str">
        <f t="shared" si="0"/>
        <v>José E.B. Endundo, Ministre de l'Environnement, Conservation de la Nature et Tourisme--Page de signatures</v>
      </c>
    </row>
    <row r="45" spans="1:8" ht="47.1" customHeight="1">
      <c r="A45" s="64" t="s">
        <v>48</v>
      </c>
      <c r="B45" s="64" t="s">
        <v>49</v>
      </c>
      <c r="C45" s="174"/>
      <c r="D45" s="148"/>
      <c r="E45" s="148"/>
      <c r="F45" s="70"/>
      <c r="G45" s="71" t="str">
        <f>IF(OR(Table1[[#This Row],[English]]&lt;&gt;"",Table1[[#This Row],[Français]]&lt;&gt;""),Table1[[#This Row],[Français]]&amp;"//"&amp;Table1[[#This Row],[English]],"")</f>
        <v>Nom et/ou composition de la société du projet crée ou envisagée//Name and/or composition of the company created or anticipated</v>
      </c>
      <c r="H45" s="67" t="str">
        <f t="shared" si="0"/>
        <v/>
      </c>
    </row>
    <row r="46" spans="1:8" ht="47.25">
      <c r="A46" s="10" t="s">
        <v>178</v>
      </c>
      <c r="B46" s="59" t="s">
        <v>169</v>
      </c>
      <c r="C46" s="181"/>
      <c r="D46" s="182"/>
      <c r="E46" s="182"/>
      <c r="F46" s="56"/>
      <c r="G46" s="57" t="str">
        <f>IF(OR(Table1[[#This Row],[English]]&lt;&gt;"",Table1[[#This Row],[Français]]&lt;&gt;""),Table1[[#This Row],[Français]]&amp;"//"&amp;Table1[[#This Row],[English]],"")</f>
        <v>Nom de la partie tiers (si applicable)//Name of third party to contract (where applicable)</v>
      </c>
      <c r="H46" s="58" t="str">
        <f>IF(C46&lt;&gt;"",IF(D46&lt;&gt;"",C46&amp;"--"&amp;D46,C46),"")</f>
        <v/>
      </c>
    </row>
    <row r="47" spans="1:8" ht="31.5">
      <c r="A47" s="64" t="s">
        <v>50</v>
      </c>
      <c r="B47" s="64" t="s">
        <v>51</v>
      </c>
      <c r="C47" s="171">
        <v>40885</v>
      </c>
      <c r="D47" s="171" t="s">
        <v>831</v>
      </c>
      <c r="E47" s="171" t="s">
        <v>832</v>
      </c>
      <c r="F47" s="70"/>
      <c r="G47" s="71" t="str">
        <f>IF(OR(Table1[[#This Row],[English]]&lt;&gt;"",Table1[[#This Row],[Français]]&lt;&gt;""),Table1[[#This Row],[Français]]&amp;"//"&amp;Table1[[#This Row],[English]],"")</f>
        <v>Date de signature du contrat//Date of contract signature</v>
      </c>
      <c r="H47" s="67" t="str">
        <f t="shared" si="0"/>
        <v>40885--Page de signatures</v>
      </c>
    </row>
    <row r="48" spans="1:8" ht="31.5">
      <c r="A48" s="68" t="s">
        <v>52</v>
      </c>
      <c r="B48" s="64" t="s">
        <v>53</v>
      </c>
      <c r="C48" s="151">
        <f>IF(C47&lt;&gt;"",YEAR(C47),"")</f>
        <v>2011</v>
      </c>
      <c r="D48" s="73" t="s">
        <v>831</v>
      </c>
      <c r="E48" s="73" t="s">
        <v>832</v>
      </c>
      <c r="F48" s="70"/>
      <c r="G48" s="71" t="str">
        <f>IF(OR(Table1[[#This Row],[English]]&lt;&gt;"",Table1[[#This Row],[Français]]&lt;&gt;""),Table1[[#This Row],[Français]]&amp;"//"&amp;Table1[[#This Row],[English]],"")</f>
        <v>Année de signature du contrat//Year of contract signature</v>
      </c>
      <c r="H48" s="67" t="str">
        <f t="shared" si="0"/>
        <v>2011--Page de signatures</v>
      </c>
    </row>
    <row r="49" spans="1:8" ht="78.95" customHeight="1">
      <c r="A49" s="64" t="s">
        <v>54</v>
      </c>
      <c r="B49" s="64" t="s">
        <v>55</v>
      </c>
      <c r="C49" s="73" t="s">
        <v>835</v>
      </c>
      <c r="D49" s="73" t="s">
        <v>836</v>
      </c>
      <c r="E49" s="73" t="s">
        <v>837</v>
      </c>
      <c r="F49" s="70"/>
      <c r="G49" s="71" t="str">
        <f>IF(OR(Table1[[#This Row],[English]]&lt;&gt;"",Table1[[#This Row],[Français]]&lt;&gt;""),Table1[[#This Row],[Français]]&amp;"//"&amp;Table1[[#This Row],[English]],"")</f>
        <v>Durée//Term</v>
      </c>
      <c r="H49" s="67" t="str">
        <f t="shared" si="0"/>
        <v>25 ans renouvelables. Le contrat prend fin le 11/08/2036.--Arts. 3, 27</v>
      </c>
    </row>
    <row r="50" spans="1:8" ht="227.1" customHeight="1">
      <c r="A50" s="10" t="s">
        <v>56</v>
      </c>
      <c r="B50" s="10" t="s">
        <v>57</v>
      </c>
      <c r="C50" s="207" t="s">
        <v>874</v>
      </c>
      <c r="D50" s="10" t="s">
        <v>838</v>
      </c>
      <c r="E50" s="10" t="s">
        <v>839</v>
      </c>
      <c r="F50" s="22"/>
      <c r="G50" s="23" t="str">
        <f>IF(OR(Table1[[#This Row],[English]]&lt;&gt;"",Table1[[#This Row],[Français]]&lt;&gt;""),Table1[[#This Row],[Français]]&amp;"//"&amp;Table1[[#This Row],[English]],"")</f>
        <v xml:space="preserve">Conditions de renouvellement//Conditions for renewal </v>
      </c>
      <c r="H50" s="13" t="str">
        <f t="shared" si="0"/>
        <v>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 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constatés.--Arts. 8, 27</v>
      </c>
    </row>
    <row r="51" spans="1:8" ht="42" customHeight="1">
      <c r="A51" s="68" t="s">
        <v>229</v>
      </c>
      <c r="B51" s="69" t="s">
        <v>177</v>
      </c>
      <c r="C51" s="69" t="s">
        <v>817</v>
      </c>
      <c r="D51" s="69" t="s">
        <v>840</v>
      </c>
      <c r="E51" s="69" t="s">
        <v>841</v>
      </c>
      <c r="F51" s="70"/>
      <c r="G51" s="71"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7" t="str">
        <f t="shared" si="0"/>
        <v>Bois d'œuvre--Art. 5</v>
      </c>
    </row>
    <row r="52" spans="1:8" ht="42" customHeight="1">
      <c r="A52" s="116" t="s">
        <v>218</v>
      </c>
      <c r="B52" s="116" t="s">
        <v>217</v>
      </c>
      <c r="C52" s="152" t="s">
        <v>865</v>
      </c>
      <c r="D52" s="206" t="s">
        <v>828</v>
      </c>
      <c r="E52" s="206" t="s">
        <v>829</v>
      </c>
      <c r="F52" s="116"/>
      <c r="G52" s="123" t="str">
        <f>IF(OR(Table1[[#This Row],[English]]&lt;&gt;"",Table1[[#This Row],[Français]]&lt;&gt;""),Table1[[#This Row],[Français]]&amp;"//"&amp;Table1[[#This Row],[English]],"")</f>
        <v>Superficie de la concession//Size of the concession area</v>
      </c>
      <c r="H52" s="124" t="str">
        <f>IF(C52&lt;&gt;"",IF(D52&lt;&gt;"",C52&amp;"--"&amp;D52,C52),"")</f>
        <v>256.545 hectares--Art. 2</v>
      </c>
    </row>
    <row r="53" spans="1:8">
      <c r="A53" s="14"/>
      <c r="B53" s="14"/>
      <c r="C53" s="177"/>
      <c r="D53" s="178"/>
      <c r="E53" s="178"/>
      <c r="F53" s="15"/>
      <c r="G53" s="16" t="str">
        <f>IF(OR(Table1[[#This Row],[English]]&lt;&gt;"",Table1[[#This Row],[Français]]&lt;&gt;""),Table1[[#This Row],[Français]]&amp;"//"&amp;Table1[[#This Row],[English]],"")</f>
        <v/>
      </c>
      <c r="H53" s="17" t="str">
        <f t="shared" si="0"/>
        <v/>
      </c>
    </row>
    <row r="54" spans="1:8" ht="49.5" customHeight="1">
      <c r="A54" s="60" t="s">
        <v>58</v>
      </c>
      <c r="B54" s="61" t="s">
        <v>192</v>
      </c>
      <c r="C54" s="179"/>
      <c r="D54" s="180"/>
      <c r="E54" s="180"/>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49.1" customHeight="1">
      <c r="A55" s="72" t="s">
        <v>59</v>
      </c>
      <c r="B55" s="64" t="s">
        <v>60</v>
      </c>
      <c r="C55" s="68" t="s">
        <v>884</v>
      </c>
      <c r="D55" s="64" t="s">
        <v>842</v>
      </c>
      <c r="E55" s="64" t="s">
        <v>866</v>
      </c>
      <c r="F55" s="65"/>
      <c r="G55" s="66" t="str">
        <f>IF(OR(Table1[[#This Row],[English]]&lt;&gt;"",Table1[[#This Row],[Français]]&lt;&gt;""),Table1[[#This Row],[Français]]&amp;"//"&amp;Table1[[#This Row],[English]],"")</f>
        <v>Convention de développement local//Local development agreement</v>
      </c>
      <c r="H55" s="67" t="str">
        <f t="shared" si="0"/>
        <v>Industrie de Transformation de Bois doit réaliser les infrastructures socio-économiques et des services sociaux au profit des communautés locales et/ou peuples autochtones riverains contenues: (1) dans le plan de relance dans le cadre d'une conversion; ou (2) dans la proposition technique dans les cas d'une adjudication et définies dans le cahier des charges. Industrie de Transformation de Bois s'engage à mettre en œuvre un plan socio-économique, y compris les infrastructures socio-économiques et services sociaux, pour la période du plan d'aménagement.--Arts. 9(4), 17</v>
      </c>
    </row>
    <row r="56" spans="1:8" ht="111" customHeight="1">
      <c r="A56" s="10" t="s">
        <v>230</v>
      </c>
      <c r="B56" s="10" t="s">
        <v>61</v>
      </c>
      <c r="C56" s="10" t="s">
        <v>843</v>
      </c>
      <c r="D56" s="10" t="s">
        <v>844</v>
      </c>
      <c r="E56" s="10" t="s">
        <v>841</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Industrie de Transformation de 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reconnus.--Art. 6</v>
      </c>
    </row>
    <row r="57" spans="1:8" ht="300" customHeight="1">
      <c r="A57" s="68" t="s">
        <v>235</v>
      </c>
      <c r="B57" s="64" t="s">
        <v>62</v>
      </c>
      <c r="C57" s="73" t="s">
        <v>880</v>
      </c>
      <c r="D57" s="73" t="s">
        <v>881</v>
      </c>
      <c r="E57" s="73" t="s">
        <v>871</v>
      </c>
      <c r="F57" s="70"/>
      <c r="G57" s="71" t="str">
        <f>IF(OR(Table1[[#This Row],[English]]&lt;&gt;"",Table1[[#This Row],[Français]]&lt;&gt;""),Table1[[#This Row],[Français]]&amp;"//"&amp;Table1[[#This Row],[English]],"")</f>
        <v xml:space="preserve">Consultations communautaires requises//Requirements for community consultation </v>
      </c>
      <c r="H57" s="67" t="str">
        <f t="shared" si="0"/>
        <v>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Industrie de Transformation de Bois doit consulter les communautés locales et/ou peuples autochtones riverains sur le plan socio-économique et les infrastructures qui feront l'objet du cahier des charges définitif qui sera annexé au plan d'aménagement.--Arts. 7, 10, 10(3), 17</v>
      </c>
    </row>
    <row r="58" spans="1:8" ht="24" customHeight="1">
      <c r="A58" s="10" t="s">
        <v>236</v>
      </c>
      <c r="B58" s="10" t="s">
        <v>63</v>
      </c>
      <c r="C58" s="176"/>
      <c r="D58" s="175"/>
      <c r="E58" s="175"/>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68" t="s">
        <v>231</v>
      </c>
      <c r="B59" s="64" t="s">
        <v>64</v>
      </c>
      <c r="C59" s="174"/>
      <c r="D59" s="148"/>
      <c r="E59" s="148"/>
      <c r="F59" s="70"/>
      <c r="G59" s="71" t="str">
        <f>IF(OR(Table1[[#This Row],[English]]&lt;&gt;"",Table1[[#This Row],[Français]]&lt;&gt;""),Table1[[#This Row],[Français]]&amp;"//"&amp;Table1[[#This Row],[English]],"")</f>
        <v>Obligations liées à l'emploi du personnel local//Local employment requirements</v>
      </c>
      <c r="H59" s="67" t="str">
        <f t="shared" si="0"/>
        <v/>
      </c>
    </row>
    <row r="60" spans="1:8" ht="164.1" customHeight="1">
      <c r="A60" s="68" t="s">
        <v>233</v>
      </c>
      <c r="B60" s="64" t="s">
        <v>65</v>
      </c>
      <c r="C60" s="174"/>
      <c r="D60" s="148"/>
      <c r="E60" s="148"/>
      <c r="F60" s="70"/>
      <c r="G60" s="71" t="str">
        <f>IF(OR(Table1[[#This Row],[English]]&lt;&gt;"",Table1[[#This Row],[Français]]&lt;&gt;""),Table1[[#This Row],[Français]]&amp;"//"&amp;Table1[[#This Row],[English]],"")</f>
        <v>Obligations liées a l'approvisionnement en biens et services locaux//Local procurement requirements</v>
      </c>
      <c r="H60" s="67" t="str">
        <f t="shared" si="0"/>
        <v/>
      </c>
    </row>
    <row r="61" spans="1:8">
      <c r="A61" s="10" t="s">
        <v>66</v>
      </c>
      <c r="B61" s="10" t="s">
        <v>67</v>
      </c>
      <c r="C61" s="176"/>
      <c r="D61" s="175"/>
      <c r="E61" s="175"/>
      <c r="F61" s="22"/>
      <c r="G61" s="23" t="str">
        <f>IF(OR(Table1[[#This Row],[English]]&lt;&gt;"",Table1[[#This Row],[Français]]&lt;&gt;""),Table1[[#This Row],[Français]]&amp;"//"&amp;Table1[[#This Row],[English]],"")</f>
        <v>Assurance//Insurance</v>
      </c>
      <c r="H61" s="13" t="str">
        <f t="shared" si="0"/>
        <v/>
      </c>
    </row>
    <row r="62" spans="1:8" ht="20.25" customHeight="1">
      <c r="A62" s="73" t="s">
        <v>207</v>
      </c>
      <c r="B62" s="73" t="s">
        <v>208</v>
      </c>
      <c r="C62" s="174"/>
      <c r="D62" s="148"/>
      <c r="E62" s="148"/>
      <c r="F62" s="74"/>
      <c r="G62" s="75" t="str">
        <f>IF(OR(Table1[[#This Row],[English]]&lt;&gt;"",Table1[[#This Row],[Français]]&lt;&gt;""),Table1[[#This Row],[Français]]&amp;"//"&amp;Table1[[#This Row],[English]],"")</f>
        <v>Réinstallation des habitants//Resettlement</v>
      </c>
      <c r="H62" s="76" t="str">
        <f t="shared" si="0"/>
        <v/>
      </c>
    </row>
    <row r="63" spans="1:8" ht="34.5" customHeight="1">
      <c r="A63" s="129" t="s">
        <v>232</v>
      </c>
      <c r="B63" s="129" t="s">
        <v>223</v>
      </c>
      <c r="C63" s="185"/>
      <c r="D63" s="186"/>
      <c r="E63" s="186"/>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63.95" customHeight="1">
      <c r="A64" s="121" t="s">
        <v>185</v>
      </c>
      <c r="B64" s="10" t="s">
        <v>184</v>
      </c>
      <c r="C64" s="176"/>
      <c r="D64" s="175"/>
      <c r="E64" s="175"/>
      <c r="F64" s="22"/>
      <c r="G64" s="107"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1" customHeight="1">
      <c r="A65" s="80" t="s">
        <v>187</v>
      </c>
      <c r="B65" s="79" t="s">
        <v>186</v>
      </c>
      <c r="C65" s="187"/>
      <c r="D65" s="148"/>
      <c r="E65" s="148"/>
      <c r="F65" s="74"/>
      <c r="G65" s="77" t="str">
        <f>IF(OR(Table1[[#This Row],[English]]&lt;&gt;"",Table1[[#This Row],[Français]]&lt;&gt;""),Table1[[#This Row],[Français]]&amp;"//"&amp;Table1[[#This Row],[English]],"")</f>
        <v>La sécurité physique, la protection de la propriété, et / ou l'utilisation des gardes//Physical security, protection of property, and/or use of guards</v>
      </c>
      <c r="H65" s="78" t="str">
        <f t="shared" si="1"/>
        <v/>
      </c>
    </row>
    <row r="66" spans="1:8" ht="33.950000000000003" customHeight="1">
      <c r="A66" s="141" t="s">
        <v>189</v>
      </c>
      <c r="B66" s="142" t="s">
        <v>190</v>
      </c>
      <c r="C66" s="188"/>
      <c r="D66" s="149"/>
      <c r="E66" s="189"/>
      <c r="F66" s="143"/>
      <c r="G66" s="144" t="str">
        <f>IF(OR(Table1[[#This Row],[English]]&lt;&gt;"",Table1[[#This Row],[Français]]&lt;&gt;""),Table1[[#This Row],[Français]]&amp;"//"&amp;Table1[[#This Row],[English]],"")</f>
        <v>Mécanismes de réclamation pour les parties non contractantes//Grievance mechanisms for non-contractual harms to non-contracting parties</v>
      </c>
      <c r="H66" s="145" t="str">
        <f t="shared" si="1"/>
        <v/>
      </c>
    </row>
    <row r="67" spans="1:8" ht="61.5" customHeight="1">
      <c r="A67" s="120" t="s">
        <v>216</v>
      </c>
      <c r="B67" s="116" t="s">
        <v>215</v>
      </c>
      <c r="C67" s="184"/>
      <c r="D67" s="175"/>
      <c r="E67" s="175"/>
      <c r="F67" s="122"/>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
      </c>
    </row>
    <row r="68" spans="1:8" ht="31.5">
      <c r="A68" s="80" t="s">
        <v>176</v>
      </c>
      <c r="B68" s="79" t="s">
        <v>174</v>
      </c>
      <c r="C68" s="174"/>
      <c r="D68" s="148"/>
      <c r="E68" s="148"/>
      <c r="F68" s="70"/>
      <c r="G68" s="71" t="str">
        <f>IF(OR(Table1[[#This Row],[English]]&lt;&gt;"",Table1[[#This Row],[Français]]&lt;&gt;""),Table1[[#This Row],[Français]]&amp;"//"&amp;Table1[[#This Row],[English]],"")</f>
        <v>Autre - [le nom de catégorie]//Other - [Name of Category]</v>
      </c>
      <c r="H68" s="67" t="str">
        <f t="shared" si="0"/>
        <v/>
      </c>
    </row>
    <row r="69" spans="1:8">
      <c r="A69" s="24"/>
      <c r="B69" s="24"/>
      <c r="C69" s="176"/>
      <c r="D69" s="175"/>
      <c r="E69" s="175"/>
      <c r="F69" s="15"/>
      <c r="G69" s="16" t="str">
        <f>IF(OR(Table1[[#This Row],[English]]&lt;&gt;"",Table1[[#This Row],[Français]]&lt;&gt;""),Table1[[#This Row],[Français]]&amp;"//"&amp;Table1[[#This Row],[English]],"")</f>
        <v/>
      </c>
      <c r="H69" s="25" t="str">
        <f t="shared" si="0"/>
        <v/>
      </c>
    </row>
    <row r="70" spans="1:8" ht="29.1" customHeight="1">
      <c r="A70" s="60" t="s">
        <v>68</v>
      </c>
      <c r="B70" s="26" t="s">
        <v>69</v>
      </c>
      <c r="C70" s="179"/>
      <c r="D70" s="180"/>
      <c r="E70" s="180"/>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69.95" customHeight="1">
      <c r="A71" s="81" t="s">
        <v>70</v>
      </c>
      <c r="B71" s="82" t="s">
        <v>71</v>
      </c>
      <c r="C71" s="190"/>
      <c r="D71" s="190"/>
      <c r="E71" s="190"/>
      <c r="F71" s="83"/>
      <c r="G71" s="84" t="str">
        <f>IF(OR(Table1[[#This Row],[English]]&lt;&gt;"",Table1[[#This Row],[Français]]&lt;&gt;""),Table1[[#This Row],[Français]]&amp;"//"&amp;Table1[[#This Row],[English]],"")</f>
        <v>Taxe minière / redevance//Mining tax / royalty tax</v>
      </c>
      <c r="H71" s="85" t="str">
        <f t="shared" si="0"/>
        <v/>
      </c>
    </row>
    <row r="72" spans="1:8" ht="131.1" customHeight="1">
      <c r="A72" s="81" t="s">
        <v>72</v>
      </c>
      <c r="B72" s="82" t="s">
        <v>73</v>
      </c>
      <c r="C72" s="191"/>
      <c r="D72" s="190"/>
      <c r="E72" s="190"/>
      <c r="F72" s="83"/>
      <c r="G72" s="84" t="str">
        <f>IF(OR(Table1[[#This Row],[English]]&lt;&gt;"",Table1[[#This Row],[Français]]&lt;&gt;""),Table1[[#This Row],[Français]]&amp;"//"&amp;Table1[[#This Row],[English]],"")</f>
        <v>Impôt sur les bénéfices: taux//Income tax: rate</v>
      </c>
      <c r="H72" s="85" t="str">
        <f t="shared" si="0"/>
        <v/>
      </c>
    </row>
    <row r="73" spans="1:8">
      <c r="A73" s="82" t="s">
        <v>224</v>
      </c>
      <c r="B73" s="82" t="s">
        <v>74</v>
      </c>
      <c r="C73" s="191"/>
      <c r="D73" s="190"/>
      <c r="E73" s="190"/>
      <c r="F73" s="83"/>
      <c r="G73" s="84" t="str">
        <f>IF(OR(Table1[[#This Row],[English]]&lt;&gt;"",Table1[[#This Row],[Français]]&lt;&gt;""),Table1[[#This Row],[Français]]&amp;"//"&amp;Table1[[#This Row],[English]],"")</f>
        <v>Impôt sur les bénéfices: exonération//Income tax: exemptions</v>
      </c>
      <c r="H73" s="85" t="str">
        <f t="shared" si="0"/>
        <v/>
      </c>
    </row>
    <row r="74" spans="1:8" ht="47.25">
      <c r="A74" s="82" t="s">
        <v>225</v>
      </c>
      <c r="B74" s="82" t="s">
        <v>75</v>
      </c>
      <c r="C74" s="191"/>
      <c r="D74" s="190"/>
      <c r="E74" s="190"/>
      <c r="F74" s="83"/>
      <c r="G74" s="84"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5" t="str">
        <f t="shared" si="0"/>
        <v/>
      </c>
    </row>
    <row r="75" spans="1:8" ht="180" customHeight="1">
      <c r="A75" s="103" t="s">
        <v>199</v>
      </c>
      <c r="B75" s="103" t="s">
        <v>76</v>
      </c>
      <c r="C75" s="192"/>
      <c r="D75" s="193"/>
      <c r="E75" s="193"/>
      <c r="F75" s="104"/>
      <c r="G75" s="105"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6" t="str">
        <f>IF(C75&lt;&gt;"",IF(D75&lt;&gt;"",C75&amp;"--"&amp;D75,C75),"")</f>
        <v/>
      </c>
    </row>
    <row r="76" spans="1:8" ht="323.10000000000002" customHeight="1">
      <c r="A76" s="103" t="s">
        <v>200</v>
      </c>
      <c r="B76" s="103" t="s">
        <v>77</v>
      </c>
      <c r="C76" s="192"/>
      <c r="D76" s="193"/>
      <c r="E76" s="193"/>
      <c r="F76" s="104"/>
      <c r="G76" s="105"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6" t="str">
        <f>IF(C76&lt;&gt;"",IF(D76&lt;&gt;"",C76&amp;"--"&amp;D76,C76),"")</f>
        <v/>
      </c>
    </row>
    <row r="77" spans="1:8" ht="31.5">
      <c r="A77" s="103" t="s">
        <v>234</v>
      </c>
      <c r="B77" s="103" t="s">
        <v>78</v>
      </c>
      <c r="C77" s="192"/>
      <c r="D77" s="193"/>
      <c r="E77" s="193"/>
      <c r="F77" s="104"/>
      <c r="G77" s="105" t="str">
        <f>IF(OR(Table1[[#This Row],[English]]&lt;&gt;"",Table1[[#This Row],[Français]]&lt;&gt;""),Table1[[#This Row],[Français]]&amp;"//"&amp;Table1[[#This Row],[English]],"")</f>
        <v>Contrat de Service - Frais du détenteur du titre défrayés  (base de calcul)//Service Agreement - Fee to developer / contractor (basis for calculation)</v>
      </c>
      <c r="H77" s="106" t="str">
        <f>IF(C77&lt;&gt;"",IF(D77&lt;&gt;"",C77&amp;"--"&amp;D77,C77),"")</f>
        <v/>
      </c>
    </row>
    <row r="78" spans="1:8" ht="26.1" customHeight="1">
      <c r="A78" s="86" t="s">
        <v>237</v>
      </c>
      <c r="B78" s="86" t="s">
        <v>79</v>
      </c>
      <c r="C78" s="187"/>
      <c r="D78" s="190"/>
      <c r="E78" s="190"/>
      <c r="F78" s="87"/>
      <c r="G78" s="88" t="str">
        <f>IF(OR(Table1[[#This Row],[English]]&lt;&gt;"",Table1[[#This Row],[Français]]&lt;&gt;""),Table1[[#This Row],[Français]]&amp;"//"&amp;Table1[[#This Row],[English]],"")</f>
        <v>Impôt sur les Revenus des Valeurs Mobilières (IRVM)//Capital gains tax</v>
      </c>
      <c r="H78" s="89" t="str">
        <f t="shared" si="0"/>
        <v/>
      </c>
    </row>
    <row r="79" spans="1:8" ht="26.1" customHeight="1">
      <c r="A79" s="125" t="s">
        <v>202</v>
      </c>
      <c r="B79" s="125" t="s">
        <v>209</v>
      </c>
      <c r="C79" s="184"/>
      <c r="D79" s="194"/>
      <c r="E79" s="194"/>
      <c r="F79" s="126"/>
      <c r="G79" s="127" t="str">
        <f>IF(OR(Table1[[#This Row],[English]]&lt;&gt;"",Table1[[#This Row],[Français]]&lt;&gt;""),Table1[[#This Row],[Français]]&amp;"//"&amp;Table1[[#This Row],[English]],"")</f>
        <v>Retenue à la source sur les intérêts et/ou dividendes//Withholding tax on payment of interest and/or dividends</v>
      </c>
      <c r="H79" s="128" t="str">
        <f>IF(C79&lt;&gt;"",IF(D79&lt;&gt;"",C79&amp;"--"&amp;D79,C79),"")</f>
        <v/>
      </c>
    </row>
    <row r="80" spans="1:8">
      <c r="A80" s="27" t="s">
        <v>80</v>
      </c>
      <c r="B80" s="27" t="s">
        <v>81</v>
      </c>
      <c r="C80" s="176"/>
      <c r="D80" s="175"/>
      <c r="E80" s="175"/>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5"/>
      <c r="D81" s="175"/>
      <c r="E81" s="175"/>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1.5">
      <c r="A82" s="27" t="s">
        <v>84</v>
      </c>
      <c r="B82" s="27" t="s">
        <v>85</v>
      </c>
      <c r="C82" s="195"/>
      <c r="D82" s="194"/>
      <c r="E82" s="194"/>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5" t="s">
        <v>86</v>
      </c>
      <c r="B83" s="27" t="s">
        <v>87</v>
      </c>
      <c r="C83" s="195"/>
      <c r="D83" s="194"/>
      <c r="E83" s="194"/>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96"/>
      <c r="D84" s="194"/>
      <c r="E84" s="194"/>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96"/>
      <c r="D85" s="194"/>
      <c r="E85" s="194"/>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96"/>
      <c r="D86" s="194"/>
      <c r="E86" s="194"/>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96"/>
      <c r="D87" s="194"/>
      <c r="E87" s="194"/>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96"/>
      <c r="D88" s="194"/>
      <c r="E88" s="194"/>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96"/>
      <c r="D89" s="194"/>
      <c r="E89" s="194"/>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96"/>
      <c r="D90" s="194"/>
      <c r="E90" s="194"/>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101</v>
      </c>
      <c r="B91" s="27" t="s">
        <v>102</v>
      </c>
      <c r="C91" s="196"/>
      <c r="D91" s="194"/>
      <c r="E91" s="194"/>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96"/>
      <c r="D92" s="194"/>
      <c r="E92" s="194"/>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96"/>
      <c r="D93" s="194"/>
      <c r="E93" s="194"/>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96"/>
      <c r="D94" s="194"/>
      <c r="E94" s="194"/>
      <c r="F94" s="29"/>
      <c r="G94" s="30" t="str">
        <f>IF(OR(Table1[[#This Row],[English]]&lt;&gt;"",Table1[[#This Row],[Français]]&lt;&gt;""),Table1[[#This Row],[Français]]&amp;"//"&amp;Table1[[#This Row],[English]],"")</f>
        <v>TVA//VAT</v>
      </c>
      <c r="H94" s="31" t="str">
        <f t="shared" si="0"/>
        <v/>
      </c>
    </row>
    <row r="95" spans="1:8" ht="50.1" customHeight="1">
      <c r="A95" s="27" t="s">
        <v>109</v>
      </c>
      <c r="B95" s="27" t="s">
        <v>110</v>
      </c>
      <c r="C95" s="196"/>
      <c r="D95" s="194"/>
      <c r="E95" s="194"/>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96"/>
      <c r="D96" s="194"/>
      <c r="E96" s="194"/>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14.95" customHeight="1">
      <c r="A97" s="125" t="s">
        <v>113</v>
      </c>
      <c r="B97" s="125" t="s">
        <v>114</v>
      </c>
      <c r="C97" s="27" t="s">
        <v>882</v>
      </c>
      <c r="D97" s="27" t="s">
        <v>883</v>
      </c>
      <c r="E97" s="27" t="s">
        <v>872</v>
      </c>
      <c r="F97" s="126"/>
      <c r="G97" s="127" t="str">
        <f>IF(OR(Table1[[#This Row],[English]]&lt;&gt;"",Table1[[#This Row],[Français]]&lt;&gt;""),Table1[[#This Row],[Français]]&amp;"//"&amp;Table1[[#This Row],[English]],"")</f>
        <v>Redevances superficiaires//Surface fees</v>
      </c>
      <c r="H97" s="128" t="str">
        <f t="shared" si="2"/>
        <v>Industrie de Transformation de Bois doit payer la redevance de superficie forestière et toutes autres taxes et redevances en vigueur liées a l'exploitation de la concession, dans les délais prescrits par la réglementation fiscale.--Arts. 9(6), 19bis</v>
      </c>
    </row>
    <row r="98" spans="1:8">
      <c r="A98" s="27" t="s">
        <v>115</v>
      </c>
      <c r="B98" s="27" t="s">
        <v>116</v>
      </c>
      <c r="C98" s="196"/>
      <c r="D98" s="194"/>
      <c r="E98" s="194"/>
      <c r="F98" s="29"/>
      <c r="G98" s="30" t="str">
        <f>IF(OR(Table1[[#This Row],[English]]&lt;&gt;"",Table1[[#This Row],[Français]]&lt;&gt;""),Table1[[#This Row],[Français]]&amp;"//"&amp;Table1[[#This Row],[English]],"")</f>
        <v>Obligations communautaires ou sous-nationales//Community and regional obligations</v>
      </c>
      <c r="H98" s="31" t="str">
        <f t="shared" si="2"/>
        <v/>
      </c>
    </row>
    <row r="99" spans="1:8" ht="29.1" customHeight="1">
      <c r="A99" s="27" t="s">
        <v>198</v>
      </c>
      <c r="B99" s="27" t="s">
        <v>170</v>
      </c>
      <c r="C99" s="184"/>
      <c r="D99" s="175"/>
      <c r="E99" s="194"/>
      <c r="F99" s="29"/>
      <c r="G99" s="52" t="str">
        <f>IF(OR(Table1[[#This Row],[English]]&lt;&gt;"",Table1[[#This Row],[Français]]&lt;&gt;""),Table1[[#This Row],[Français]]&amp;"//"&amp;Table1[[#This Row],[English]],"")</f>
        <v>Crédits de carbone//Carbon credits</v>
      </c>
      <c r="H99" s="53" t="str">
        <f>IF(C99&lt;&gt;"",IF(D99&lt;&gt;"",C99&amp;"--"&amp;D99,C99),"")</f>
        <v/>
      </c>
    </row>
    <row r="100" spans="1:8">
      <c r="A100" s="82" t="s">
        <v>117</v>
      </c>
      <c r="B100" s="86" t="s">
        <v>118</v>
      </c>
      <c r="C100" s="191"/>
      <c r="D100" s="190"/>
      <c r="E100" s="190"/>
      <c r="F100" s="83"/>
      <c r="G100" s="84" t="str">
        <f>IF(OR(Table1[[#This Row],[English]]&lt;&gt;"",Table1[[#This Row],[Français]]&lt;&gt;""),Table1[[#This Row],[Français]]&amp;"//"&amp;Table1[[#This Row],[English]],"")</f>
        <v>Primes//Bonuses</v>
      </c>
      <c r="H100" s="85" t="str">
        <f t="shared" si="2"/>
        <v/>
      </c>
    </row>
    <row r="101" spans="1:8" ht="74.099999999999994" customHeight="1">
      <c r="A101" s="82" t="s">
        <v>119</v>
      </c>
      <c r="B101" s="86" t="s">
        <v>120</v>
      </c>
      <c r="C101" s="191"/>
      <c r="D101" s="190"/>
      <c r="E101" s="190"/>
      <c r="F101" s="83"/>
      <c r="G101" s="84" t="str">
        <f>IF(OR(Table1[[#This Row],[English]]&lt;&gt;"",Table1[[#This Row],[Français]]&lt;&gt;""),Table1[[#This Row],[Français]]&amp;"//"&amp;Table1[[#This Row],[English]],"")</f>
        <v>Participation de l'Etat//State participation</v>
      </c>
      <c r="H101" s="85" t="str">
        <f t="shared" si="2"/>
        <v/>
      </c>
    </row>
    <row r="102" spans="1:8" ht="110.1" customHeight="1">
      <c r="A102" s="82" t="s">
        <v>121</v>
      </c>
      <c r="B102" s="82" t="s">
        <v>122</v>
      </c>
      <c r="C102" s="82" t="s">
        <v>875</v>
      </c>
      <c r="D102" s="82" t="s">
        <v>845</v>
      </c>
      <c r="E102" s="82" t="s">
        <v>846</v>
      </c>
      <c r="F102" s="83"/>
      <c r="G102" s="84" t="str">
        <f>IF(OR(Table1[[#This Row],[English]]&lt;&gt;"",Table1[[#This Row],[Français]]&lt;&gt;""),Table1[[#This Row],[Français]]&amp;"//"&amp;Table1[[#This Row],[English]],"")</f>
        <v>Exonérations non-précisées ailleurs//Other exemptions</v>
      </c>
      <c r="H102" s="85" t="str">
        <f t="shared" si="2"/>
        <v>Aucun - Industrie de Transformation de Bois est tenu au paiement régulier et dans les délais légaux des taxes et redevances forestières en vigueur et ne peut bénéficier d'aucune exonération--Art. 19</v>
      </c>
    </row>
    <row r="103" spans="1:8" ht="80.099999999999994" customHeight="1">
      <c r="A103" s="101" t="s">
        <v>196</v>
      </c>
      <c r="B103" s="101" t="s">
        <v>195</v>
      </c>
      <c r="C103" s="157" t="s">
        <v>885</v>
      </c>
      <c r="D103" s="208" t="s">
        <v>876</v>
      </c>
      <c r="E103" s="208" t="s">
        <v>877</v>
      </c>
      <c r="F103" s="83"/>
      <c r="G103" s="84" t="str">
        <f>IF(OR(Table1[[#This Row],[English]]&lt;&gt;"",Table1[[#This Row],[Français]]&lt;&gt;""),Table1[[#This Row],[Français]]&amp;"//"&amp;Table1[[#This Row],[English]],"")</f>
        <v>Modes d'audit à l'égard des obligations financières du détenteur du titre//Audit mechanisms - financial obligations</v>
      </c>
      <c r="H103" s="85" t="str">
        <f t="shared" si="2"/>
        <v>A la fin de la concession, un bilan de clôture des comptes est dressé par Industrie de Transformation de Bois dans un délai maximum de 6 mois à compter de la date d'expiration du présent contrat de concession--Art. 29</v>
      </c>
    </row>
    <row r="104" spans="1:8" ht="45" customHeight="1">
      <c r="A104" s="82" t="s">
        <v>123</v>
      </c>
      <c r="B104" s="82" t="s">
        <v>124</v>
      </c>
      <c r="C104" s="191"/>
      <c r="D104" s="190"/>
      <c r="E104" s="190"/>
      <c r="F104" s="83"/>
      <c r="G104" s="84" t="str">
        <f>IF(OR(Table1[[#This Row],[English]]&lt;&gt;"",Table1[[#This Row],[Français]]&lt;&gt;""),Table1[[#This Row],[Français]]&amp;"//"&amp;Table1[[#This Row],[English]],"")</f>
        <v>Restrictions sur les transactions avec les parties liées//Restrictions on transactions with affiliated parties</v>
      </c>
      <c r="H104" s="85" t="str">
        <f>IF(C104&lt;&gt;"",IF(D104&lt;&gt;"",C104&amp;"--"&amp;D104,C104),"")</f>
        <v/>
      </c>
    </row>
    <row r="105" spans="1:8" ht="72" customHeight="1">
      <c r="A105" s="80" t="s">
        <v>176</v>
      </c>
      <c r="B105" s="79" t="s">
        <v>174</v>
      </c>
      <c r="C105" s="191"/>
      <c r="D105" s="190"/>
      <c r="E105" s="190"/>
      <c r="F105" s="83"/>
      <c r="G105" s="84" t="str">
        <f>IF(OR(Table1[[#This Row],[English]]&lt;&gt;"",Table1[[#This Row],[Français]]&lt;&gt;""),Table1[[#This Row],[Français]]&amp;"//"&amp;Table1[[#This Row],[English]],"")</f>
        <v>Autre - [le nom de catégorie]//Other - [Name of Category]</v>
      </c>
      <c r="H105" s="85" t="str">
        <f t="shared" si="2"/>
        <v/>
      </c>
    </row>
    <row r="106" spans="1:8">
      <c r="A106" s="146"/>
      <c r="B106" s="34"/>
      <c r="C106" s="176"/>
      <c r="D106" s="175"/>
      <c r="E106" s="175"/>
      <c r="F106" s="15"/>
      <c r="G106" s="16" t="str">
        <f>IF(OR(Table1[[#This Row],[English]]&lt;&gt;"",Table1[[#This Row],[Français]]&lt;&gt;""),Table1[[#This Row],[Français]]&amp;"//"&amp;Table1[[#This Row],[English]],"")</f>
        <v/>
      </c>
      <c r="H106" s="35" t="str">
        <f t="shared" si="2"/>
        <v/>
      </c>
    </row>
    <row r="107" spans="1:8" ht="31.5">
      <c r="A107" s="60" t="s">
        <v>191</v>
      </c>
      <c r="B107" s="61" t="s">
        <v>125</v>
      </c>
      <c r="C107" s="179"/>
      <c r="D107" s="180"/>
      <c r="E107" s="180"/>
      <c r="F107" s="18"/>
      <c r="G107" s="19" t="str">
        <f>IF(OR(Table1[[#This Row],[English]]&lt;&gt;"",Table1[[#This Row],[Français]]&lt;&gt;""),Table1[[#This Row],[Français]]&amp;"//"&amp;Table1[[#This Row],[English]],"")</f>
        <v>4. Dispositions environnementales //4. Environmental provisions</v>
      </c>
      <c r="H107" s="20" t="str">
        <f t="shared" si="2"/>
        <v/>
      </c>
    </row>
    <row r="108" spans="1:8" ht="233.1" customHeight="1">
      <c r="A108" s="90" t="s">
        <v>212</v>
      </c>
      <c r="B108" s="90" t="s">
        <v>220</v>
      </c>
      <c r="C108" s="172" t="s">
        <v>886</v>
      </c>
      <c r="D108" s="73" t="s">
        <v>847</v>
      </c>
      <c r="E108" s="73" t="s">
        <v>848</v>
      </c>
      <c r="F108" s="65"/>
      <c r="G108" s="66"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67" t="str">
        <f t="shared" si="2"/>
        <v>Industrie de Transformation de Bois s'engage à préparer et à soumettre pour approbation à l'administration chargée des forêts, dans une période maximum de 4 ans, le plan d'aménagement conformément à la législation et à la réglementation en vigueur. Ce plan doit comprendre l'ensemble des obligations d'Industrie de Transformation de Bois en vue de s'assurer une gestion durable de la forêt concédée. Dans l'intervalle qui sépare la signature du présent contrat et l'approbation du plan, Industrie de Transformation de Bois ne peut exploiter la forêt concédée qu’en conformité avec un plan de gestion. Le plan de gestion doit être approuvé en même temps que le contrat de concession et constitue l'ensemble des engagements de Industrie de Transformation de 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 --Art. 10</v>
      </c>
    </row>
    <row r="109" spans="1:8" ht="31.5">
      <c r="A109" s="121" t="s">
        <v>214</v>
      </c>
      <c r="B109" s="121" t="s">
        <v>213</v>
      </c>
      <c r="C109" s="176"/>
      <c r="D109" s="175"/>
      <c r="E109" s="175"/>
      <c r="F109" s="138"/>
      <c r="G109" s="139"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0" t="str">
        <f t="shared" si="2"/>
        <v/>
      </c>
    </row>
    <row r="110" spans="1:8" ht="47.25">
      <c r="A110" s="91" t="s">
        <v>226</v>
      </c>
      <c r="B110" s="92" t="s">
        <v>180</v>
      </c>
      <c r="C110" s="187"/>
      <c r="D110" s="197"/>
      <c r="E110" s="198"/>
      <c r="F110" s="93"/>
      <c r="G110" s="94"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5" t="str">
        <f>IF(C110&lt;&gt;"",IF(D110&lt;&gt;"",C110&amp;"--"&amp;D110,C110),"")</f>
        <v/>
      </c>
    </row>
    <row r="111" spans="1:8" ht="342.95" customHeight="1">
      <c r="A111" s="115" t="s">
        <v>211</v>
      </c>
      <c r="B111" s="115" t="s">
        <v>210</v>
      </c>
      <c r="C111" s="154" t="s">
        <v>849</v>
      </c>
      <c r="D111" s="154" t="s">
        <v>850</v>
      </c>
      <c r="E111" s="154" t="s">
        <v>867</v>
      </c>
      <c r="F111" s="117"/>
      <c r="G111" s="118"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9" t="str">
        <f>IF(C111&lt;&gt;"",IF(D111&lt;&gt;"",C111&amp;"--"&amp;D111,C111),"")</f>
        <v>Industrie de Transformation de 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Industrie de Transformation de Bois est tenu de respecter la législation en vigueur en matière de protection de l'environnement et de conservation de la diversité biologique. Industrie de Transformation de Bois contribue, en particulier, sur toute l'étendue de sa concession, à la lutte contre les feux de brousse, le braconnage et l'exploitation illégale du bois. Industrie de Transformation de Bois définit et met en œuvre des mesurés appropriées de contrôle pour minimiser, réduire ou compenser tant à l'intérieur de la concession que dans ses environs immédiats, tout impact négatif sur l'environnement, des travaux de réalisation d'infrastructures. Industrie de Transformation de Bois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coupe.--Arts. 9(3), 11, 11(6), 12, 14</v>
      </c>
    </row>
    <row r="112" spans="1:8" ht="45" customHeight="1">
      <c r="A112" s="80" t="s">
        <v>240</v>
      </c>
      <c r="B112" s="79" t="s">
        <v>239</v>
      </c>
      <c r="C112" s="174"/>
      <c r="D112" s="148"/>
      <c r="E112" s="148"/>
      <c r="F112" s="65"/>
      <c r="G112" s="66" t="str">
        <f>IF(OR(Table1[[#This Row],[English]]&lt;&gt;"",Table1[[#This Row],[Français]]&lt;&gt;""),Table1[[#This Row],[Français]]&amp;"//"&amp;Table1[[#This Row],[English]],"")</f>
        <v>Autre - [Responsabilité environnementale]//Other - [Environmental liability]</v>
      </c>
      <c r="H112" s="67" t="str">
        <f t="shared" si="2"/>
        <v/>
      </c>
    </row>
    <row r="113" spans="1:8">
      <c r="A113" s="37"/>
      <c r="B113" s="38"/>
      <c r="C113" s="200"/>
      <c r="D113" s="175"/>
      <c r="E113" s="175"/>
      <c r="F113" s="15"/>
      <c r="G113" s="16" t="str">
        <f>IF(OR(Table1[[#This Row],[English]]&lt;&gt;"",Table1[[#This Row],[Français]]&lt;&gt;""),Table1[[#This Row],[Français]]&amp;"//"&amp;Table1[[#This Row],[English]],"")</f>
        <v/>
      </c>
      <c r="H113" s="17" t="str">
        <f t="shared" si="2"/>
        <v/>
      </c>
    </row>
    <row r="114" spans="1:8" ht="47.25">
      <c r="A114" s="60" t="s">
        <v>183</v>
      </c>
      <c r="B114" s="18" t="s">
        <v>126</v>
      </c>
      <c r="C114" s="179"/>
      <c r="D114" s="180"/>
      <c r="E114" s="180"/>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150" customHeight="1">
      <c r="A115" s="55" t="s">
        <v>181</v>
      </c>
      <c r="B115" s="62" t="s">
        <v>182</v>
      </c>
      <c r="C115" s="62" t="s">
        <v>869</v>
      </c>
      <c r="D115" s="62" t="s">
        <v>847</v>
      </c>
      <c r="E115" s="62" t="s">
        <v>868</v>
      </c>
      <c r="F115" s="62"/>
      <c r="G115" s="63" t="str">
        <f>IF(OR(Table1[[#This Row],[English]]&lt;&gt;"",Table1[[#This Row],[Français]]&lt;&gt;""),Table1[[#This Row],[Français]]&amp;"//"&amp;Table1[[#This Row],[English]],"")</f>
        <v>L'étude de faisabilité et le plan d'affaires//Feasibility studies and requirement of business plan</v>
      </c>
      <c r="H115" s="53" t="str">
        <f>IF(C115&lt;&gt;"",IF(D115&lt;&gt;"",C115&amp;"--"&amp;D115,C115),"")</f>
        <v>Industrie de Transformation de Bois s'engage à préparer et à soumettre pour approbation à l'administration chargée des forêts, dans une période maximum de 4 ans, le plan d'aménagement. Le plan de gestion constitue l'ensemble des engagements d'Industrie de Transformation de Bois avant l'approbation du plan d'aménagement. Dans l'intervalle qui sépare la signature du contrat de l'approbation du plan, Industrie de Transformation de Bois exploite la forêt concédée en conformité avec un plan de gestion. --Art. 10</v>
      </c>
    </row>
    <row r="116" spans="1:8" ht="140.1" customHeight="1">
      <c r="A116" s="90" t="s">
        <v>127</v>
      </c>
      <c r="B116" s="96" t="s">
        <v>128</v>
      </c>
      <c r="C116" s="216" t="s">
        <v>887</v>
      </c>
      <c r="D116" s="217" t="s">
        <v>888</v>
      </c>
      <c r="E116" s="217" t="s">
        <v>889</v>
      </c>
      <c r="F116" s="65"/>
      <c r="G116" s="66" t="str">
        <f>IF(OR(Table1[[#This Row],[English]]&lt;&gt;"",Table1[[#This Row],[Français]]&lt;&gt;""),Table1[[#This Row],[Français]]&amp;"//"&amp;Table1[[#This Row],[English]],"")</f>
        <v>Obligations de travaux, d'investissements//Work and investment commitments</v>
      </c>
      <c r="H116" s="67" t="str">
        <f t="shared" si="2"/>
        <v>Industrie de Transformation de Bois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charges--Art. 9(5)</v>
      </c>
    </row>
    <row r="117" spans="1:8">
      <c r="A117" s="36" t="s">
        <v>129</v>
      </c>
      <c r="B117" s="36" t="s">
        <v>130</v>
      </c>
      <c r="C117" s="153"/>
      <c r="D117" s="175"/>
      <c r="E117" s="175"/>
      <c r="F117" s="11"/>
      <c r="G117" s="12" t="str">
        <f>IF(OR(Table1[[#This Row],[English]]&lt;&gt;"",Table1[[#This Row],[Français]]&lt;&gt;""),Table1[[#This Row],[Français]]&amp;"//"&amp;Table1[[#This Row],[English]],"")</f>
        <v>Rétrocession//Transfer of risk</v>
      </c>
      <c r="H117" s="13" t="str">
        <f t="shared" si="2"/>
        <v/>
      </c>
    </row>
    <row r="118" spans="1:8">
      <c r="A118" s="64" t="s">
        <v>131</v>
      </c>
      <c r="B118" s="64" t="s">
        <v>132</v>
      </c>
      <c r="C118" s="174"/>
      <c r="D118" s="148"/>
      <c r="E118" s="148"/>
      <c r="F118" s="65"/>
      <c r="G118" s="66" t="str">
        <f>IF(OR(Table1[[#This Row],[English]]&lt;&gt;"",Table1[[#This Row],[Français]]&lt;&gt;""),Table1[[#This Row],[Français]]&amp;"//"&amp;Table1[[#This Row],[English]],"")</f>
        <v>Construction et entretien d'infrastructure//Construction and maintenance of infrastructure</v>
      </c>
      <c r="H118" s="67" t="str">
        <f t="shared" si="2"/>
        <v/>
      </c>
    </row>
    <row r="119" spans="1:8" ht="15" customHeight="1">
      <c r="A119" s="10" t="s">
        <v>203</v>
      </c>
      <c r="B119" s="10" t="s">
        <v>133</v>
      </c>
      <c r="C119" s="176"/>
      <c r="D119" s="175"/>
      <c r="E119" s="175"/>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80.95" customHeight="1">
      <c r="A120" s="110" t="s">
        <v>134</v>
      </c>
      <c r="B120" s="111" t="s">
        <v>135</v>
      </c>
      <c r="C120" s="109"/>
      <c r="D120" s="73"/>
      <c r="E120" s="73"/>
      <c r="F120" s="112"/>
      <c r="G120" s="113" t="str">
        <f>IF(OR(Table1[[#This Row],[English]]&lt;&gt;"",Table1[[#This Row],[Français]]&lt;&gt;""),Table1[[#This Row],[Français]]&amp;"//"&amp;Table1[[#This Row],[English]],"")</f>
        <v>Utilisation d’infrastructure par les tiers//Third party use of infrastructure</v>
      </c>
      <c r="H120" s="114" t="str">
        <f t="shared" si="2"/>
        <v/>
      </c>
    </row>
    <row r="121" spans="1:8">
      <c r="A121" s="39" t="s">
        <v>136</v>
      </c>
      <c r="B121" s="33" t="s">
        <v>137</v>
      </c>
      <c r="C121" s="176"/>
      <c r="D121" s="175"/>
      <c r="E121" s="175"/>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176"/>
      <c r="D122" s="175"/>
      <c r="E122" s="175"/>
      <c r="F122" s="11"/>
      <c r="G122" s="12" t="str">
        <f>IF(OR(Table1[[#This Row],[English]]&lt;&gt;"",Table1[[#This Row],[Français]]&lt;&gt;""),Table1[[#This Row],[Français]]&amp;"//"&amp;Table1[[#This Row],[English]],"")</f>
        <v>Propriété d’infrastructure//Ownership of infrastructure</v>
      </c>
      <c r="H122" s="13" t="str">
        <f t="shared" si="2"/>
        <v/>
      </c>
    </row>
    <row r="123" spans="1:8">
      <c r="A123" s="28" t="s">
        <v>197</v>
      </c>
      <c r="B123" s="27" t="s">
        <v>194</v>
      </c>
      <c r="C123" s="196"/>
      <c r="D123" s="194"/>
      <c r="E123" s="194"/>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4"/>
      <c r="D124" s="183"/>
      <c r="E124" s="199"/>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26.95" customHeight="1">
      <c r="A125" s="133" t="s">
        <v>227</v>
      </c>
      <c r="B125" s="134" t="s">
        <v>172</v>
      </c>
      <c r="C125" s="134" t="s">
        <v>851</v>
      </c>
      <c r="D125" s="134" t="s">
        <v>852</v>
      </c>
      <c r="E125" s="134" t="s">
        <v>853</v>
      </c>
      <c r="F125" s="135"/>
      <c r="G125" s="136"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7" t="str">
        <f>IF(C125&lt;&gt;"",IF(D125&lt;&gt;"",C125&amp;"--"&amp;D125,C125),"")</f>
        <v>Industrie de Transformation de Bois bénéficie d'une servitude de passage sur les fonds riverains, destinée à favoriser l'accès à sa concession et l'évacuation de sa production. Il exerce cette servitude uniquement dans les limites de ce qui est strictement nécessaire à son droit de passage.--Art. 7</v>
      </c>
    </row>
    <row r="126" spans="1:8" ht="137.1" customHeight="1">
      <c r="A126" s="80" t="s">
        <v>176</v>
      </c>
      <c r="B126" s="158" t="s">
        <v>174</v>
      </c>
      <c r="C126" s="187"/>
      <c r="D126" s="197"/>
      <c r="E126" s="198"/>
      <c r="F126" s="93"/>
      <c r="G126" s="94" t="str">
        <f>IF(OR(Table1[[#This Row],[English]]&lt;&gt;"",Table1[[#This Row],[Français]]&lt;&gt;""),Table1[[#This Row],[Français]]&amp;"//"&amp;Table1[[#This Row],[English]],"")</f>
        <v>Autre - [le nom de catégorie]//Other - [Name of Category]</v>
      </c>
      <c r="H126" s="95" t="str">
        <f>IF(C126&lt;&gt;"",IF(D126&lt;&gt;"",C126&amp;"--"&amp;D126,C126),"")</f>
        <v/>
      </c>
    </row>
    <row r="127" spans="1:8" ht="47.1" customHeight="1">
      <c r="A127" s="156"/>
      <c r="B127" s="40"/>
      <c r="C127" s="177"/>
      <c r="D127" s="178"/>
      <c r="E127" s="178"/>
      <c r="F127" s="15"/>
      <c r="G127" s="16" t="str">
        <f>IF(OR(Table1[[#This Row],[English]]&lt;&gt;"",Table1[[#This Row],[Français]]&lt;&gt;""),Table1[[#This Row],[Français]]&amp;"//"&amp;Table1[[#This Row],[English]],"")</f>
        <v/>
      </c>
      <c r="H127" s="17" t="str">
        <f t="shared" si="2"/>
        <v/>
      </c>
    </row>
    <row r="128" spans="1:8" ht="31.5">
      <c r="A128" s="21" t="s">
        <v>140</v>
      </c>
      <c r="B128" s="21" t="s">
        <v>141</v>
      </c>
      <c r="C128" s="179"/>
      <c r="D128" s="180"/>
      <c r="E128" s="180"/>
      <c r="F128" s="18"/>
      <c r="G128" s="19" t="str">
        <f>IF(OR(Table1[[#This Row],[English]]&lt;&gt;"",Table1[[#This Row],[Français]]&lt;&gt;""),Table1[[#This Row],[Français]]&amp;"//"&amp;Table1[[#This Row],[English]],"")</f>
        <v>6. Dispositions diverses//6. Miscellaneous provisions</v>
      </c>
      <c r="H128" s="20" t="str">
        <f t="shared" si="2"/>
        <v/>
      </c>
    </row>
    <row r="129" spans="1:8" ht="36.950000000000003" customHeight="1">
      <c r="A129" s="96" t="s">
        <v>142</v>
      </c>
      <c r="B129" s="90" t="s">
        <v>143</v>
      </c>
      <c r="C129" s="174"/>
      <c r="D129" s="148"/>
      <c r="E129" s="148"/>
      <c r="F129" s="65"/>
      <c r="G129" s="66" t="str">
        <f>IF(OR(Table1[[#This Row],[English]]&lt;&gt;"",Table1[[#This Row],[Français]]&lt;&gt;""),Table1[[#This Row],[Français]]&amp;"//"&amp;Table1[[#This Row],[English]],"")</f>
        <v>Loi applicable en cas des différends//Governing law in case of dispute</v>
      </c>
      <c r="H129" s="67" t="str">
        <f t="shared" si="2"/>
        <v/>
      </c>
    </row>
    <row r="130" spans="1:8" ht="203.1" customHeight="1">
      <c r="A130" s="96" t="s">
        <v>144</v>
      </c>
      <c r="B130" s="82" t="s">
        <v>145</v>
      </c>
      <c r="C130" s="172" t="s">
        <v>854</v>
      </c>
      <c r="D130" s="73" t="s">
        <v>855</v>
      </c>
      <c r="E130" s="73" t="s">
        <v>870</v>
      </c>
      <c r="F130" s="65"/>
      <c r="G130" s="66" t="str">
        <f>IF(OR(Table1[[#This Row],[English]]&lt;&gt;"",Table1[[#This Row],[Français]]&lt;&gt;""),Table1[[#This Row],[Français]]&amp;"//"&amp;Table1[[#This Row],[English]],"")</f>
        <v>Arbitrage et règlement des différends//Arbitration and dispute resolution</v>
      </c>
      <c r="H130" s="67" t="str">
        <f t="shared" si="2"/>
        <v>En cas de différend sur le tracé des voies d'accès ou d'évacuation à la concession, Industrie de Transformation de Bois fera appel aux mécanismes de règlement des différends définis aux articles 103 et 104 du code forestier. En cas de résiliation du contrat ou de déchéance, Industrie de Transformation de Bois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civile.--Arts. 7, 26, 30</v>
      </c>
    </row>
    <row r="131" spans="1:8" ht="153" customHeight="1">
      <c r="A131" s="96" t="s">
        <v>146</v>
      </c>
      <c r="B131" s="90" t="s">
        <v>147</v>
      </c>
      <c r="C131" s="191"/>
      <c r="D131" s="148"/>
      <c r="E131" s="148"/>
      <c r="F131" s="65"/>
      <c r="G131" s="66" t="str">
        <f>IF(OR(Table1[[#This Row],[English]]&lt;&gt;"",Table1[[#This Row],[Français]]&lt;&gt;""),Table1[[#This Row],[Français]]&amp;"//"&amp;Table1[[#This Row],[English]],"")</f>
        <v>Clause de stabilisation//Stabilization clause</v>
      </c>
      <c r="H131" s="67" t="str">
        <f t="shared" si="2"/>
        <v/>
      </c>
    </row>
    <row r="132" spans="1:8">
      <c r="A132" s="36" t="s">
        <v>148</v>
      </c>
      <c r="B132" s="10" t="s">
        <v>149</v>
      </c>
      <c r="C132" s="176"/>
      <c r="D132" s="175"/>
      <c r="E132" s="175"/>
      <c r="F132" s="11"/>
      <c r="G132" s="12" t="str">
        <f>IF(OR(Table1[[#This Row],[English]]&lt;&gt;"",Table1[[#This Row],[Français]]&lt;&gt;""),Table1[[#This Row],[Français]]&amp;"//"&amp;Table1[[#This Row],[English]],"")</f>
        <v>Cession / transfert//Assignment / transfer</v>
      </c>
      <c r="H132" s="13" t="str">
        <f t="shared" si="2"/>
        <v/>
      </c>
    </row>
    <row r="133" spans="1:8" ht="270.95" customHeight="1">
      <c r="A133" s="36" t="s">
        <v>228</v>
      </c>
      <c r="B133" s="10" t="s">
        <v>150</v>
      </c>
      <c r="C133" s="10" t="s">
        <v>856</v>
      </c>
      <c r="D133" s="10" t="s">
        <v>857</v>
      </c>
      <c r="E133" s="10" t="s">
        <v>858</v>
      </c>
      <c r="F133" s="11"/>
      <c r="G133" s="12" t="str">
        <f>IF(OR(Table1[[#This Row],[English]]&lt;&gt;"",Table1[[#This Row],[Français]]&lt;&gt;""),Table1[[#This Row],[Français]]&amp;"//"&amp;Table1[[#This Row],[English]],"")</f>
        <v>Annulation / Résiliation //Cancellation / termination</v>
      </c>
      <c r="H133" s="13" t="str">
        <f t="shared" si="2"/>
        <v>Industrie de Transformation de Bois a la faculté de renoncer au bénéfice de la concession avant l'expiration du contrat de concession forestière. En cas de non respect par Industrie de Transformation de Bois de l'une des quelconques clauses du présent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d'Industrie de Transformation de Bois constitue une cause de déchéance et entraîne la résiliation du présent contrat. Le Gouvernement constate la déchéance et procède à la résiliation du contrat par voie d'arrêté. --Arts. 22, 23, 25</v>
      </c>
    </row>
    <row r="134" spans="1:8">
      <c r="A134" s="33" t="s">
        <v>151</v>
      </c>
      <c r="B134" s="33" t="s">
        <v>152</v>
      </c>
      <c r="C134" s="176"/>
      <c r="D134" s="175"/>
      <c r="E134" s="175"/>
      <c r="F134" s="11"/>
      <c r="G134" s="12" t="str">
        <f>IF(OR(Table1[[#This Row],[English]]&lt;&gt;"",Table1[[#This Row],[Français]]&lt;&gt;""),Table1[[#This Row],[Français]]&amp;"//"&amp;Table1[[#This Row],[English]],"")</f>
        <v>Indemnisation//Indemnification</v>
      </c>
      <c r="H134" s="13" t="str">
        <f t="shared" si="2"/>
        <v/>
      </c>
    </row>
    <row r="135" spans="1:8" ht="129" customHeight="1">
      <c r="A135" s="97" t="s">
        <v>153</v>
      </c>
      <c r="B135" s="73" t="s">
        <v>154</v>
      </c>
      <c r="C135" s="173" t="s">
        <v>859</v>
      </c>
      <c r="D135" s="73" t="s">
        <v>860</v>
      </c>
      <c r="E135" s="73" t="s">
        <v>861</v>
      </c>
      <c r="F135" s="65"/>
      <c r="G135" s="66" t="str">
        <f>IF(OR(Table1[[#This Row],[English]]&lt;&gt;"",Table1[[#This Row],[Français]]&lt;&gt;""),Table1[[#This Row],[Français]]&amp;"//"&amp;Table1[[#This Row],[English]],"")</f>
        <v>Confidentialité//Confidentiality</v>
      </c>
      <c r="H135" s="67" t="str">
        <f t="shared" si="2"/>
        <v>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concession.--Arts. 25, 31</v>
      </c>
    </row>
    <row r="136" spans="1:8">
      <c r="A136" s="97" t="s">
        <v>155</v>
      </c>
      <c r="B136" s="73" t="s">
        <v>156</v>
      </c>
      <c r="C136" s="157" t="s">
        <v>772</v>
      </c>
      <c r="D136" s="73"/>
      <c r="E136" s="73"/>
      <c r="F136" s="65"/>
      <c r="G136" s="66" t="str">
        <f>IF(OR(Table1[[#This Row],[English]]&lt;&gt;"",Table1[[#This Row],[Français]]&lt;&gt;""),Table1[[#This Row],[Français]]&amp;"//"&amp;Table1[[#This Row],[English]],"")</f>
        <v>Langue//Language</v>
      </c>
      <c r="H136" s="67" t="str">
        <f t="shared" si="2"/>
        <v>FRE</v>
      </c>
    </row>
    <row r="137" spans="1:8" ht="31.5">
      <c r="A137" s="10" t="s">
        <v>238</v>
      </c>
      <c r="B137" s="10" t="s">
        <v>188</v>
      </c>
      <c r="C137" s="176"/>
      <c r="D137" s="175"/>
      <c r="E137" s="175"/>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c r="A138" s="121" t="s">
        <v>222</v>
      </c>
      <c r="B138" s="121" t="s">
        <v>221</v>
      </c>
      <c r="C138" s="176"/>
      <c r="D138" s="175"/>
      <c r="E138" s="175"/>
      <c r="F138" s="11"/>
      <c r="G138" s="12" t="str">
        <f>IF(OR(Table1[[#This Row],[English]]&lt;&gt;"",Table1[[#This Row],[Français]]&lt;&gt;""),Table1[[#This Row],[Français]]&amp;"//"&amp;Table1[[#This Row],[English]],"")</f>
        <v>Clause de hardship ou force majeure//Hardship clause or force majeure</v>
      </c>
      <c r="H138" s="13" t="str">
        <f t="shared" si="2"/>
        <v/>
      </c>
    </row>
    <row r="139" spans="1:8">
      <c r="A139" s="10" t="s">
        <v>175</v>
      </c>
      <c r="B139" s="121" t="s">
        <v>173</v>
      </c>
      <c r="C139" s="201"/>
      <c r="D139" s="178"/>
      <c r="E139" s="178"/>
      <c r="F139" s="41"/>
      <c r="G139" s="42" t="str">
        <f>IF(OR(Table1[[#This Row],[English]]&lt;&gt;"",Table1[[#This Row],[Français]]&lt;&gt;""),Table1[[#This Row],[Français]]&amp;"//"&amp;Table1[[#This Row],[English]],"")</f>
        <v>Expropriation//Expropriation / nationalization</v>
      </c>
      <c r="H139" s="43" t="str">
        <f t="shared" si="2"/>
        <v/>
      </c>
    </row>
    <row r="140" spans="1:8">
      <c r="A140" s="80" t="s">
        <v>176</v>
      </c>
      <c r="B140" s="79" t="s">
        <v>174</v>
      </c>
      <c r="C140" s="202"/>
      <c r="D140" s="155"/>
      <c r="E140" s="203"/>
      <c r="F140" s="98"/>
      <c r="G140" s="99" t="str">
        <f>IF(OR(Table1[[#This Row],[English]]&lt;&gt;"",Table1[[#This Row],[Français]]&lt;&gt;""),Table1[[#This Row],[Français]]&amp;"//"&amp;Table1[[#This Row],[English]],"")</f>
        <v>Autre - [le nom de catégorie]//Other - [Name of Category]</v>
      </c>
      <c r="H140" s="100" t="str">
        <f>IF(C140&lt;&gt;"",IF(D140&lt;&gt;"",C140&amp;"--"&amp;D140,C140),"")</f>
        <v/>
      </c>
    </row>
    <row r="141" spans="1:8">
      <c r="A141" s="44"/>
      <c r="B141" s="14"/>
      <c r="C141" s="201"/>
      <c r="D141" s="178"/>
      <c r="E141" s="178"/>
      <c r="F141" s="15"/>
      <c r="G141" s="16" t="str">
        <f>IF(OR(Table1[[#This Row],[English]]&lt;&gt;"",Table1[[#This Row],[Français]]&lt;&gt;""),Table1[[#This Row],[Français]]&amp;"//"&amp;Table1[[#This Row],[English]],"")</f>
        <v/>
      </c>
      <c r="H141" s="17" t="str">
        <f t="shared" si="2"/>
        <v/>
      </c>
    </row>
    <row r="142" spans="1:8" ht="31.5">
      <c r="A142" s="21" t="s">
        <v>157</v>
      </c>
      <c r="B142" s="21" t="s">
        <v>158</v>
      </c>
      <c r="C142" s="204"/>
      <c r="D142" s="205"/>
      <c r="E142" s="205"/>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77"/>
      <c r="D143" s="178"/>
      <c r="E143" s="178"/>
      <c r="F143" s="41"/>
      <c r="G143" s="42" t="str">
        <f>IF(OR(Table1[[#This Row],[English]]&lt;&gt;"",Table1[[#This Row],[Français]]&lt;&gt;""),Table1[[#This Row],[Français]]&amp;"//"&amp;Table1[[#This Row],[English]],"")</f>
        <v>Pages Manquantes de la copie//Pages missing from  copy</v>
      </c>
      <c r="H143" s="43" t="str">
        <f t="shared" si="2"/>
        <v/>
      </c>
    </row>
    <row r="144" spans="1:8" ht="63">
      <c r="A144" s="10" t="s">
        <v>161</v>
      </c>
      <c r="B144" s="10" t="s">
        <v>162</v>
      </c>
      <c r="C144" s="10" t="s">
        <v>864</v>
      </c>
      <c r="D144" s="10"/>
      <c r="E144" s="10" t="s">
        <v>862</v>
      </c>
      <c r="F144" s="22"/>
      <c r="G144" s="23" t="str">
        <f>IF(OR(Table1[[#This Row],[English]]&lt;&gt;"",Table1[[#This Row],[Français]]&lt;&gt;""),Table1[[#This Row],[Français]]&amp;"//"&amp;Table1[[#This Row],[English]],"")</f>
        <v>Annexes Manquantes de la copie//Annexes missing from copy</v>
      </c>
      <c r="H144" s="13" t="str">
        <f t="shared" si="2"/>
        <v>Le cahier des charges, la carte de la concession forestière</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4">
    <mergeCell ref="B16:C16"/>
    <mergeCell ref="G16:H16"/>
    <mergeCell ref="C10:D10"/>
    <mergeCell ref="A10:B10"/>
  </mergeCells>
  <phoneticPr fontId="15" type="noConversion"/>
  <dataValidations count="3">
    <dataValidation type="list" allowBlank="1" showInputMessage="1" showErrorMessage="1" sqref="C51">
      <formula1>resources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r:id="rId1"/>
  <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D18" sqref="D18"/>
    </sheetView>
  </sheetViews>
  <sheetFormatPr defaultColWidth="8.625" defaultRowHeight="15.75"/>
  <cols>
    <col min="1" max="1" width="30.5" customWidth="1"/>
    <col min="2" max="2" width="31.875" style="168" customWidth="1"/>
    <col min="3" max="3" width="23" bestFit="1" customWidth="1"/>
  </cols>
  <sheetData>
    <row r="1" spans="1:2">
      <c r="A1" s="49" t="s">
        <v>163</v>
      </c>
      <c r="B1" s="167" t="s">
        <v>164</v>
      </c>
    </row>
    <row r="2" spans="1:2">
      <c r="A2" s="165" t="s">
        <v>758</v>
      </c>
      <c r="B2" s="168" t="str">
        <f>IF(Categories!C136&lt;&gt;"",Categories!C136,"")</f>
        <v>FRE</v>
      </c>
    </row>
    <row r="3" spans="1:2" ht="30.75">
      <c r="A3" s="50" t="s">
        <v>245</v>
      </c>
      <c r="B3" s="169" t="str">
        <f>IF(Categories!C19&lt;&gt;"",Categories!C19,"")</f>
        <v>Congo, the Democratic Republic of the</v>
      </c>
    </row>
    <row r="4" spans="1:2">
      <c r="A4" s="50" t="s">
        <v>737</v>
      </c>
      <c r="B4" s="169" t="e">
        <f>IF(Categories!C19&lt;&gt;"",VLOOKUP(Categories!C19,picklists!A2:B248,2,FALSE), "")</f>
        <v>#N/A</v>
      </c>
    </row>
    <row r="5" spans="1:2">
      <c r="A5" t="s">
        <v>740</v>
      </c>
      <c r="B5" s="168" t="str">
        <f>IF(Categories!C51&lt;&gt;"",Categories!C51,"")</f>
        <v>Bois d'œuvre</v>
      </c>
    </row>
    <row r="6" spans="1:2">
      <c r="A6" s="50" t="s">
        <v>165</v>
      </c>
      <c r="B6" s="169" t="e">
        <f>IF(Categories!C27&lt;&gt;"",VLOOKUP(Categories!C27,picklists!G2:H26,IF(B2="ENG",1,IF(B2="FRE",2,1)),FALSE),"")</f>
        <v>#N/A</v>
      </c>
    </row>
    <row r="7" spans="1:2">
      <c r="A7" s="50" t="s">
        <v>166</v>
      </c>
      <c r="B7" s="168">
        <f>IF(Categories!C47&lt;&gt;"",Categories!C47,"")</f>
        <v>40885</v>
      </c>
    </row>
    <row r="8" spans="1:2">
      <c r="A8" t="s">
        <v>167</v>
      </c>
      <c r="B8" s="168">
        <f>IF(Categories!C48&lt;&gt;"",Categories!C48,"")</f>
        <v>2011</v>
      </c>
    </row>
    <row r="9" spans="1:2">
      <c r="A9" t="s">
        <v>168</v>
      </c>
      <c r="B9" s="168" t="str">
        <f>IF(Categories!C49&lt;&gt;"",Categories!C49,"")</f>
        <v>25 ans renouvelables. Le contrat prend fin le 11/08/2036.</v>
      </c>
    </row>
    <row r="10" spans="1:2">
      <c r="A10" s="215" t="s">
        <v>749</v>
      </c>
      <c r="B10" s="215"/>
    </row>
    <row r="11" spans="1:2">
      <c r="A11" s="164" t="s">
        <v>12</v>
      </c>
      <c r="B11" s="168" t="str">
        <f>IF(Categories!C20&lt;&gt;"",Categories!C20,"")</f>
        <v>Industrie de Transformation de Bois</v>
      </c>
    </row>
    <row r="12" spans="1:2">
      <c r="A12" s="164" t="s">
        <v>242</v>
      </c>
      <c r="B12" s="168" t="str">
        <f>IF(Categories!C21&lt;&gt;"",Categories!C21,"")</f>
        <v/>
      </c>
    </row>
    <row r="13" spans="1:2">
      <c r="A13" s="164" t="s">
        <v>14</v>
      </c>
      <c r="B13" s="168" t="str">
        <f>IF(Categories!C22&lt;&gt;"",Categories!C22,"")</f>
        <v>N° 5501, Avenue de l'Ouest, Quartier Kingabwa, Commune de Limete, Ville-Province de Kinshasa, en République Démocratique du Congo</v>
      </c>
    </row>
    <row r="14" spans="1:2">
      <c r="A14" s="164" t="s">
        <v>16</v>
      </c>
      <c r="B14" s="168" t="str">
        <f>IF(Categories!C23&lt;&gt;"",Categories!C23,"")</f>
        <v/>
      </c>
    </row>
    <row r="15" spans="1:2">
      <c r="A15" s="164" t="s">
        <v>755</v>
      </c>
      <c r="B15" s="168" t="str">
        <f>IF(Categories!C24&lt;&gt;"",Categories!C24,"")</f>
        <v/>
      </c>
    </row>
    <row r="16" spans="1:2">
      <c r="A16" s="164" t="s">
        <v>242</v>
      </c>
      <c r="B16" s="168" t="str">
        <f>IF(Categories!C25&lt;&gt;"",Categories!C25,"")</f>
        <v/>
      </c>
    </row>
    <row r="17" spans="1:2">
      <c r="A17" s="164" t="s">
        <v>19</v>
      </c>
      <c r="B17" s="168" t="str">
        <f>IF(Categories!C26&lt;&gt;"",Categories!C26,"")</f>
        <v/>
      </c>
    </row>
    <row r="18" spans="1:2">
      <c r="A18" s="164" t="s">
        <v>22</v>
      </c>
      <c r="B18" s="168" t="str">
        <f>IF(Categories!C28&lt;&gt;"",Categories!C28,"")</f>
        <v/>
      </c>
    </row>
    <row r="19" spans="1:2" ht="31.5">
      <c r="A19" s="164" t="s">
        <v>23</v>
      </c>
      <c r="B19" s="168" t="str">
        <f>IF(Categories!C29&lt;&gt;"",Categories!C29,"")</f>
        <v/>
      </c>
    </row>
    <row r="20" spans="1:2">
      <c r="A20" s="164" t="s">
        <v>756</v>
      </c>
      <c r="B20" s="168" t="str">
        <f>IF(Categories!C30&lt;&gt;"",Categories!C30,"")</f>
        <v>Secteur: Ekonda, territoire: Bikoro et Ingende, district: Equateur, province: Equateur.  La délimitation physique se décrit dans l'article 2(II).</v>
      </c>
    </row>
    <row r="21" spans="1:2">
      <c r="A21" s="164" t="s">
        <v>25</v>
      </c>
      <c r="B21" s="168" t="str">
        <f>IF(Categories!C31&lt;&gt;"",Categories!C31,"")</f>
        <v/>
      </c>
    </row>
    <row r="22" spans="1:2">
      <c r="A22" s="164" t="s">
        <v>27</v>
      </c>
      <c r="B22" s="168" t="str">
        <f>IF(Categories!C32&lt;&gt;"",Categories!C32,"")</f>
        <v/>
      </c>
    </row>
    <row r="23" spans="1:2">
      <c r="A23" s="164" t="s">
        <v>29</v>
      </c>
      <c r="B23" s="168" t="str">
        <f>IF(Categories!C33&lt;&gt;"",Categories!C33,"")</f>
        <v/>
      </c>
    </row>
    <row r="24" spans="1:2">
      <c r="A24" s="164" t="s">
        <v>31</v>
      </c>
      <c r="B24" s="168" t="str">
        <f>IF(Categories!C34&lt;&gt;"",Categories!C34,"")</f>
        <v/>
      </c>
    </row>
    <row r="25" spans="1:2">
      <c r="A25" s="164" t="s">
        <v>757</v>
      </c>
      <c r="B25" s="168" t="str">
        <f>IF(B24&lt;&gt;"",YEAR(B24),"")</f>
        <v/>
      </c>
    </row>
    <row r="26" spans="1:2">
      <c r="A26" s="164" t="s">
        <v>33</v>
      </c>
      <c r="B26" s="168" t="str">
        <f>IF(Categories!C35&lt;&gt;"",Categories!C35,"")</f>
        <v/>
      </c>
    </row>
    <row r="27" spans="1:2">
      <c r="A27" s="164" t="s">
        <v>35</v>
      </c>
      <c r="B27" s="168" t="str">
        <f>IF(Categories!C36&lt;&gt;"",Categories!C36,"")</f>
        <v/>
      </c>
    </row>
    <row r="28" spans="1:2" ht="47.25">
      <c r="A28" s="164" t="s">
        <v>41</v>
      </c>
      <c r="B28" s="168" t="str">
        <f>IF(Categories!C40&lt;&gt;"",Categories!C40,"")</f>
        <v>Industrie de Transformation de Bois</v>
      </c>
    </row>
    <row r="29" spans="1:2">
      <c r="A29" s="164" t="s">
        <v>242</v>
      </c>
      <c r="B29" s="168" t="str">
        <f>IF(Categories!C41&lt;&gt;"",Categories!C41,"")</f>
        <v/>
      </c>
    </row>
    <row r="30" spans="1:2">
      <c r="A30" s="164" t="s">
        <v>43</v>
      </c>
      <c r="B30" s="168" t="str">
        <f>IF(Categories!C42&lt;&gt;"",Categories!C42,"")</f>
        <v>Fouad Sarrouf, Gérant Statutaire</v>
      </c>
    </row>
    <row r="31" spans="1:2" ht="31.5">
      <c r="A31" s="164" t="s">
        <v>45</v>
      </c>
      <c r="B31" s="168" t="str">
        <f>IF(Categories!C43&lt;&gt;"",Categories!C43,"")</f>
        <v>Le Ministre de l'Environnement, Conservation de la Nature et Tourisme</v>
      </c>
    </row>
    <row r="32" spans="1:2">
      <c r="A32" s="164" t="s">
        <v>47</v>
      </c>
      <c r="B32" s="168" t="str">
        <f>IF(Categories!C44&lt;&gt;"",Categories!C44,"")</f>
        <v>José E.B. Endundo, Ministre de l'Environnement, Conservation de la Nature et Tourisme</v>
      </c>
    </row>
    <row r="33" spans="1:2" ht="31.5">
      <c r="A33" s="164" t="s">
        <v>49</v>
      </c>
      <c r="B33" s="168" t="str">
        <f>IF(Categories!C45&lt;&gt;"",Categories!C45,"")</f>
        <v/>
      </c>
    </row>
    <row r="34" spans="1:2" ht="31.5">
      <c r="A34" s="164" t="s">
        <v>169</v>
      </c>
      <c r="B34" s="168" t="str">
        <f>IF(Categories!C46&lt;&gt;"",Categories!C46,"")</f>
        <v/>
      </c>
    </row>
    <row r="35" spans="1:2">
      <c r="A35" s="164" t="s">
        <v>57</v>
      </c>
      <c r="B35" s="168" t="str">
        <f>IF(Categories!C50&lt;&gt;"",Categories!C50,"")</f>
        <v>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 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v>
      </c>
    </row>
    <row r="36" spans="1:2">
      <c r="A36" s="164" t="s">
        <v>217</v>
      </c>
      <c r="B36" s="168" t="str">
        <f>IF(Categories!C52&lt;&gt;"",Categories!C52,"")</f>
        <v>256.545 hectares</v>
      </c>
    </row>
    <row r="37" spans="1:2">
      <c r="A37" s="166" t="s">
        <v>160</v>
      </c>
      <c r="B37" s="168" t="str">
        <f>IF(Categories!C143&lt;&gt;"",Categories!C143,"")</f>
        <v/>
      </c>
    </row>
    <row r="38" spans="1:2">
      <c r="A38" s="166" t="s">
        <v>162</v>
      </c>
      <c r="B38" s="168" t="str">
        <f>IF(Categories!C144&lt;&gt;"",Categories!C144,"")</f>
        <v>Le cahier des charges, la carte de la concession forestière</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248"/>
  <sheetViews>
    <sheetView workbookViewId="0">
      <selection activeCell="A51" sqref="A51"/>
    </sheetView>
  </sheetViews>
  <sheetFormatPr defaultColWidth="11" defaultRowHeight="15.75"/>
  <cols>
    <col min="7" max="7" width="23.5" bestFit="1" customWidth="1"/>
  </cols>
  <sheetData>
    <row r="1" spans="1:11">
      <c r="A1" t="s">
        <v>245</v>
      </c>
      <c r="B1" t="s">
        <v>246</v>
      </c>
      <c r="D1" t="s">
        <v>738</v>
      </c>
      <c r="G1" t="s">
        <v>742</v>
      </c>
      <c r="J1" t="s">
        <v>758</v>
      </c>
    </row>
    <row r="2" spans="1:11">
      <c r="A2" t="s">
        <v>247</v>
      </c>
      <c r="B2" t="s">
        <v>248</v>
      </c>
      <c r="D2" t="s">
        <v>782</v>
      </c>
      <c r="G2" s="163" t="s">
        <v>744</v>
      </c>
      <c r="H2" s="163" t="s">
        <v>744</v>
      </c>
      <c r="J2" t="s">
        <v>771</v>
      </c>
      <c r="K2" t="s">
        <v>773</v>
      </c>
    </row>
    <row r="3" spans="1:11">
      <c r="A3" t="s">
        <v>249</v>
      </c>
      <c r="B3" t="s">
        <v>250</v>
      </c>
      <c r="D3" s="170" t="s">
        <v>783</v>
      </c>
      <c r="E3" s="170" t="s">
        <v>783</v>
      </c>
      <c r="G3" t="s">
        <v>775</v>
      </c>
      <c r="J3" t="s">
        <v>772</v>
      </c>
      <c r="K3" t="s">
        <v>770</v>
      </c>
    </row>
    <row r="4" spans="1:11">
      <c r="A4" t="s">
        <v>251</v>
      </c>
      <c r="B4" t="s">
        <v>252</v>
      </c>
      <c r="D4" t="s">
        <v>784</v>
      </c>
      <c r="E4" t="s">
        <v>814</v>
      </c>
      <c r="G4" s="163" t="s">
        <v>743</v>
      </c>
      <c r="H4" t="s">
        <v>765</v>
      </c>
    </row>
    <row r="5" spans="1:11">
      <c r="A5" t="s">
        <v>253</v>
      </c>
      <c r="B5" t="s">
        <v>254</v>
      </c>
      <c r="D5" t="s">
        <v>785</v>
      </c>
      <c r="G5" s="163" t="s">
        <v>776</v>
      </c>
      <c r="H5" t="s">
        <v>822</v>
      </c>
    </row>
    <row r="6" spans="1:11">
      <c r="A6" t="s">
        <v>255</v>
      </c>
      <c r="B6" t="s">
        <v>256</v>
      </c>
      <c r="D6" t="s">
        <v>786</v>
      </c>
      <c r="G6" s="163" t="s">
        <v>777</v>
      </c>
    </row>
    <row r="7" spans="1:11" ht="31.5">
      <c r="A7" t="s">
        <v>257</v>
      </c>
      <c r="B7" t="s">
        <v>258</v>
      </c>
      <c r="D7" t="s">
        <v>787</v>
      </c>
      <c r="E7" t="s">
        <v>815</v>
      </c>
      <c r="G7" s="163" t="s">
        <v>778</v>
      </c>
    </row>
    <row r="8" spans="1:11">
      <c r="A8" t="s">
        <v>259</v>
      </c>
      <c r="B8" t="s">
        <v>260</v>
      </c>
      <c r="D8" t="s">
        <v>788</v>
      </c>
      <c r="G8" t="s">
        <v>779</v>
      </c>
    </row>
    <row r="9" spans="1:11">
      <c r="A9" t="s">
        <v>261</v>
      </c>
      <c r="B9" t="s">
        <v>262</v>
      </c>
      <c r="D9" t="s">
        <v>789</v>
      </c>
      <c r="E9" t="s">
        <v>816</v>
      </c>
      <c r="G9" t="s">
        <v>747</v>
      </c>
      <c r="H9" t="s">
        <v>768</v>
      </c>
    </row>
    <row r="10" spans="1:11" ht="31.5">
      <c r="A10" t="s">
        <v>263</v>
      </c>
      <c r="B10" t="s">
        <v>264</v>
      </c>
      <c r="D10" t="s">
        <v>790</v>
      </c>
      <c r="E10" t="s">
        <v>819</v>
      </c>
      <c r="G10" s="163" t="s">
        <v>748</v>
      </c>
      <c r="H10" t="s">
        <v>766</v>
      </c>
    </row>
    <row r="11" spans="1:11" ht="47.25">
      <c r="A11" t="s">
        <v>265</v>
      </c>
      <c r="B11" t="s">
        <v>266</v>
      </c>
      <c r="D11" t="s">
        <v>791</v>
      </c>
      <c r="G11" s="163" t="s">
        <v>780</v>
      </c>
    </row>
    <row r="12" spans="1:11">
      <c r="A12" t="s">
        <v>267</v>
      </c>
      <c r="B12" t="s">
        <v>268</v>
      </c>
      <c r="D12" t="s">
        <v>792</v>
      </c>
      <c r="G12" s="163" t="s">
        <v>781</v>
      </c>
    </row>
    <row r="13" spans="1:11">
      <c r="A13" t="s">
        <v>269</v>
      </c>
      <c r="B13" t="s">
        <v>270</v>
      </c>
      <c r="D13" t="s">
        <v>793</v>
      </c>
      <c r="G13" s="163" t="s">
        <v>745</v>
      </c>
      <c r="H13" t="s">
        <v>767</v>
      </c>
    </row>
    <row r="14" spans="1:11">
      <c r="A14" t="s">
        <v>271</v>
      </c>
      <c r="B14" t="s">
        <v>272</v>
      </c>
      <c r="D14" t="s">
        <v>794</v>
      </c>
      <c r="G14" s="163" t="s">
        <v>746</v>
      </c>
      <c r="H14" t="s">
        <v>769</v>
      </c>
    </row>
    <row r="15" spans="1:11">
      <c r="A15" t="s">
        <v>273</v>
      </c>
      <c r="B15" t="s">
        <v>274</v>
      </c>
      <c r="D15" t="s">
        <v>795</v>
      </c>
    </row>
    <row r="16" spans="1:11">
      <c r="A16" t="s">
        <v>275</v>
      </c>
      <c r="B16" t="s">
        <v>276</v>
      </c>
      <c r="D16" t="s">
        <v>796</v>
      </c>
    </row>
    <row r="17" spans="1:16">
      <c r="A17" t="s">
        <v>277</v>
      </c>
      <c r="B17" t="s">
        <v>278</v>
      </c>
      <c r="D17" t="s">
        <v>797</v>
      </c>
    </row>
    <row r="18" spans="1:16">
      <c r="A18" t="s">
        <v>279</v>
      </c>
      <c r="B18" t="s">
        <v>280</v>
      </c>
      <c r="D18" t="s">
        <v>798</v>
      </c>
    </row>
    <row r="19" spans="1:16">
      <c r="A19" t="s">
        <v>281</v>
      </c>
      <c r="B19" t="s">
        <v>282</v>
      </c>
      <c r="D19" t="s">
        <v>799</v>
      </c>
      <c r="O19" t="s">
        <v>739</v>
      </c>
      <c r="P19" t="s">
        <v>760</v>
      </c>
    </row>
    <row r="20" spans="1:16">
      <c r="A20" t="s">
        <v>283</v>
      </c>
      <c r="B20" t="s">
        <v>284</v>
      </c>
      <c r="D20" t="s">
        <v>800</v>
      </c>
      <c r="O20" t="s">
        <v>741</v>
      </c>
      <c r="P20" t="s">
        <v>741</v>
      </c>
    </row>
    <row r="21" spans="1:16">
      <c r="A21" t="s">
        <v>285</v>
      </c>
      <c r="B21" t="s">
        <v>286</v>
      </c>
      <c r="D21" t="s">
        <v>801</v>
      </c>
      <c r="O21" t="s">
        <v>750</v>
      </c>
      <c r="P21" t="s">
        <v>759</v>
      </c>
    </row>
    <row r="22" spans="1:16">
      <c r="A22" t="s">
        <v>287</v>
      </c>
      <c r="B22" t="s">
        <v>288</v>
      </c>
      <c r="D22" t="s">
        <v>802</v>
      </c>
      <c r="O22" t="s">
        <v>751</v>
      </c>
      <c r="P22" t="s">
        <v>761</v>
      </c>
    </row>
    <row r="23" spans="1:16">
      <c r="A23" t="s">
        <v>289</v>
      </c>
      <c r="B23" t="s">
        <v>290</v>
      </c>
      <c r="D23" t="s">
        <v>803</v>
      </c>
      <c r="O23" t="s">
        <v>752</v>
      </c>
      <c r="P23" t="s">
        <v>762</v>
      </c>
    </row>
    <row r="24" spans="1:16">
      <c r="A24" t="s">
        <v>291</v>
      </c>
      <c r="B24" t="s">
        <v>292</v>
      </c>
      <c r="D24" t="s">
        <v>804</v>
      </c>
      <c r="O24" t="s">
        <v>753</v>
      </c>
      <c r="P24" t="s">
        <v>763</v>
      </c>
    </row>
    <row r="25" spans="1:16">
      <c r="A25" t="s">
        <v>293</v>
      </c>
      <c r="B25" t="s">
        <v>294</v>
      </c>
      <c r="D25" t="s">
        <v>805</v>
      </c>
      <c r="O25" t="s">
        <v>754</v>
      </c>
      <c r="P25" t="s">
        <v>764</v>
      </c>
    </row>
    <row r="26" spans="1:16">
      <c r="A26" t="s">
        <v>295</v>
      </c>
      <c r="B26" t="s">
        <v>296</v>
      </c>
      <c r="D26" t="s">
        <v>806</v>
      </c>
    </row>
    <row r="27" spans="1:16">
      <c r="A27" t="s">
        <v>297</v>
      </c>
      <c r="B27" t="s">
        <v>298</v>
      </c>
      <c r="D27" t="s">
        <v>807</v>
      </c>
      <c r="E27" t="s">
        <v>821</v>
      </c>
    </row>
    <row r="28" spans="1:16">
      <c r="A28" t="s">
        <v>299</v>
      </c>
      <c r="B28" t="s">
        <v>300</v>
      </c>
      <c r="D28" t="s">
        <v>808</v>
      </c>
    </row>
    <row r="29" spans="1:16">
      <c r="A29" t="s">
        <v>301</v>
      </c>
      <c r="B29" t="s">
        <v>302</v>
      </c>
      <c r="D29" t="s">
        <v>809</v>
      </c>
      <c r="E29" t="s">
        <v>820</v>
      </c>
    </row>
    <row r="30" spans="1:16">
      <c r="A30" t="s">
        <v>303</v>
      </c>
      <c r="B30" t="s">
        <v>304</v>
      </c>
      <c r="D30" t="s">
        <v>810</v>
      </c>
    </row>
    <row r="31" spans="1:16">
      <c r="A31" t="s">
        <v>305</v>
      </c>
      <c r="B31" t="s">
        <v>306</v>
      </c>
      <c r="D31" t="s">
        <v>811</v>
      </c>
    </row>
    <row r="32" spans="1:16">
      <c r="A32" t="s">
        <v>307</v>
      </c>
      <c r="B32" t="s">
        <v>308</v>
      </c>
      <c r="D32" t="s">
        <v>812</v>
      </c>
      <c r="E32" t="s">
        <v>818</v>
      </c>
    </row>
    <row r="33" spans="1:5">
      <c r="A33" t="s">
        <v>309</v>
      </c>
      <c r="B33" t="s">
        <v>310</v>
      </c>
      <c r="D33" t="s">
        <v>813</v>
      </c>
      <c r="E33" t="s">
        <v>817</v>
      </c>
    </row>
    <row r="34" spans="1:5">
      <c r="A34" t="s">
        <v>311</v>
      </c>
      <c r="B34" t="s">
        <v>312</v>
      </c>
    </row>
    <row r="35" spans="1:5">
      <c r="A35" t="s">
        <v>313</v>
      </c>
      <c r="B35" t="s">
        <v>314</v>
      </c>
    </row>
    <row r="36" spans="1:5">
      <c r="A36" t="s">
        <v>315</v>
      </c>
      <c r="B36" t="s">
        <v>316</v>
      </c>
    </row>
    <row r="37" spans="1:5">
      <c r="A37" t="s">
        <v>317</v>
      </c>
      <c r="B37" t="s">
        <v>318</v>
      </c>
    </row>
    <row r="38" spans="1:5">
      <c r="A38" t="s">
        <v>319</v>
      </c>
      <c r="B38" t="s">
        <v>320</v>
      </c>
    </row>
    <row r="39" spans="1:5">
      <c r="A39" t="s">
        <v>321</v>
      </c>
      <c r="B39" t="s">
        <v>322</v>
      </c>
    </row>
    <row r="40" spans="1:5">
      <c r="A40" t="s">
        <v>323</v>
      </c>
      <c r="B40" t="s">
        <v>324</v>
      </c>
    </row>
    <row r="41" spans="1:5">
      <c r="A41" t="s">
        <v>325</v>
      </c>
      <c r="B41" t="s">
        <v>326</v>
      </c>
    </row>
    <row r="42" spans="1:5">
      <c r="A42" t="s">
        <v>327</v>
      </c>
      <c r="B42" t="s">
        <v>328</v>
      </c>
    </row>
    <row r="43" spans="1:5">
      <c r="A43" t="s">
        <v>329</v>
      </c>
      <c r="B43" t="s">
        <v>330</v>
      </c>
    </row>
    <row r="44" spans="1:5">
      <c r="A44" t="s">
        <v>331</v>
      </c>
      <c r="B44" t="s">
        <v>332</v>
      </c>
    </row>
    <row r="45" spans="1:5">
      <c r="A45" t="s">
        <v>333</v>
      </c>
      <c r="B45" t="s">
        <v>334</v>
      </c>
    </row>
    <row r="46" spans="1:5">
      <c r="A46" t="s">
        <v>335</v>
      </c>
      <c r="B46" t="s">
        <v>336</v>
      </c>
    </row>
    <row r="47" spans="1:5">
      <c r="A47" t="s">
        <v>337</v>
      </c>
      <c r="B47" t="s">
        <v>338</v>
      </c>
    </row>
    <row r="48" spans="1:5">
      <c r="A48" t="s">
        <v>339</v>
      </c>
      <c r="B48" t="s">
        <v>340</v>
      </c>
    </row>
    <row r="49" spans="1:2">
      <c r="A49" t="s">
        <v>341</v>
      </c>
      <c r="B49" t="s">
        <v>342</v>
      </c>
    </row>
    <row r="50" spans="1:2">
      <c r="A50" t="s">
        <v>343</v>
      </c>
      <c r="B50" t="s">
        <v>344</v>
      </c>
    </row>
    <row r="51" spans="1:2">
      <c r="A51" t="s">
        <v>345</v>
      </c>
      <c r="B51" t="s">
        <v>346</v>
      </c>
    </row>
    <row r="52" spans="1:2">
      <c r="A52" t="s">
        <v>347</v>
      </c>
      <c r="B52" t="s">
        <v>348</v>
      </c>
    </row>
    <row r="53" spans="1:2">
      <c r="A53" t="s">
        <v>349</v>
      </c>
      <c r="B53" t="s">
        <v>350</v>
      </c>
    </row>
    <row r="54" spans="1:2">
      <c r="A54" t="s">
        <v>351</v>
      </c>
      <c r="B54" t="s">
        <v>352</v>
      </c>
    </row>
    <row r="55" spans="1:2">
      <c r="A55" t="s">
        <v>353</v>
      </c>
      <c r="B55" t="s">
        <v>354</v>
      </c>
    </row>
    <row r="56" spans="1:2">
      <c r="A56" t="s">
        <v>355</v>
      </c>
      <c r="B56" t="s">
        <v>356</v>
      </c>
    </row>
    <row r="57" spans="1:2">
      <c r="A57" t="s">
        <v>357</v>
      </c>
      <c r="B57" t="s">
        <v>358</v>
      </c>
    </row>
    <row r="58" spans="1:2">
      <c r="A58" t="s">
        <v>359</v>
      </c>
      <c r="B58" t="s">
        <v>360</v>
      </c>
    </row>
    <row r="59" spans="1:2">
      <c r="A59" t="s">
        <v>361</v>
      </c>
      <c r="B59" t="s">
        <v>362</v>
      </c>
    </row>
    <row r="60" spans="1:2">
      <c r="A60" t="s">
        <v>363</v>
      </c>
      <c r="B60" t="s">
        <v>364</v>
      </c>
    </row>
    <row r="61" spans="1:2">
      <c r="A61" t="s">
        <v>365</v>
      </c>
      <c r="B61" t="s">
        <v>366</v>
      </c>
    </row>
    <row r="62" spans="1:2">
      <c r="A62" t="s">
        <v>367</v>
      </c>
      <c r="B62" t="s">
        <v>368</v>
      </c>
    </row>
    <row r="63" spans="1:2">
      <c r="A63" t="s">
        <v>369</v>
      </c>
      <c r="B63" t="s">
        <v>370</v>
      </c>
    </row>
    <row r="64" spans="1:2">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Categories</vt:lpstr>
      <vt:lpstr>Metadata</vt:lpstr>
      <vt:lpstr>picklists</vt:lpstr>
      <vt:lpstr>countries</vt:lpstr>
      <vt:lpstr>language</vt:lpstr>
      <vt:lpstr>license_type</vt:lpstr>
      <vt:lpstr>resources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Sophie Thomashausen</cp:lastModifiedBy>
  <cp:lastPrinted>2014-02-01T19:00:50Z</cp:lastPrinted>
  <dcterms:created xsi:type="dcterms:W3CDTF">2013-09-30T16:43:43Z</dcterms:created>
  <dcterms:modified xsi:type="dcterms:W3CDTF">2015-09-18T17:48:59Z</dcterms:modified>
</cp:coreProperties>
</file>