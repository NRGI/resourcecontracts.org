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0730" windowHeight="11760" tabRatio="500"/>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B8" i="2" l="1"/>
  <c r="B2" i="2"/>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C48" i="1"/>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<sst xmlns="http://schemas.openxmlformats.org/spreadsheetml/2006/main" count="981" uniqueCount="909">
  <si>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</si>
  <si>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</si>
  <si>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</si>
  <si>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</si>
  <si>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</si>
  <si>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</si>
  <si>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</si>
  <si>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</si>
  <si>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</si>
  <si>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</si>
  <si>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</si>
  <si>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</si>
  <si>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</si>
  <si>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</si>
  <si>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</si>
  <si>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</si>
  <si>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</si>
  <si>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</si>
  <si>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</si>
  <si>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</si>
  <si>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</si>
  <si>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</si>
  <si>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</si>
  <si>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</si>
  <si>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</si>
  <si>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</si>
  <si>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</si>
  <si>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</si>
  <si>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</si>
  <si>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</si>
  <si>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</si>
  <si>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</si>
  <si>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</si>
  <si>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</si>
  <si>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</si>
  <si>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</si>
  <si>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</si>
  <si>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</si>
  <si>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</si>
  <si>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</si>
  <si>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</si>
  <si>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</si>
  <si>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</si>
  <si>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</si>
  <si>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</si>
  <si>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</si>
  <si>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</si>
  <si>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</si>
  <si>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</si>
  <si>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</si>
  <si>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</si>
  <si>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</si>
  <si>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</si>
  <si>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</si>
  <si>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</si>
  <si>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</si>
  <si>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</si>
  <si>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</si>
  <si>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</si>
  <si>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</si>
  <si>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</si>
  <si>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</si>
  <si>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</si>
  <si>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</si>
  <si>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</si>
  <si>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</si>
  <si>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</si>
  <si>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</si>
  <si>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</si>
  <si>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</si>
  <si>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</si>
  <si>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</si>
  <si>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</si>
  <si>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</si>
  <si>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</si>
  <si>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</si>
  <si>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</si>
  <si>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</si>
  <si>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</si>
  <si>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</si>
  <si>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</si>
  <si>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</si>
  <si>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</si>
  <si>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</si>
  <si>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</si>
  <si>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</si>
  <si>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</si>
  <si>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</si>
  <si>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</si>
  <si>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</si>
  <si>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</si>
  <si>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</si>
  <si>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</si>
  <si>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</si>
  <si>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</si>
  <si>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</si>
  <si>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</si>
  <si>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</si>
  <si>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</si>
  <si>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</si>
  <si>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</si>
  <si>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</si>
  <si>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</si>
  <si>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</si>
  <si>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</si>
  <si>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</si>
  <si>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</si>
  <si>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</si>
  <si>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</si>
  <si>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</si>
  <si>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</si>
  <si>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</si>
  <si>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</si>
  <si>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</si>
  <si>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</si>
  <si>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</si>
  <si>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</si>
  <si>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</si>
  <si>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</si>
  <si>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</si>
  <si>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</si>
  <si>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</si>
  <si>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</si>
  <si>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</si>
  <si>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</si>
  <si>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</si>
  <si>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</si>
  <si>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</si>
  <si>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</si>
  <si>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</si>
  <si>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</si>
  <si>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</si>
  <si>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</si>
  <si>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</si>
  <si>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</si>
  <si>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</si>
  <si>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</si>
  <si>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</si>
  <si>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</si>
  <si>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</si>
  <si>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</si>
  <si>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</si>
  <si>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</si>
  <si>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</si>
  <si>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</si>
  <si>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</si>
  <si>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</si>
  <si>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</si>
  <si>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</si>
  <si>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</si>
  <si>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</si>
  <si>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</si>
  <si>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</si>
  <si>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</si>
  <si>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</si>
  <si>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</si>
  <si>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</si>
  <si>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</si>
  <si>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</si>
  <si>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</si>
  <si>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</si>
  <si>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</si>
  <si>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</si>
  <si>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</si>
  <si>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</si>
  <si>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</si>
  <si>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</si>
  <si>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</si>
  <si>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</si>
  <si>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</si>
  <si>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</si>
  <si>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</si>
  <si>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</si>
  <si>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</si>
  <si>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</si>
  <si>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</si>
  <si>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</si>
  <si>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</si>
  <si>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</si>
  <si>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</si>
  <si>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</si>
  <si>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</si>
  <si>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</si>
  <si>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</si>
  <si>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</si>
  <si>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</si>
  <si>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</si>
  <si>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</si>
  <si>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</si>
  <si>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</si>
  <si>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</si>
  <si>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</si>
  <si>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</si>
  <si>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</si>
  <si>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</si>
  <si>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</si>
  <si>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</si>
  <si>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</si>
  <si>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</si>
  <si>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</si>
  <si>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</si>
  <si>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</si>
  <si>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</si>
  <si>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</si>
  <si>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</si>
  <si>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</si>
  <si>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</si>
  <si>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</si>
  <si>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</si>
  <si>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</si>
  <si>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</si>
  <si>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</si>
  <si>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</si>
  <si>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</si>
  <si>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</si>
  <si>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</si>
  <si>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</si>
  <si>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</si>
  <si>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</si>
  <si>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</si>
  <si>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</si>
  <si>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</si>
  <si>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</si>
  <si>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</si>
  <si>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</si>
  <si>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</si>
  <si>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</si>
  <si>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</si>
  <si>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</si>
  <si>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</si>
  <si>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</si>
  <si>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</si>
  <si>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</si>
  <si>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</si>
  <si>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</si>
  <si>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</si>
  <si>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</si>
  <si>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</si>
  <si>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</si>
  <si>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</si>
  <si>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</si>
  <si>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</si>
  <si>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</si>
  <si>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</si>
  <si>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</si>
  <si>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</si>
  <si>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</si>
  <si>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</si>
  <si>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</si>
  <si>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</si>
  <si>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</si>
  <si>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</si>
  <si>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</si>
  <si>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</si>
  <si>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</si>
  <si>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</si>
  <si>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</si>
  <si>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</si>
  <si>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</si>
  <si>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</si>
  <si>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</si>
  <si>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</si>
  <si>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</si>
  <si>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</si>
  <si>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</si>
  <si>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</si>
  <si>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</si>
  <si>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</si>
  <si>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</si>
  <si>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</si>
  <si>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</si>
  <si>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</si>
  <si>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</si>
  <si>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</si>
  <si>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</si>
  <si>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</si>
  <si>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</si>
  <si>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</si>
  <si>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</si>
  <si>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</si>
  <si>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</si>
  <si>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</si>
  <si>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</si>
  <si>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</si>
  <si>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</si>
  <si>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</si>
  <si>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</si>
  <si>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</si>
  <si>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</si>
  <si>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</si>
  <si>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</si>
  <si>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</si>
  <si>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</si>
  <si>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</si>
  <si>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</si>
  <si>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</si>
  <si>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</si>
  <si>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</si>
  <si>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</si>
  <si>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</si>
  <si>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</si>
  <si>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</si>
  <si>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</si>
  <si>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</si>
  <si>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</si>
  <si>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</si>
  <si>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</si>
  <si>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</si>
  <si>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</si>
  <si>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</si>
  <si>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</si>
  <si>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</si>
  <si>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</si>
  <si>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</si>
  <si>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</si>
  <si>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</si>
  <si>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</si>
  <si>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</si>
  <si>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</si>
  <si>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</si>
  <si>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</si>
  <si>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</si>
  <si>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</si>
  <si>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</si>
  <si>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</si>
  <si>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</si>
  <si>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</si>
  <si>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</si>
  <si>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</si>
  <si>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</si>
  <si>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</si>
  <si>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</si>
  <si>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</si>
  <si>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</si>
  <si>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</si>
  <si>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</si>
  <si>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</si>
  <si>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</si>
  <si>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</si>
  <si>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</si>
  <si>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</si>
  <si>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</si>
  <si>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</si>
  <si>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</si>
  <si>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</si>
  <si>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</si>
  <si>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</si>
  <si>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</si>
  <si>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</si>
  <si>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</si>
  <si>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</si>
  <si>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</si>
  <si>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</si>
  <si>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</si>
  <si>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</si>
  <si>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</si>
  <si>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</si>
  <si>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</si>
  <si>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</si>
  <si>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</si>
  <si>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</si>
  <si>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</si>
  <si>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</si>
  <si>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</si>
  <si>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</si>
  <si>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</si>
  <si>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</si>
  <si>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</si>
  <si>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</si>
  <si>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</si>
  <si>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</si>
  <si>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</si>
  <si>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</si>
  <si>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</si>
  <si>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</si>
  <si>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</si>
  <si>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</si>
  <si>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</si>
  <si>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</si>
  <si>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</si>
  <si>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</si>
  <si>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</si>
  <si>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</si>
  <si>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</si>
  <si>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</si>
  <si>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</si>
  <si>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</si>
  <si>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</si>
  <si>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</si>
  <si>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</si>
  <si>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</si>
  <si>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</si>
  <si>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</si>
  <si>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</si>
  <si>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</si>
  <si>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</si>
  <si>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</si>
  <si>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</si>
  <si>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</si>
  <si>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</si>
  <si>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</si>
  <si>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</si>
  <si>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</si>
  <si>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</si>
  <si>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</si>
  <si>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</si>
  <si>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</si>
  <si>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</si>
  <si>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</si>
  <si>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</si>
  <si>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</si>
  <si>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</si>
  <si>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</si>
  <si>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</si>
  <si>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</si>
  <si>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</si>
  <si>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</si>
  <si>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</si>
  <si>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</si>
  <si>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</si>
  <si>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</si>
  <si>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</si>
  <si>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</si>
  <si>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</si>
  <si>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</si>
  <si>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</si>
  <si>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</si>
  <si>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</si>
  <si>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</si>
  <si>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</si>
  <si>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</si>
  <si>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</si>
  <si>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</si>
  <si>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</si>
  <si>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</si>
  <si>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</si>
  <si>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</si>
  <si>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</si>
  <si>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</si>
  <si>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</si>
  <si>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</si>
  <si>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</si>
  <si>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</si>
  <si>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</si>
  <si>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</si>
  <si>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</si>
  <si>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</si>
  <si>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</si>
  <si>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</si>
  <si>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</si>
  <si>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</si>
  <si>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</si>
  <si>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</si>
  <si>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</si>
  <si>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</si>
  <si>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</si>
  <si>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</si>
  <si>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</si>
  <si>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</si>
  <si>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</si>
  <si>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</si>
  <si>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</si>
  <si>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</si>
  <si>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</si>
  <si>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</si>
  <si>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</si>
  <si>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</si>
  <si>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</si>
  <si>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</si>
  <si>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</si>
  <si>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</si>
  <si>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</si>
  <si>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</si>
  <si>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</si>
  <si>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</si>
  <si>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</si>
  <si>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</si>
  <si>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</si>
  <si>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</si>
  <si>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</si>
  <si>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</si>
  <si>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</si>
  <si>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</si>
  <si>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</si>
  <si>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</si>
  <si>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</si>
  <si>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</si>
  <si>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</si>
  <si>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</si>
  <si>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</si>
  <si>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</si>
  <si>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</si>
  <si>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</si>
  <si>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</si>
  <si>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</si>
  <si>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</si>
  <si>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</si>
  <si>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</si>
  <si>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</si>
  <si>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</si>
  <si>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</si>
  <si>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</si>
  <si>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</si>
  <si>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</si>
  <si>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</si>
  <si>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</si>
  <si>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</si>
  <si>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</si>
  <si>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</si>
  <si>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</si>
  <si>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</si>
  <si>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</si>
  <si>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</si>
  <si>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</si>
  <si>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</si>
  <si>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</si>
  <si>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</si>
  <si>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</si>
  <si>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</si>
  <si>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</si>
  <si>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</si>
  <si>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</si>
  <si>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</si>
  <si>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</si>
  <si>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</si>
  <si>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</si>
  <si>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</si>
  <si>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</si>
  <si>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</si>
  <si>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</si>
  <si>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</si>
  <si>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</si>
  <si>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</si>
  <si>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</si>
  <si>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</si>
  <si>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</si>
  <si>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</si>
  <si>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</si>
  <si>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</si>
  <si>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</si>
  <si>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</si>
  <si>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</si>
  <si>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</si>
  <si>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</si>
  <si>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</si>
  <si>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</si>
  <si>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</si>
  <si>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</si>
  <si>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</si>
  <si>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</si>
  <si>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</si>
  <si>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</si>
  <si>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</si>
  <si>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</si>
  <si>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</si>
  <si>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</si>
  <si>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</si>
  <si>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</si>
  <si>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</si>
  <si>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</si>
  <si>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</si>
  <si>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</si>
  <si>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</si>
  <si>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</si>
  <si>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</si>
  <si>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</si>
  <si>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</si>
  <si>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</si>
  <si>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</si>
  <si>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</si>
  <si>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</si>
  <si>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</si>
  <si>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</si>
  <si>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</si>
  <si>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</si>
  <si>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</si>
  <si>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</si>
  <si>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</si>
  <si>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</si>
  <si>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</si>
  <si>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</si>
  <si>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</si>
  <si>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</si>
  <si>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</si>
  <si>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</si>
  <si>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</si>
  <si>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</si>
  <si>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</si>
  <si>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</si>
  <si>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</si>
  <si>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</si>
  <si>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</si>
  <si>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</si>
  <si>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</si>
  <si>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</si>
  <si>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</si>
  <si>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</si>
  <si>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</si>
  <si>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</si>
  <si>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</si>
  <si>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</si>
  <si>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</si>
  <si>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</si>
  <si>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</si>
  <si>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</si>
  <si>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</si>
  <si>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</si>
  <si>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</si>
  <si>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</si>
  <si>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</si>
  <si>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</si>
  <si>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</si>
  <si>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</si>
  <si>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</si>
  <si>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</si>
  <si>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</si>
  <si>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</si>
  <si>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</si>
  <si>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</si>
  <si>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</si>
  <si>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</si>
  <si>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</si>
  <si>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</si>
  <si>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</si>
  <si>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</si>
  <si>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</si>
  <si>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</si>
  <si>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</si>
  <si>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</si>
  <si>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</si>
  <si>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</si>
  <si>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</si>
  <si>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</si>
  <si>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</si>
  <si>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</si>
  <si>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</si>
  <si>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</si>
  <si>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</si>
  <si>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</si>
  <si>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</si>
  <si>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</si>
  <si>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</si>
  <si>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</si>
  <si>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</si>
  <si>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</si>
  <si>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</si>
  <si>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</si>
  <si>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</si>
  <si>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</si>
  <si>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</si>
  <si>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</si>
  <si>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</si>
  <si>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</si>
  <si>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</si>
  <si>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</si>
  <si>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</si>
  <si>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</si>
  <si>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</si>
  <si>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</si>
  <si>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</si>
  <si>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</si>
  <si>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</si>
  <si>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</si>
  <si>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</si>
  <si>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</si>
  <si>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</si>
  <si>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</si>
  <si>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</si>
  <si>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</si>
  <si>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</si>
  <si>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</si>
  <si>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</si>
  <si>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</si>
  <si>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</si>
  <si>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</si>
  <si>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</si>
  <si>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</si>
  <si>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</si>
  <si>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</si>
  <si>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</si>
  <si>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</si>
  <si>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</si>
  <si>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</si>
  <si>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</si>
  <si>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</si>
  <si>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</si>
  <si>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</si>
  <si>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</si>
  <si>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</si>
  <si>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</si>
  <si>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</si>
  <si>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</si>
  <si>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</si>
  <si>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</si>
  <si>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</si>
  <si>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</si>
  <si>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</si>
  <si>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</si>
  <si>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</si>
  <si>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</si>
  <si>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</si>
  <si>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</si>
  <si>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</si>
  <si>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</si>
  <si>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</si>
  <si>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</si>
  <si>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</si>
  <si>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</si>
  <si>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</si>
  <si>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</si>
  <si>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</si>
  <si>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</si>
  <si>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</si>
  <si>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</si>
  <si>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</si>
  <si>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</si>
  <si>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</si>
  <si>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</si>
  <si>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</si>
  <si>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</si>
  <si>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</si>
  <si>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</si>
  <si>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</si>
  <si>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</si>
  <si>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</si>
  <si>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</si>
  <si>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</si>
  <si>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</si>
  <si>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</si>
  <si>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</si>
  <si>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</si>
  <si>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</si>
  <si>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</si>
  <si>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</si>
  <si>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</si>
  <si>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</si>
  <si>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</si>
  <si>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</si>
  <si>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</si>
  <si>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</si>
  <si>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</si>
  <si>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</si>
  <si>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</si>
  <si>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</si>
  <si>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</si>
  <si>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</si>
  <si>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</si>
  <si>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</si>
  <si>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</si>
  <si>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</si>
  <si>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</si>
  <si>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</si>
  <si>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</si>
  <si>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</si>
  <si>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</si>
  <si>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</si>
  <si>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</si>
  <si>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</si>
  <si>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</si>
  <si>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</si>
  <si>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</si>
  <si>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</si>
  <si>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</si>
  <si>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</si>
  <si>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</si>
  <si>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</si>
  <si>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</si>
  <si>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</si>
  <si>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</si>
  <si>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</si>
  <si>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</si>
  <si>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</si>
  <si>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</si>
  <si>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</si>
  <si>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</si>
  <si>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</si>
  <si>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</si>
  <si>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</si>
  <si>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</si>
  <si>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</si>
  <si>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</si>
  <si>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</si>
  <si>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</si>
  <si>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</si>
  <si>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</si>
  <si>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</si>
  <si>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</si>
  <si>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</si>
  <si>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</si>
  <si>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</si>
  <si>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</si>
  <si>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</si>
  <si>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</si>
  <si>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</si>
  <si>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</si>
  <si>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</si>
  <si>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</si>
  <si>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</si>
  <si>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</si>
  <si>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</si>
  <si>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</si>
  <si>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</si>
  <si>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</si>
  <si>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</si>
  <si>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</si>
  <si>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</si>
  <si>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</si>
  <si>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</si>
  <si>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</si>
  <si>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</si>
  <si>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</si>
  <si>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</si>
  <si>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</si>
  <si>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</si>
  <si>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</si>
  <si>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</si>
  <si>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</si>
  <si>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</si>
  <si>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</si>
  <si>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</si>
  <si>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</si>
  <si>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</si>
  <si>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</si>
  <si>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</si>
  <si>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</si>
  <si>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</si>
  <si>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</si>
  <si>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</si>
  <si>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</si>
  <si>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</si>
  <si>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</si>
  <si>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</si>
  <si>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</si>
  <si>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</si>
  <si>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</si>
  <si>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</si>
  <si>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</si>
  <si>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</si>
  <si>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</si>
  <si>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TEMPLATE OIL/GAS/MINING/LAND -   RESOURCECONTRACTS.ORG and OPENLANDCONTRACTS.ORG</t>
  </si>
  <si>
    <t>Les metaux de base</t>
  </si>
  <si>
    <t>Préambule</t>
  </si>
  <si>
    <t>1 (middle)</t>
  </si>
  <si>
    <t>1 (top)</t>
  </si>
  <si>
    <t>Art. 2</t>
  </si>
  <si>
    <t>2 (top)</t>
  </si>
  <si>
    <t>Page de signatures</t>
  </si>
  <si>
    <t>13 (bottom)</t>
  </si>
  <si>
    <t>Le Ministre de l'Environnement, Conservation de la Nature et Tourisme</t>
  </si>
  <si>
    <t>Arts. 3, 27</t>
  </si>
  <si>
    <t>Arts. 8, 27</t>
  </si>
  <si>
    <t>Art. 5</t>
  </si>
  <si>
    <t>3 (middle)</t>
  </si>
  <si>
    <t>Arts. 9(4), 17</t>
  </si>
  <si>
    <t>Art. 6</t>
  </si>
  <si>
    <t>Art. 19</t>
  </si>
  <si>
    <t>Art. 10</t>
  </si>
  <si>
    <t>Arts. 9(3), 11, 11(6), 12, 14</t>
  </si>
  <si>
    <t>Art. 7</t>
  </si>
  <si>
    <t>Arts. 7, 26, 30</t>
  </si>
  <si>
    <t>Arts. 22, 23, 25</t>
  </si>
  <si>
    <t>Si le Gouvernement constate la déchéance et procède à la résiliation du contrat par voie d'arrêté, l'arrêté est publié au journal officiel et une copie est transmise aux cadastres forestiers national et provincial concerne. Le présent contrat ainsi que le cahier des charges sont publiés au journal officiel, déposés au cadastre forestier national, notifiés aux autorités provinciales et locales du ressort, et rendus publics par tout moyen approprié dans les localités riveraines de la concession.</t>
  </si>
  <si>
    <t>Arts. 25, 31</t>
  </si>
  <si>
    <t>Maison NBK Service</t>
  </si>
  <si>
    <t>Maison NBK Service est tenu de respecter les droits d'usage traditionnels des communautés locales et/ou peuples autochtones riverains de la concession tels que définis aux articles 36, 37 et 44 du code forestier. Il lui est interdit de créer toute entrave à l'exercice par les communautés locales et/ou peuples autochtones riverains des droits d'usage forestiers ainsi reconnus.</t>
  </si>
  <si>
    <t>Maison NBK Service est tenu au paiement régulier et dans les délais légaux des taxes et redevances forestières en vigueur et ne peut bénéficier d'aucune exonération</t>
  </si>
  <si>
    <t>Arts. 7, 10, 10(2), 17</t>
  </si>
  <si>
    <t>Art. 9(6)</t>
  </si>
  <si>
    <t>N° 4, Avenue du Port, 2e étage Immeuble NIOKI, Commune de la Gombe, Ville de Kinshasa, en République Démocratique du Congo</t>
  </si>
  <si>
    <t>Secteur: Baboma Nord, territoire: Mushie, district: Plateaux, province: Bandundu.  La délimitation physique se décrit dans l'article 2(II).</t>
  </si>
  <si>
    <t>1 (bottom), 2 (top)</t>
  </si>
  <si>
    <t>Victor Ngalamulume, Gérant-Statutaire</t>
  </si>
  <si>
    <t>Bavon N'Sa Mputu Elima, Ministre de l'Environnement, Conservation de la Nature et Tourisme</t>
  </si>
  <si>
    <t>11 (bottom)</t>
  </si>
  <si>
    <t>25 ans renouvelables. Le contrat prend fin le 2039.</t>
  </si>
  <si>
    <t>2 (bottom), 10 (middle)</t>
  </si>
  <si>
    <t>3 (bottom), 4 (top), 12 (middle)</t>
  </si>
  <si>
    <t>3 (top)</t>
  </si>
  <si>
    <t>79.730 hectares</t>
  </si>
  <si>
    <t>4 (middle), 8 (top)</t>
  </si>
  <si>
    <t>3 (bottom), 5 (middle), 5 (bottom), 9 (middle)</t>
  </si>
  <si>
    <t>Maison NBK Service doit payer la redevance de superficie forestière et toutes autres taxes et redevances en vigueur liées a l'exploitation de la concession, dans les délais prescrits par la réglementation fiscale</t>
  </si>
  <si>
    <t>4 (bottom)</t>
  </si>
  <si>
    <t>8 (middle)</t>
  </si>
  <si>
    <t>5 (top), 5 (middle)</t>
  </si>
  <si>
    <t>4 (middle), 6 (top) - 6 (bottom),  7 (middle)</t>
  </si>
  <si>
    <t>En cas de différend sur le tracé des voies d'accès ou d'évacuation à la concession, Maison NBK Service fera appel aux mécanismes de règlement des différends définis aux articles 103 et 104 du code forestier. En cas de résiliation du contrat ou déchéance, Maison NBK Service dispose des recours légaux devant les juridictions compétentes. Tout différend relatif à l'interprétation ou l'exécution du présent contrat de concession et du cahier des charges sera réglé à l'amiable. En cas d'échec, le litige sera soumis aux juridictions compétentes à moins que les parties conviennent de recourir à l'arbitrage prévu par les articles 159 à 174 du code de procédure civile.</t>
  </si>
  <si>
    <t>3 (middle), 10 (middle), 10 (bottom)</t>
  </si>
  <si>
    <t>9 (middle), 10 (top)</t>
  </si>
  <si>
    <r>
      <rPr>
        <sz val="12"/>
        <color theme="0" tint="-0.34998626667073579"/>
        <rFont val="Calibri"/>
        <scheme val="minor"/>
      </rPr>
      <t xml:space="preserve">Maison NBK Service a la faculté de renoncer au bénéfice de la concession avant l'expiration du contrat de concession forestière. En cas de non respect par Maison NBK Service de l'une des quelconques clauses du contrat et/ou du cahier des charges et après une mise en demeure assortie d'un délai ne dépassant pas 3 mois, le Gouvernement prescrit toutes mesures conservatoires destinées à assurer le respect des dispositions du présent contrat et du cahier des charges. Le contrat est résilié dans certains cas, y compris: (1) la commission de tout acte ou tentative d'acte de corruption, de dol ou de violence; et (2) la violation répétée, après expiration des délais légaux mise en demeure, d'obligations sociales et environnementales découlant du présent contrat et du cahier des charges. L'état de cessation de paiement d'Maison NBK Service constitue une cause de déchéance et entraîne la résiliation du présent contrat. Le Gouvernement constate la déchéance et procède à la résiliation du contrat par voie d'arrêté. </t>
    </r>
  </si>
  <si>
    <t>10 (top), 11 (top)</t>
  </si>
  <si>
    <t>Le cahier des charges; La carte de la concession forestière</t>
  </si>
  <si>
    <t>1 (bottom); 2 (bottom)</t>
  </si>
  <si>
    <r>
      <rPr>
        <sz val="12"/>
        <color theme="0" tint="-0.34998626667073579"/>
        <rFont val="Calibri"/>
        <scheme val="minor"/>
      </rPr>
      <t>Maison NBK Service doit mettre en œuvre les mesures environnementales et de protection de la biodiversité inscrites au présent contrat, y compris les mesures convenues dans le plan de relance dans le cas d'une conversion ou dans la proposition technique dans le cas de l'adjudication selon les termes du cahier des charges.</t>
    </r>
    <r>
      <rPr>
        <sz val="12"/>
        <color rgb="FFFF0000"/>
        <rFont val="Calibri"/>
        <family val="2"/>
        <charset val="134"/>
        <scheme val="minor"/>
      </rPr>
      <t xml:space="preserve"> </t>
    </r>
    <r>
      <rPr>
        <sz val="12"/>
        <color theme="0" tint="-0.34998626667073579"/>
        <rFont val="Calibri"/>
        <scheme val="minor"/>
      </rPr>
      <t>Maison NBK Service est tenu de respecter la législation en vigueur en matière de protection de l'environnement et de conservation de la diversité biologique. Maison NBK Service contribue, en particulier, sur toute l'étendue de sa concession, à la lutte contre les feux de brousse, le braconnage et l'exploitation illégale du bois. Maison NBK Service définit et met en œuvre des mesures appropriées de contrôle pour minimiser, réduire ou compenser tant à l'intérieur de la concession que dans ses environs immédiats, tout impact négatif sur l'environnement, des travaux de réalisation d'infrastructures. Maison NBK Service est tenu de respecter la mise en réserve de certaines essences et toutes restrictions édictées par l'administration chargée des forêts dans le but de protéger la diversité biologique. La liste des essences forestière dont l'exploitation est interdite est reprise dans les clauses particulières du cahier des charges en annexe. Dès qu'il y a un risque d'altération importante de la couverture végétale ou d'altération du sol, le plan d'aménagement indique toutes essences confondues, un nombre maximum de pieds exploitables par assiette annuelle de coupe.</t>
    </r>
  </si>
  <si>
    <t>Maison NBK Service 049_DRC</t>
  </si>
  <si>
    <t>Congo, the Democratic Republic of the</t>
  </si>
  <si>
    <t>Contrat de concession forestière</t>
  </si>
  <si>
    <t>A l'expiration du contrat de concession, ou un an avant la date d'expiration, Maison NBK Service peut demander le renouvellement du contrat dans les conditions déterminées par les règlements en vigueur et à condition que les obligations découlant du contrat et du cahier des charges aient été exécutées. En demandant un renouvellement, Maison NBK Service doit fournir les preuves de mise à jour de son plan d'aménagement et du cahier des charges sur la période de renouvellement. Le Gouvernement peut refuser le renouvellement en cas de violation de l'une des quelconques dispositions du présent contrat et du cahier des charges: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t>
  </si>
  <si>
    <t>Maison NBK Service doit réaliser les infrastructures socio-économiques et des services sociaux au profit des communautés locales et/ou peuples autochtones riverains contenues: (1) dans le plan de relance dans le cadre d'une conversion; ou (2) dans la proposition technique dans le cas d'une adjudication définies dans le cahier des charges. Maison NBK Service s'engage à mettre en œuvre un plan socio-économique, y compris les infrastructures socio-économiques et services sociaux, pour la période du plan d'aménagement.</t>
  </si>
  <si>
    <r>
      <rPr>
        <sz val="12"/>
        <rFont val="Calibri"/>
        <family val="2"/>
        <scheme val="minor"/>
      </rPr>
      <t>Le tracé de toute route ou de toute voie d'accès ou d'évacuation à partir du territoire de la concession doit être soumis à une consultation avec les communautés locales et/ou peuples autochtones riverains durant la préparation du plan d'aménagement.</t>
    </r>
    <r>
      <rPr>
        <sz val="12"/>
        <color rgb="FFFF0000"/>
        <rFont val="Calibri"/>
        <family val="2"/>
        <charset val="134"/>
        <scheme val="minor"/>
      </rPr>
      <t xml:space="preserve"> </t>
    </r>
    <r>
      <rPr>
        <sz val="12"/>
        <rFont val="Calibri"/>
        <family val="2"/>
        <scheme val="minor"/>
      </rPr>
      <t>La préparation du plan de gestion et du plan d'aménagement de la concession donne lieu à une diffusion de toute documentation appropriée auprès des communautés locales et/ou des peuples autochtones riverains et à une consultation régulière avec eux sur les questions intéressant la concession et leurs droits. L'administration peut assister aux séances de consultations. Le plan de gestion indique le calendrier et les modalités de consultation avec les communautés locales et/ou peuples autochtones sur le contenu et les modalités de réalisation du plan socio-économique y compris les infrastructures en leur faveur pour la durée de la concession. Pendant la période de préparation du plan d'aménagement, Maison NBK Service doit consulter les communautés locales et/ou peuples autochtones riverains sur le plan socio-économique et les infrastructures qui feront l'objet du cahier des charges définitif qui sera annexé au plan d'aménagement.</t>
    </r>
  </si>
  <si>
    <t>Art. 29</t>
  </si>
  <si>
    <t>10 (middle)</t>
  </si>
  <si>
    <t>Maison NBK Service bénéficie d'une servitude de passage sur les fonds riverains, destinée à favoriser l'accès à sa concession et l'évacuation de sa production. Il exerce cette servitude uniquement dans les limites de ce qui est strictement nécessaire à son droit de passage</t>
  </si>
  <si>
    <t>Maison NBK Service  s'engage à préparer et à soumettre pour approbation à l'administration chargée des forêts, dans une période maximum de 4 ans, le plan d'aménagement  conformément à la législation et à la réglementation en vigueur. Ce plan doit comprendre l'ensemble des obligations de Maison NBK Service  en vue de s'assurer une gestion durable de la forêt concédée. Dans l'intervalle qui sépare la signature du présent contrat et l'approbation du plan, Maison NBK Service ne peut exploiter la forêt concédée qu’en conformité avec un plan de gestion. Le plan de gestion, qui doit être approuvé en même temps que le contrat de concession et constitue l'ensemble des engagements de Maison NBK Service  avant l'approbation du plan d'aménagement, indique la description des activités de protection de l'environnement et de la conservation de la biodiversité et notamment les mesures de réduction, d'atténuation et de compensation de tout impact négatif des activités du concessionnaire sur l'environnement.</t>
  </si>
  <si>
    <t>5 (top)</t>
  </si>
  <si>
    <t>A la fin de la concession, un bilan de clôture des comptes est dressé par Maison NBK Service dans un délai maximum de 6 mois à compter de la date d'expiration du présent contrat de concession</t>
  </si>
  <si>
    <t>Maison NBK Service s'engage à préparer et à soumettre pour approbation à l'administration chargée des forêts, dans une période maximum de 4 ans, le plan d'aménagement. Dans l'intervalle qui sépare la signature du contrat de l'approbation du plan d'aménagement, Maison NBK Serviceexploite la forêt concédée en conformité avec un plan de gestion. Le plan de gestion constitue l'ensemble des engagements de Maison NBK Service avant l'approbation du plan d'aménagement.</t>
  </si>
  <si>
    <t>Maison NBK Service doit réaliser les investissements, y compris l'acquisition des équipements prévus, la remise en état ou la modernisation de l'outil de transformation, ainsi que le recrutement du personnel nécessaire et autres activités prévues dans la proposition du plan de relance, dans le cas d' une concession ou dans la proposition technique dans le cas d'une adjudication, et écrits dans le cahier des charges</t>
  </si>
  <si>
    <t>Art. 9(5)</t>
  </si>
</sst>
</file>

<file path=xl/styles.xml><?xml version="1.0" encoding="utf-8"?>
<styleSheet xmlns="http://schemas.openxmlformats.org/spreadsheetml/2006/main" xmlns:mc="http://schemas.openxmlformats.org/markup-compatibility/2006" xmlns:x14ac="http://schemas.microsoft.com/office/spreadsheetml/2009/9/ac" mc:Ignorable="x14ac">
  <fonts count="24">
    <font>
      <sz val="12"/>
      <color theme="1"/>
      <name val="Calibri"/>
      <family val="2"/>
      <scheme val="minor"/>
    </font>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scheme val="minor"/>
    </font>
    <font>
      <sz val="12"/>
      <name val="Calibri"/>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scheme val="minor"/>
    </font>
    <font>
      <b/>
      <sz val="18"/>
      <color theme="1"/>
      <name val="Calibri"/>
      <scheme val="minor"/>
    </font>
    <font>
      <b/>
      <sz val="22"/>
      <color theme="1"/>
      <name val="Calibri"/>
      <scheme val="minor"/>
    </font>
    <font>
      <sz val="20"/>
      <color theme="1"/>
      <name val="Calibri"/>
      <scheme val="minor"/>
    </font>
    <font>
      <b/>
      <sz val="12"/>
      <color rgb="FFFF0000"/>
      <name val="Calibri"/>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scheme val="minor"/>
    </font>
    <font>
      <sz val="12"/>
      <name val="Calibri (Body)"/>
    </font>
    <font>
      <b/>
      <sz val="11"/>
      <name val="Calibri (Body)"/>
    </font>
    <font>
      <b/>
      <sz val="12"/>
      <color theme="1"/>
      <name val="Calibri"/>
      <family val="2"/>
      <scheme val="minor"/>
    </font>
    <font>
      <sz val="12"/>
      <color rgb="FFFF0000"/>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
      <patternFill patternType="solid">
        <fgColor rgb="FFFFFFFF"/>
        <bgColor rgb="FF000000"/>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277">
    <xf numFmtId="0" fontId="0" fillId="0" borderId="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223">
    <xf numFmtId="0" fontId="0" fillId="0" borderId="0" xfId="0"/>
    <xf numFmtId="0" fontId="0" fillId="0" borderId="0" xfId="0" applyAlignment="1">
      <alignment wrapText="1"/>
    </xf>
    <xf numFmtId="49" fontId="3" fillId="0" borderId="0" xfId="0" applyNumberFormat="1" applyFont="1"/>
    <xf numFmtId="49" fontId="3" fillId="0" borderId="0" xfId="0" applyNumberFormat="1" applyFont="1" applyAlignment="1">
      <alignment wrapText="1"/>
    </xf>
    <xf numFmtId="0" fontId="0" fillId="2" borderId="3" xfId="0" applyFill="1" applyBorder="1"/>
    <xf numFmtId="49" fontId="3" fillId="0" borderId="4" xfId="0" applyNumberFormat="1" applyFont="1" applyBorder="1" applyAlignment="1">
      <alignment wrapText="1"/>
    </xf>
    <xf numFmtId="0" fontId="5" fillId="3" borderId="5" xfId="0" applyFont="1" applyFill="1" applyBorder="1" applyAlignment="1">
      <alignment horizontal="left" wrapText="1"/>
    </xf>
    <xf numFmtId="0" fontId="5" fillId="3" borderId="6" xfId="0" applyFont="1" applyFill="1" applyBorder="1" applyAlignment="1">
      <alignment horizontal="left" wrapText="1"/>
    </xf>
    <xf numFmtId="0" fontId="5" fillId="3" borderId="7" xfId="0" applyFont="1" applyFill="1" applyBorder="1" applyAlignment="1">
      <alignment horizontal="left" wrapText="1"/>
    </xf>
    <xf numFmtId="0" fontId="0" fillId="2" borderId="8" xfId="0" applyFill="1" applyBorder="1" applyAlignment="1"/>
    <xf numFmtId="0" fontId="6" fillId="2" borderId="9" xfId="0" applyFont="1" applyFill="1" applyBorder="1" applyAlignment="1">
      <alignment wrapText="1"/>
    </xf>
    <xf numFmtId="0" fontId="6" fillId="2" borderId="5" xfId="0" applyFont="1" applyFill="1" applyBorder="1"/>
    <xf numFmtId="0" fontId="6" fillId="2" borderId="7" xfId="0" applyFont="1" applyFill="1" applyBorder="1"/>
    <xf numFmtId="0" fontId="6" fillId="2" borderId="8" xfId="0" applyFont="1" applyFill="1" applyBorder="1" applyAlignment="1">
      <alignment wrapText="1"/>
    </xf>
    <xf numFmtId="0" fontId="3" fillId="2" borderId="0" xfId="0" applyFont="1" applyFill="1" applyAlignment="1">
      <alignment wrapText="1"/>
    </xf>
    <xf numFmtId="0" fontId="3" fillId="2" borderId="0" xfId="0" applyFont="1" applyFill="1"/>
    <xf numFmtId="0" fontId="3" fillId="2" borderId="3" xfId="0" applyFont="1" applyFill="1" applyBorder="1"/>
    <xf numFmtId="0" fontId="3" fillId="2" borderId="4" xfId="0" applyFont="1" applyFill="1" applyBorder="1" applyAlignment="1">
      <alignment wrapText="1"/>
    </xf>
    <xf numFmtId="0" fontId="3" fillId="3" borderId="6" xfId="0" applyFont="1" applyFill="1" applyBorder="1" applyAlignment="1">
      <alignment horizontal="left" wrapText="1"/>
    </xf>
    <xf numFmtId="0" fontId="3" fillId="3" borderId="7" xfId="0" applyFont="1" applyFill="1" applyBorder="1" applyAlignment="1">
      <alignment horizontal="left" wrapText="1"/>
    </xf>
    <xf numFmtId="0" fontId="3" fillId="3" borderId="10" xfId="0" applyFont="1" applyFill="1" applyBorder="1" applyAlignment="1">
      <alignment horizontal="left" wrapText="1"/>
    </xf>
    <xf numFmtId="0" fontId="3" fillId="3" borderId="5" xfId="0" applyFont="1" applyFill="1" applyBorder="1" applyAlignment="1">
      <alignment horizontal="left" wrapText="1"/>
    </xf>
    <xf numFmtId="0" fontId="6" fillId="2" borderId="5" xfId="0" applyFont="1" applyFill="1" applyBorder="1" applyAlignment="1">
      <alignment wrapText="1"/>
    </xf>
    <xf numFmtId="0" fontId="6" fillId="2" borderId="7" xfId="0" applyFont="1" applyFill="1" applyBorder="1" applyAlignment="1">
      <alignment wrapText="1"/>
    </xf>
    <xf numFmtId="0" fontId="3" fillId="2" borderId="9" xfId="0" applyFont="1" applyFill="1" applyBorder="1" applyAlignment="1"/>
    <xf numFmtId="0" fontId="3" fillId="2" borderId="8" xfId="0" applyFont="1" applyFill="1" applyBorder="1" applyAlignment="1"/>
    <xf numFmtId="0" fontId="3" fillId="3" borderId="9" xfId="0" applyFont="1" applyFill="1" applyBorder="1" applyAlignment="1">
      <alignment horizontal="left" wrapText="1"/>
    </xf>
    <xf numFmtId="0" fontId="6" fillId="2" borderId="9" xfId="0" applyFont="1" applyFill="1" applyBorder="1" applyAlignment="1">
      <alignment horizontal="left" wrapText="1"/>
    </xf>
    <xf numFmtId="0" fontId="6" fillId="2" borderId="9" xfId="0" applyFont="1" applyFill="1" applyBorder="1" applyAlignment="1">
      <alignment horizontal="left"/>
    </xf>
    <xf numFmtId="0" fontId="6" fillId="2" borderId="5" xfId="0" applyFont="1" applyFill="1" applyBorder="1" applyAlignment="1">
      <alignment horizontal="left"/>
    </xf>
    <xf numFmtId="0" fontId="6" fillId="2" borderId="7" xfId="0" applyFont="1" applyFill="1" applyBorder="1" applyAlignment="1">
      <alignment horizontal="left"/>
    </xf>
    <xf numFmtId="0" fontId="6" fillId="2" borderId="8" xfId="0" applyFont="1" applyFill="1" applyBorder="1" applyAlignment="1">
      <alignment horizontal="left" wrapText="1"/>
    </xf>
    <xf numFmtId="0" fontId="6" fillId="2" borderId="8" xfId="0" applyFont="1" applyFill="1" applyBorder="1"/>
    <xf numFmtId="0" fontId="6" fillId="2" borderId="0" xfId="0" applyFont="1" applyFill="1" applyAlignment="1">
      <alignment wrapText="1"/>
    </xf>
    <xf numFmtId="0" fontId="5" fillId="2" borderId="9" xfId="0" applyFont="1" applyFill="1" applyBorder="1" applyAlignment="1">
      <alignment wrapText="1"/>
    </xf>
    <xf numFmtId="0" fontId="3" fillId="2" borderId="8" xfId="0" applyFont="1" applyFill="1" applyBorder="1"/>
    <xf numFmtId="0" fontId="6" fillId="2" borderId="9" xfId="0" applyFont="1" applyFill="1" applyBorder="1" applyAlignment="1"/>
    <xf numFmtId="0" fontId="3" fillId="2" borderId="5" xfId="0" applyFont="1" applyFill="1" applyBorder="1" applyAlignment="1">
      <alignment horizontal="left" wrapText="1"/>
    </xf>
    <xf numFmtId="0" fontId="3" fillId="2" borderId="9" xfId="0" applyFont="1" applyFill="1" applyBorder="1" applyAlignment="1">
      <alignment wrapText="1"/>
    </xf>
    <xf numFmtId="0" fontId="6" fillId="2" borderId="0" xfId="0" applyFont="1" applyFill="1" applyAlignment="1"/>
    <xf numFmtId="0" fontId="5" fillId="2" borderId="5" xfId="0" applyFont="1" applyFill="1" applyBorder="1" applyAlignment="1">
      <alignment horizontal="left" wrapText="1"/>
    </xf>
    <xf numFmtId="0" fontId="6" fillId="2" borderId="0" xfId="0" applyFont="1" applyFill="1"/>
    <xf numFmtId="0" fontId="6" fillId="2" borderId="3" xfId="0" applyFont="1" applyFill="1" applyBorder="1"/>
    <xf numFmtId="0" fontId="6" fillId="2" borderId="4" xfId="0" applyFont="1" applyFill="1" applyBorder="1" applyAlignment="1">
      <alignment wrapText="1"/>
    </xf>
    <xf numFmtId="0" fontId="8" fillId="2" borderId="0" xfId="0" applyFont="1" applyFill="1" applyAlignment="1"/>
    <xf numFmtId="0" fontId="3" fillId="3" borderId="11" xfId="0" applyFont="1" applyFill="1" applyBorder="1" applyAlignment="1">
      <alignment horizontal="left" wrapText="1"/>
    </xf>
    <xf numFmtId="0" fontId="3" fillId="3" borderId="8" xfId="0" applyFont="1" applyFill="1" applyBorder="1" applyAlignment="1">
      <alignment horizontal="left" wrapText="1"/>
    </xf>
    <xf numFmtId="0" fontId="0" fillId="0" borderId="3" xfId="0" applyBorder="1"/>
    <xf numFmtId="0" fontId="0" fillId="0" borderId="4" xfId="0" applyBorder="1"/>
    <xf numFmtId="0" fontId="4" fillId="0" borderId="0" xfId="0" applyFont="1"/>
    <xf numFmtId="0" fontId="0" fillId="0" borderId="0" xfId="0" applyFont="1"/>
    <xf numFmtId="0" fontId="6" fillId="2" borderId="4" xfId="0" applyNumberFormat="1" applyFont="1" applyFill="1" applyBorder="1" applyAlignment="1">
      <alignment wrapText="1"/>
    </xf>
    <xf numFmtId="0" fontId="6" fillId="2" borderId="3" xfId="0" applyFont="1" applyFill="1" applyBorder="1" applyAlignment="1">
      <alignment horizontal="left"/>
    </xf>
    <xf numFmtId="0" fontId="6" fillId="2" borderId="4" xfId="0" applyNumberFormat="1" applyFont="1" applyFill="1" applyBorder="1" applyAlignment="1">
      <alignment horizontal="left" wrapText="1"/>
    </xf>
    <xf numFmtId="0" fontId="6" fillId="2" borderId="0" xfId="0" applyFont="1" applyFill="1" applyBorder="1" applyAlignment="1">
      <alignment horizontal="left"/>
    </xf>
    <xf numFmtId="0" fontId="6" fillId="2" borderId="5" xfId="0" applyFont="1" applyFill="1" applyBorder="1" applyAlignment="1">
      <alignment horizontal="left" wrapText="1"/>
    </xf>
    <xf numFmtId="0" fontId="11" fillId="0" borderId="9" xfId="0" applyFont="1" applyFill="1" applyBorder="1" applyAlignment="1">
      <alignment wrapText="1"/>
    </xf>
    <xf numFmtId="0" fontId="11" fillId="0" borderId="5" xfId="0" applyFont="1" applyFill="1" applyBorder="1" applyAlignment="1">
      <alignment wrapText="1"/>
    </xf>
    <xf numFmtId="0" fontId="11" fillId="0" borderId="3" xfId="0" applyFont="1" applyFill="1" applyBorder="1" applyAlignment="1">
      <alignment wrapText="1"/>
    </xf>
    <xf numFmtId="0" fontId="11" fillId="0" borderId="4" xfId="0" applyNumberFormat="1" applyFont="1" applyFill="1" applyBorder="1" applyAlignment="1">
      <alignment wrapText="1"/>
    </xf>
    <xf numFmtId="0" fontId="6"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6" fillId="2" borderId="6" xfId="0" applyFont="1" applyFill="1" applyBorder="1" applyAlignment="1">
      <alignment horizontal="left" wrapText="1"/>
    </xf>
    <xf numFmtId="0" fontId="6" fillId="2" borderId="6" xfId="0" applyFont="1" applyFill="1" applyBorder="1" applyAlignment="1">
      <alignment wrapText="1"/>
    </xf>
    <xf numFmtId="0" fontId="6" fillId="2" borderId="3" xfId="0" applyFont="1" applyFill="1" applyBorder="1" applyAlignment="1">
      <alignment horizontal="left" wrapText="1"/>
    </xf>
    <xf numFmtId="0" fontId="3" fillId="4" borderId="9" xfId="0" applyFont="1" applyFill="1" applyBorder="1" applyAlignment="1">
      <alignment wrapText="1"/>
    </xf>
    <xf numFmtId="0" fontId="3" fillId="4" borderId="5" xfId="0" applyFont="1" applyFill="1" applyBorder="1"/>
    <xf numFmtId="0" fontId="3" fillId="4" borderId="7" xfId="0" applyFont="1" applyFill="1" applyBorder="1"/>
    <xf numFmtId="0" fontId="3" fillId="4" borderId="8" xfId="0" applyFont="1" applyFill="1" applyBorder="1" applyAlignment="1">
      <alignment wrapText="1"/>
    </xf>
    <xf numFmtId="0" fontId="0" fillId="4" borderId="9" xfId="0" applyFont="1" applyFill="1" applyBorder="1" applyAlignment="1">
      <alignment wrapText="1"/>
    </xf>
    <xf numFmtId="0" fontId="7" fillId="4" borderId="9" xfId="0" applyFont="1" applyFill="1" applyBorder="1" applyAlignment="1">
      <alignment wrapText="1"/>
    </xf>
    <xf numFmtId="0" fontId="3" fillId="4" borderId="5" xfId="0" applyFont="1" applyFill="1" applyBorder="1" applyAlignment="1">
      <alignment wrapText="1"/>
    </xf>
    <xf numFmtId="0" fontId="3" fillId="4" borderId="7" xfId="0" applyFont="1" applyFill="1" applyBorder="1" applyAlignment="1">
      <alignment wrapText="1"/>
    </xf>
    <xf numFmtId="0" fontId="3" fillId="4" borderId="9" xfId="0" applyFont="1" applyFill="1" applyBorder="1" applyAlignment="1"/>
    <xf numFmtId="0" fontId="8" fillId="4" borderId="9" xfId="0" applyFont="1" applyFill="1" applyBorder="1" applyAlignment="1">
      <alignment wrapText="1"/>
    </xf>
    <xf numFmtId="0" fontId="8" fillId="4" borderId="5" xfId="0" applyFont="1" applyFill="1" applyBorder="1" applyAlignment="1">
      <alignment wrapText="1"/>
    </xf>
    <xf numFmtId="0" fontId="8" fillId="4" borderId="7" xfId="0" applyFont="1" applyFill="1" applyBorder="1" applyAlignment="1">
      <alignment wrapText="1"/>
    </xf>
    <xf numFmtId="0" fontId="8" fillId="4" borderId="8" xfId="0" applyFont="1" applyFill="1" applyBorder="1" applyAlignment="1">
      <alignment wrapText="1"/>
    </xf>
    <xf numFmtId="0" fontId="8" fillId="4" borderId="3" xfId="0" applyFont="1" applyFill="1" applyBorder="1" applyAlignment="1">
      <alignment wrapText="1"/>
    </xf>
    <xf numFmtId="0" fontId="8" fillId="4" borderId="4" xfId="0" applyNumberFormat="1" applyFont="1" applyFill="1" applyBorder="1" applyAlignment="1">
      <alignment wrapText="1"/>
    </xf>
    <xf numFmtId="0" fontId="8" fillId="4" borderId="0" xfId="0" applyFont="1" applyFill="1" applyBorder="1" applyAlignment="1">
      <alignment wrapText="1"/>
    </xf>
    <xf numFmtId="0" fontId="5" fillId="5" borderId="9" xfId="0" applyFont="1" applyFill="1" applyBorder="1" applyAlignment="1">
      <alignment horizontal="left" wrapText="1"/>
    </xf>
    <xf numFmtId="0" fontId="5" fillId="4" borderId="9" xfId="0" applyFont="1" applyFill="1" applyBorder="1" applyAlignment="1">
      <alignment horizontal="left"/>
    </xf>
    <xf numFmtId="0" fontId="5" fillId="4" borderId="9" xfId="0" applyFont="1" applyFill="1" applyBorder="1" applyAlignment="1">
      <alignment horizontal="left" wrapText="1"/>
    </xf>
    <xf numFmtId="0" fontId="3" fillId="4" borderId="5" xfId="0" applyFont="1" applyFill="1" applyBorder="1" applyAlignment="1">
      <alignment horizontal="left"/>
    </xf>
    <xf numFmtId="0" fontId="3" fillId="4" borderId="7" xfId="0" applyFont="1" applyFill="1" applyBorder="1" applyAlignment="1">
      <alignment horizontal="left"/>
    </xf>
    <xf numFmtId="0" fontId="3" fillId="4" borderId="8" xfId="0" applyFont="1" applyFill="1" applyBorder="1" applyAlignment="1">
      <alignment horizontal="left" wrapText="1"/>
    </xf>
    <xf numFmtId="0" fontId="8" fillId="4" borderId="9" xfId="0" applyFont="1" applyFill="1" applyBorder="1" applyAlignment="1">
      <alignment horizontal="left" wrapText="1"/>
    </xf>
    <xf numFmtId="0" fontId="8" fillId="4" borderId="5" xfId="0" applyFont="1" applyFill="1" applyBorder="1" applyAlignment="1">
      <alignment horizontal="left"/>
    </xf>
    <xf numFmtId="0" fontId="8" fillId="4" borderId="7" xfId="0" applyFont="1" applyFill="1" applyBorder="1" applyAlignment="1">
      <alignment horizontal="left"/>
    </xf>
    <xf numFmtId="0" fontId="8" fillId="4" borderId="8" xfId="0" applyFont="1" applyFill="1" applyBorder="1" applyAlignment="1">
      <alignment horizontal="left" wrapText="1"/>
    </xf>
    <xf numFmtId="0" fontId="5" fillId="4" borderId="9" xfId="0" applyFont="1" applyFill="1" applyBorder="1" applyAlignment="1">
      <alignment wrapText="1"/>
    </xf>
    <xf numFmtId="0" fontId="8" fillId="4" borderId="0" xfId="0" applyFont="1" applyFill="1" applyBorder="1" applyAlignment="1">
      <alignment horizontal="left" wrapText="1"/>
    </xf>
    <xf numFmtId="0" fontId="8" fillId="4" borderId="5" xfId="0" applyFont="1" applyFill="1" applyBorder="1" applyAlignment="1">
      <alignment horizontal="left" wrapText="1"/>
    </xf>
    <xf numFmtId="0" fontId="8" fillId="4" borderId="0" xfId="0" applyFont="1" applyFill="1" applyBorder="1" applyAlignment="1">
      <alignment horizontal="left"/>
    </xf>
    <xf numFmtId="0" fontId="8" fillId="4" borderId="3" xfId="0" applyFont="1" applyFill="1" applyBorder="1" applyAlignment="1">
      <alignment horizontal="left"/>
    </xf>
    <xf numFmtId="0" fontId="8" fillId="4" borderId="4" xfId="0" applyNumberFormat="1" applyFont="1" applyFill="1" applyBorder="1" applyAlignment="1">
      <alignment horizontal="left" wrapText="1"/>
    </xf>
    <xf numFmtId="0" fontId="5" fillId="4" borderId="9" xfId="0" applyFont="1" applyFill="1" applyBorder="1" applyAlignment="1"/>
    <xf numFmtId="0" fontId="8" fillId="4" borderId="9" xfId="0" applyFont="1" applyFill="1" applyBorder="1" applyAlignment="1"/>
    <xf numFmtId="0" fontId="6" fillId="4" borderId="0" xfId="0" applyFont="1" applyFill="1"/>
    <xf numFmtId="0" fontId="6" fillId="4" borderId="3" xfId="0" applyFont="1" applyFill="1" applyBorder="1"/>
    <xf numFmtId="0" fontId="6" fillId="4" borderId="4" xfId="0" applyNumberFormat="1" applyFont="1" applyFill="1" applyBorder="1" applyAlignment="1">
      <alignment wrapText="1"/>
    </xf>
    <xf numFmtId="0" fontId="5" fillId="6" borderId="9" xfId="0" applyFont="1" applyFill="1" applyBorder="1" applyAlignment="1">
      <alignment horizontal="left" wrapText="1"/>
    </xf>
    <xf numFmtId="0" fontId="8" fillId="7" borderId="9" xfId="0" applyFont="1" applyFill="1" applyBorder="1" applyAlignment="1">
      <alignment horizontal="left" wrapText="1"/>
    </xf>
    <xf numFmtId="0" fontId="8" fillId="7" borderId="5" xfId="0" applyFont="1" applyFill="1" applyBorder="1" applyAlignment="1">
      <alignment horizontal="left"/>
    </xf>
    <xf numFmtId="0" fontId="8" fillId="7" borderId="7" xfId="0" applyFont="1" applyFill="1" applyBorder="1" applyAlignment="1">
      <alignment horizontal="left"/>
    </xf>
    <xf numFmtId="0" fontId="8" fillId="7" borderId="8" xfId="0" applyFont="1" applyFill="1" applyBorder="1" applyAlignment="1">
      <alignment horizontal="left" wrapText="1"/>
    </xf>
    <xf numFmtId="0" fontId="6" fillId="2" borderId="3" xfId="0" applyFont="1" applyFill="1" applyBorder="1" applyAlignment="1">
      <alignment wrapText="1"/>
    </xf>
    <xf numFmtId="0" fontId="0" fillId="4" borderId="9" xfId="0" applyFill="1" applyBorder="1" applyAlignment="1">
      <alignment wrapText="1"/>
    </xf>
    <xf numFmtId="0" fontId="8" fillId="8" borderId="0" xfId="0" applyFont="1" applyFill="1" applyAlignment="1"/>
    <xf numFmtId="0" fontId="8" fillId="8" borderId="0" xfId="0" applyFont="1" applyFill="1" applyAlignment="1">
      <alignment wrapText="1"/>
    </xf>
    <xf numFmtId="0" fontId="8" fillId="8" borderId="5" xfId="0" applyFont="1" applyFill="1" applyBorder="1"/>
    <xf numFmtId="0" fontId="8" fillId="8" borderId="7" xfId="0" applyFont="1" applyFill="1" applyBorder="1"/>
    <xf numFmtId="0" fontId="8" fillId="8" borderId="8" xfId="0" applyFont="1" applyFill="1" applyBorder="1" applyAlignment="1">
      <alignment wrapText="1"/>
    </xf>
    <xf numFmtId="0" fontId="16" fillId="2" borderId="0" xfId="0" applyFont="1" applyFill="1" applyBorder="1" applyAlignment="1">
      <alignment horizontal="left" wrapText="1"/>
    </xf>
    <xf numFmtId="0" fontId="16" fillId="2" borderId="0" xfId="0" applyFont="1" applyFill="1" applyBorder="1" applyAlignment="1">
      <alignment wrapText="1"/>
    </xf>
    <xf numFmtId="0" fontId="16" fillId="2" borderId="0" xfId="0" applyFont="1" applyFill="1" applyBorder="1" applyAlignment="1">
      <alignment horizontal="left"/>
    </xf>
    <xf numFmtId="0" fontId="16" fillId="2" borderId="3" xfId="0" applyFont="1" applyFill="1" applyBorder="1" applyAlignment="1">
      <alignment horizontal="left"/>
    </xf>
    <xf numFmtId="0" fontId="16" fillId="2" borderId="4" xfId="0" applyNumberFormat="1" applyFont="1" applyFill="1" applyBorder="1" applyAlignment="1">
      <alignment horizontal="left" wrapText="1"/>
    </xf>
    <xf numFmtId="0" fontId="16" fillId="9" borderId="9" xfId="0" applyFont="1" applyFill="1" applyBorder="1" applyAlignment="1">
      <alignment horizontal="left" wrapText="1"/>
    </xf>
    <xf numFmtId="0" fontId="16" fillId="2" borderId="9" xfId="0" applyFont="1" applyFill="1" applyBorder="1" applyAlignment="1">
      <alignment wrapText="1"/>
    </xf>
    <xf numFmtId="0" fontId="16" fillId="2" borderId="5" xfId="0" applyFont="1" applyFill="1" applyBorder="1" applyAlignment="1">
      <alignment wrapText="1"/>
    </xf>
    <xf numFmtId="0" fontId="16" fillId="2" borderId="3" xfId="0" applyFont="1" applyFill="1" applyBorder="1" applyAlignment="1">
      <alignment wrapText="1"/>
    </xf>
    <xf numFmtId="0" fontId="16" fillId="2" borderId="4" xfId="0" applyNumberFormat="1" applyFont="1" applyFill="1" applyBorder="1" applyAlignment="1">
      <alignment wrapText="1"/>
    </xf>
    <xf numFmtId="0" fontId="16" fillId="2" borderId="9" xfId="0" applyFont="1" applyFill="1" applyBorder="1" applyAlignment="1">
      <alignment horizontal="left" wrapText="1"/>
    </xf>
    <xf numFmtId="0" fontId="16" fillId="2" borderId="5" xfId="0" applyFont="1" applyFill="1" applyBorder="1" applyAlignment="1">
      <alignment horizontal="left"/>
    </xf>
    <xf numFmtId="0" fontId="16" fillId="2" borderId="7" xfId="0" applyFont="1" applyFill="1" applyBorder="1" applyAlignment="1">
      <alignment horizontal="left"/>
    </xf>
    <xf numFmtId="0" fontId="16" fillId="2" borderId="8" xfId="0" applyFont="1" applyFill="1" applyBorder="1" applyAlignment="1">
      <alignment horizontal="left" wrapText="1"/>
    </xf>
    <xf numFmtId="0" fontId="8" fillId="10" borderId="9" xfId="0" applyFont="1" applyFill="1" applyBorder="1" applyAlignment="1">
      <alignment wrapText="1"/>
    </xf>
    <xf numFmtId="0" fontId="8" fillId="10" borderId="5" xfId="0" applyFont="1" applyFill="1" applyBorder="1" applyAlignment="1">
      <alignment wrapText="1"/>
    </xf>
    <xf numFmtId="0" fontId="8" fillId="10" borderId="3" xfId="0" applyFont="1" applyFill="1" applyBorder="1" applyAlignment="1">
      <alignment wrapText="1"/>
    </xf>
    <xf numFmtId="0" fontId="8" fillId="10" borderId="4" xfId="0" applyNumberFormat="1" applyFont="1" applyFill="1" applyBorder="1" applyAlignment="1">
      <alignment wrapText="1"/>
    </xf>
    <xf numFmtId="0" fontId="8" fillId="10" borderId="0" xfId="0" applyFont="1" applyFill="1" applyBorder="1" applyAlignment="1">
      <alignment horizontal="left" wrapText="1"/>
    </xf>
    <xf numFmtId="0" fontId="8" fillId="10" borderId="5" xfId="0" applyFont="1" applyFill="1" applyBorder="1" applyAlignment="1">
      <alignment horizontal="left" wrapText="1"/>
    </xf>
    <xf numFmtId="0" fontId="8" fillId="10" borderId="0" xfId="0" applyFont="1" applyFill="1" applyBorder="1" applyAlignment="1">
      <alignment horizontal="left"/>
    </xf>
    <xf numFmtId="0" fontId="8" fillId="10" borderId="3" xfId="0" applyFont="1" applyFill="1" applyBorder="1" applyAlignment="1">
      <alignment horizontal="left"/>
    </xf>
    <xf numFmtId="0" fontId="8" fillId="10" borderId="4" xfId="0" applyNumberFormat="1" applyFont="1" applyFill="1" applyBorder="1" applyAlignment="1">
      <alignment horizontal="left" wrapText="1"/>
    </xf>
    <xf numFmtId="0" fontId="16" fillId="2" borderId="5" xfId="0" applyFont="1" applyFill="1" applyBorder="1"/>
    <xf numFmtId="0" fontId="16" fillId="2" borderId="7" xfId="0" applyFont="1" applyFill="1" applyBorder="1"/>
    <xf numFmtId="0" fontId="16" fillId="2" borderId="8" xfId="0" applyFont="1" applyFill="1" applyBorder="1" applyAlignment="1">
      <alignment wrapText="1"/>
    </xf>
    <xf numFmtId="0" fontId="8" fillId="11" borderId="9" xfId="0" applyFont="1" applyFill="1" applyBorder="1" applyAlignment="1">
      <alignment horizontal="left" wrapText="1"/>
    </xf>
    <xf numFmtId="0" fontId="8" fillId="12" borderId="0" xfId="0" applyFont="1" applyFill="1" applyBorder="1" applyAlignment="1">
      <alignment wrapText="1"/>
    </xf>
    <xf numFmtId="0" fontId="8" fillId="12" borderId="9" xfId="0" applyFont="1" applyFill="1" applyBorder="1" applyAlignment="1">
      <alignment wrapText="1"/>
    </xf>
    <xf numFmtId="0" fontId="8" fillId="12" borderId="5" xfId="0" applyFont="1" applyFill="1" applyBorder="1" applyAlignment="1">
      <alignment wrapText="1"/>
    </xf>
    <xf numFmtId="0" fontId="8" fillId="12" borderId="3" xfId="0" applyFont="1" applyFill="1" applyBorder="1" applyAlignment="1">
      <alignment wrapText="1"/>
    </xf>
    <xf numFmtId="0" fontId="8"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5" fillId="3" borderId="6" xfId="0" applyFont="1" applyFill="1" applyBorder="1" applyAlignment="1">
      <alignment horizontal="left" wrapText="1"/>
    </xf>
    <xf numFmtId="0" fontId="2" fillId="4" borderId="9" xfId="0" applyFont="1" applyFill="1" applyBorder="1" applyAlignment="1">
      <alignment wrapText="1"/>
    </xf>
    <xf numFmtId="0" fontId="2" fillId="2" borderId="0" xfId="0" applyFont="1" applyFill="1" applyAlignment="1">
      <alignment wrapText="1"/>
    </xf>
    <xf numFmtId="0" fontId="2" fillId="3" borderId="6" xfId="0" applyFont="1" applyFill="1" applyBorder="1" applyAlignment="1">
      <alignment horizontal="left" wrapText="1"/>
    </xf>
    <xf numFmtId="0" fontId="18" fillId="4" borderId="9" xfId="0" applyFont="1" applyFill="1" applyBorder="1" applyAlignment="1">
      <alignment wrapText="1"/>
    </xf>
    <xf numFmtId="0" fontId="15" fillId="12" borderId="9" xfId="0" applyFont="1" applyFill="1" applyBorder="1" applyAlignment="1">
      <alignment wrapText="1"/>
    </xf>
    <xf numFmtId="0" fontId="2" fillId="4" borderId="9" xfId="0" applyFont="1" applyFill="1" applyBorder="1" applyAlignment="1">
      <alignment horizontal="left" wrapText="1"/>
    </xf>
    <xf numFmtId="0" fontId="8" fillId="4" borderId="0" xfId="0" applyFont="1" applyFill="1" applyAlignment="1">
      <alignment wrapText="1"/>
    </xf>
    <xf numFmtId="0" fontId="2" fillId="3" borderId="5" xfId="0" applyFont="1" applyFill="1" applyBorder="1" applyAlignment="1">
      <alignment horizontal="left" wrapText="1"/>
    </xf>
    <xf numFmtId="0" fontId="5" fillId="3" borderId="6" xfId="0" applyFont="1" applyFill="1" applyBorder="1" applyAlignment="1">
      <alignment horizontal="left" vertical="top" wrapText="1"/>
    </xf>
    <xf numFmtId="0" fontId="8" fillId="4" borderId="9" xfId="0" applyFont="1" applyFill="1" applyBorder="1" applyAlignment="1">
      <alignment vertical="top" wrapText="1"/>
    </xf>
    <xf numFmtId="0" fontId="15" fillId="2" borderId="9" xfId="0" applyFont="1" applyFill="1" applyBorder="1" applyAlignment="1">
      <alignment vertical="top" wrapText="1"/>
    </xf>
    <xf numFmtId="0" fontId="2" fillId="2" borderId="9" xfId="0" applyFont="1" applyFill="1" applyBorder="1" applyAlignment="1">
      <alignment wrapText="1"/>
    </xf>
    <xf numFmtId="0" fontId="6" fillId="2" borderId="0" xfId="0" applyFont="1" applyFill="1" applyBorder="1" applyAlignment="1">
      <alignment horizontal="left" wrapText="1"/>
    </xf>
    <xf numFmtId="0" fontId="15" fillId="13" borderId="0" xfId="0" applyFont="1" applyFill="1" applyAlignment="1">
      <alignment wrapText="1"/>
    </xf>
    <xf numFmtId="0" fontId="19" fillId="2" borderId="9" xfId="0" applyFont="1" applyFill="1" applyBorder="1" applyAlignment="1">
      <alignment wrapText="1"/>
    </xf>
    <xf numFmtId="0" fontId="0" fillId="2" borderId="0" xfId="0" applyFont="1" applyFill="1" applyAlignment="1">
      <alignment wrapText="1"/>
    </xf>
    <xf numFmtId="0" fontId="8" fillId="2" borderId="0" xfId="0" applyFont="1" applyFill="1" applyAlignment="1">
      <alignment wrapText="1"/>
    </xf>
    <xf numFmtId="0" fontId="8" fillId="4" borderId="9" xfId="0" applyFont="1" applyFill="1" applyBorder="1" applyAlignment="1">
      <alignment horizontal="left" vertical="top" wrapText="1"/>
    </xf>
    <xf numFmtId="0" fontId="8" fillId="5" borderId="12" xfId="0" applyFont="1" applyFill="1" applyBorder="1" applyAlignment="1">
      <alignment wrapText="1"/>
    </xf>
    <xf numFmtId="0" fontId="0" fillId="4" borderId="5" xfId="0" applyFont="1" applyFill="1" applyBorder="1"/>
    <xf numFmtId="0" fontId="3"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5" fillId="0" borderId="0" xfId="0" applyFont="1" applyAlignment="1">
      <alignment wrapText="1"/>
    </xf>
    <xf numFmtId="0" fontId="7" fillId="0" borderId="0" xfId="0" applyFont="1" applyFill="1" applyBorder="1" applyAlignment="1">
      <alignment wrapText="1"/>
    </xf>
    <xf numFmtId="0" fontId="20" fillId="0" borderId="0" xfId="0" applyFont="1" applyFill="1" applyBorder="1" applyAlignment="1"/>
    <xf numFmtId="0" fontId="20" fillId="0" borderId="0" xfId="0" applyFont="1" applyFill="1" applyBorder="1" applyAlignment="1">
      <alignment wrapText="1"/>
    </xf>
    <xf numFmtId="0" fontId="21" fillId="0" borderId="0" xfId="0" applyFont="1"/>
    <xf numFmtId="0" fontId="20" fillId="0" borderId="0" xfId="0" applyFont="1"/>
    <xf numFmtId="0" fontId="20" fillId="0" borderId="0" xfId="0" applyFont="1" applyAlignment="1">
      <alignment wrapText="1"/>
    </xf>
    <xf numFmtId="0" fontId="5" fillId="0" borderId="0" xfId="0" applyFont="1"/>
    <xf numFmtId="0" fontId="0" fillId="0" borderId="0" xfId="0" applyFill="1" applyAlignment="1">
      <alignment wrapText="1"/>
    </xf>
    <xf numFmtId="0" fontId="13" fillId="0" borderId="0" xfId="0" applyFont="1" applyAlignment="1"/>
    <xf numFmtId="0" fontId="22" fillId="0" borderId="0" xfId="0" applyFont="1"/>
    <xf numFmtId="0" fontId="18" fillId="4" borderId="9" xfId="0" applyFont="1" applyFill="1" applyBorder="1" applyAlignment="1">
      <alignment vertical="top" wrapText="1"/>
    </xf>
    <xf numFmtId="0" fontId="18" fillId="2" borderId="9" xfId="0" applyFont="1" applyFill="1" applyBorder="1" applyAlignment="1">
      <alignment wrapText="1"/>
    </xf>
    <xf numFmtId="0" fontId="18" fillId="2" borderId="0" xfId="0" applyFont="1" applyFill="1" applyBorder="1" applyAlignment="1">
      <alignment wrapText="1"/>
    </xf>
    <xf numFmtId="0" fontId="18" fillId="2" borderId="0" xfId="0" applyFont="1" applyFill="1" applyBorder="1" applyAlignment="1">
      <alignment vertical="top" wrapText="1"/>
    </xf>
    <xf numFmtId="0" fontId="6" fillId="14" borderId="12" xfId="0" applyFont="1" applyFill="1" applyBorder="1" applyAlignment="1">
      <alignment wrapText="1"/>
    </xf>
    <xf numFmtId="0" fontId="1" fillId="4" borderId="9" xfId="0" applyFont="1" applyFill="1" applyBorder="1" applyAlignment="1">
      <alignment wrapText="1"/>
    </xf>
    <xf numFmtId="0" fontId="18" fillId="2" borderId="0" xfId="0" applyFont="1" applyFill="1" applyBorder="1" applyAlignment="1">
      <alignment horizontal="left" wrapText="1"/>
    </xf>
    <xf numFmtId="0" fontId="18" fillId="2" borderId="9" xfId="0" applyFont="1" applyFill="1" applyBorder="1" applyAlignment="1">
      <alignment vertical="top" wrapText="1"/>
    </xf>
    <xf numFmtId="0" fontId="18" fillId="2" borderId="9" xfId="0" applyFont="1" applyFill="1" applyBorder="1" applyAlignment="1">
      <alignment horizontal="left" vertical="top" wrapText="1"/>
    </xf>
    <xf numFmtId="0" fontId="18" fillId="4" borderId="9" xfId="0" applyFont="1" applyFill="1" applyBorder="1" applyAlignment="1">
      <alignment horizontal="left" vertical="top" wrapText="1"/>
    </xf>
    <xf numFmtId="0" fontId="8" fillId="8" borderId="9" xfId="0" applyFont="1" applyFill="1" applyBorder="1" applyAlignment="1">
      <alignment wrapText="1"/>
    </xf>
    <xf numFmtId="0" fontId="8" fillId="4" borderId="9" xfId="0" applyFont="1" applyFill="1" applyBorder="1" applyAlignment="1">
      <alignment horizontal="left" vertical="center" wrapText="1"/>
    </xf>
    <xf numFmtId="0" fontId="18" fillId="2" borderId="0" xfId="0" applyFont="1" applyFill="1" applyAlignment="1">
      <alignment vertical="top" wrapText="1"/>
    </xf>
    <xf numFmtId="0" fontId="18" fillId="3" borderId="6" xfId="0" applyFont="1" applyFill="1" applyBorder="1" applyAlignment="1">
      <alignment horizontal="left" vertical="top" wrapText="1"/>
    </xf>
    <xf numFmtId="0" fontId="18" fillId="0" borderId="9" xfId="0" applyFont="1" applyFill="1" applyBorder="1" applyAlignment="1">
      <alignment vertical="top" wrapText="1"/>
    </xf>
    <xf numFmtId="0" fontId="18" fillId="10" borderId="9" xfId="0" applyFont="1" applyFill="1" applyBorder="1" applyAlignment="1">
      <alignment vertical="top" wrapText="1"/>
    </xf>
    <xf numFmtId="0" fontId="18" fillId="4" borderId="0" xfId="0" applyFont="1" applyFill="1" applyBorder="1" applyAlignment="1">
      <alignment vertical="top" wrapText="1"/>
    </xf>
    <xf numFmtId="0" fontId="18" fillId="12" borderId="0" xfId="0" applyFont="1" applyFill="1" applyBorder="1" applyAlignment="1">
      <alignment vertical="top" wrapText="1"/>
    </xf>
    <xf numFmtId="0" fontId="18" fillId="4" borderId="9" xfId="0" applyFont="1" applyFill="1" applyBorder="1" applyAlignment="1">
      <alignment horizontal="left" wrapText="1"/>
    </xf>
    <xf numFmtId="0" fontId="18" fillId="7" borderId="9" xfId="0" applyFont="1" applyFill="1" applyBorder="1" applyAlignment="1">
      <alignment horizontal="left" vertical="top" wrapText="1"/>
    </xf>
    <xf numFmtId="9" fontId="18" fillId="2" borderId="9" xfId="0" applyNumberFormat="1" applyFont="1" applyFill="1" applyBorder="1" applyAlignment="1">
      <alignment horizontal="left" vertical="top" wrapText="1"/>
    </xf>
    <xf numFmtId="0" fontId="18" fillId="2" borderId="6" xfId="0" applyFont="1" applyFill="1" applyBorder="1" applyAlignment="1">
      <alignment vertical="top" wrapText="1"/>
    </xf>
    <xf numFmtId="0" fontId="18" fillId="2" borderId="0" xfId="0" applyFont="1" applyFill="1" applyAlignment="1">
      <alignment horizontal="left" vertical="top" wrapText="1"/>
    </xf>
    <xf numFmtId="0" fontId="18" fillId="4" borderId="0" xfId="0" applyFont="1" applyFill="1" applyAlignment="1">
      <alignment vertical="top" wrapText="1"/>
    </xf>
    <xf numFmtId="0" fontId="18" fillId="3" borderId="5" xfId="0" applyFont="1" applyFill="1" applyBorder="1" applyAlignment="1">
      <alignment horizontal="left" vertical="top" wrapText="1"/>
    </xf>
    <xf numFmtId="14" fontId="8" fillId="4" borderId="9" xfId="0" applyNumberFormat="1" applyFont="1" applyFill="1" applyBorder="1" applyAlignment="1">
      <alignment vertical="top" wrapText="1"/>
    </xf>
    <xf numFmtId="0" fontId="8" fillId="4" borderId="9" xfId="0" applyFont="1" applyFill="1" applyBorder="1" applyAlignment="1">
      <alignment vertical="center" wrapText="1"/>
    </xf>
    <xf numFmtId="0" fontId="5" fillId="5" borderId="9" xfId="0" applyFont="1" applyFill="1" applyBorder="1" applyAlignment="1">
      <alignment wrapText="1"/>
    </xf>
    <xf numFmtId="0" fontId="23" fillId="4" borderId="9" xfId="0" applyFont="1" applyFill="1" applyBorder="1" applyAlignment="1">
      <alignment wrapText="1"/>
    </xf>
    <xf numFmtId="0" fontId="8" fillId="2" borderId="9" xfId="0" applyFont="1" applyFill="1" applyBorder="1" applyAlignment="1">
      <alignment horizontal="left" vertical="top" wrapText="1"/>
    </xf>
    <xf numFmtId="0" fontId="8" fillId="2" borderId="9" xfId="0" applyFont="1" applyFill="1" applyBorder="1" applyAlignment="1">
      <alignment horizontal="left" wrapText="1"/>
    </xf>
    <xf numFmtId="0" fontId="12" fillId="0" borderId="0" xfId="0" applyFont="1" applyAlignment="1">
      <alignment horizontal="center" wrapText="1"/>
    </xf>
    <xf numFmtId="0" fontId="4" fillId="2" borderId="1" xfId="0" applyFont="1" applyFill="1" applyBorder="1" applyAlignment="1">
      <alignment horizontal="center"/>
    </xf>
    <xf numFmtId="0" fontId="4" fillId="2" borderId="2" xfId="0" applyFont="1" applyFill="1" applyBorder="1" applyAlignment="1">
      <alignment horizontal="center"/>
    </xf>
    <xf numFmtId="17" fontId="14" fillId="0" borderId="0" xfId="0" applyNumberFormat="1" applyFont="1" applyAlignment="1">
      <alignment horizontal="right" wrapText="1"/>
    </xf>
    <xf numFmtId="0" fontId="14" fillId="0" borderId="0" xfId="0" applyFont="1" applyAlignment="1">
      <alignment horizontal="right" wrapText="1"/>
    </xf>
    <xf numFmtId="0" fontId="0" fillId="0" borderId="0" xfId="0" applyAlignment="1">
      <alignment horizontal="center"/>
    </xf>
    <xf numFmtId="0" fontId="8" fillId="2" borderId="6" xfId="0" applyFont="1" applyFill="1" applyBorder="1" applyAlignment="1">
      <alignment vertical="top" wrapText="1"/>
    </xf>
  </cellXfs>
  <cellStyles count="27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2</xdr:col>
      <xdr:colOff>1514174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1980196</xdr:colOff>
      <xdr:row>1</xdr:row>
      <xdr:rowOff>240653</xdr:rowOff>
    </xdr:from>
    <xdr:to>
      <xdr:col>2</xdr:col>
      <xdr:colOff>5094482</xdr:colOff>
      <xdr:row>5</xdr:row>
      <xdr:rowOff>91515</xdr:rowOff>
    </xdr:to>
    <xdr:pic>
      <xdr:nvPicPr>
        <xdr:cNvPr id="7" name="Picture 6"/>
        <xdr:cNvPicPr>
          <a:picLocks noChangeAspect="1"/>
        </xdr:cNvPicPr>
      </xdr:nvPicPr>
      <xdr:blipFill>
        <a:blip xmlns:r="http://schemas.openxmlformats.org/officeDocument/2006/relationships" r:embed="rId3"/>
        <a:stretch>
          <a:fillRect/>
        </a:stretch>
      </xdr:blipFill>
      <xdr:spPr>
        <a:xfrm>
          <a:off x="7940729" y="435386"/>
          <a:ext cx="3114286" cy="816062"/>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abSelected="1" topLeftCell="B26" zoomScaleNormal="100" zoomScalePageLayoutView="125" workbookViewId="0">
      <selection activeCell="C50" sqref="C50"/>
    </sheetView>
  </sheetViews>
  <sheetFormatPr defaultColWidth="8.625" defaultRowHeight="15.75"/>
  <cols>
    <col min="1" max="1" width="52.5" style="1" customWidth="1"/>
    <col min="2" max="2" width="25.625" style="1" customWidth="1"/>
    <col min="3" max="3" width="68.5" style="1" customWidth="1"/>
    <col min="4" max="4" width="13.5" style="1" customWidth="1"/>
    <col min="6" max="6" width="19.875" customWidth="1"/>
    <col min="7" max="7" width="31.125" style="47" customWidth="1"/>
    <col min="8" max="8" width="17.375" style="48" customWidth="1"/>
  </cols>
  <sheetData>
    <row r="2" spans="1:8" ht="30" customHeight="1"/>
    <row r="10" spans="1:8" ht="27.95" customHeight="1">
      <c r="A10" s="183" t="s">
        <v>839</v>
      </c>
      <c r="B10" s="183"/>
      <c r="C10" s="182"/>
    </row>
    <row r="12" spans="1:8" ht="26.25">
      <c r="C12" s="219">
        <v>42125</v>
      </c>
      <c r="D12" s="220"/>
    </row>
    <row r="16" spans="1:8" ht="30" customHeight="1">
      <c r="B16" s="216" t="s">
        <v>894</v>
      </c>
      <c r="C16" s="216"/>
      <c r="G16" s="217" t="s">
        <v>0</v>
      </c>
      <c r="H16" s="218"/>
    </row>
    <row r="17" spans="1:8" ht="31.5">
      <c r="A17" s="2" t="s">
        <v>1</v>
      </c>
      <c r="B17" s="2" t="s">
        <v>2</v>
      </c>
      <c r="C17" s="173" t="s">
        <v>243</v>
      </c>
      <c r="D17" s="3" t="s">
        <v>3</v>
      </c>
      <c r="E17" s="173" t="s">
        <v>244</v>
      </c>
      <c r="F17" s="2" t="s">
        <v>4</v>
      </c>
      <c r="G17" s="4" t="s">
        <v>5</v>
      </c>
      <c r="H17" s="5" t="s">
        <v>6</v>
      </c>
    </row>
    <row r="18" spans="1:8" ht="31.5">
      <c r="A18" s="6" t="s">
        <v>7</v>
      </c>
      <c r="B18" s="7" t="s">
        <v>8</v>
      </c>
      <c r="C18" s="159"/>
      <c r="D18" s="150"/>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0.95" customHeight="1">
      <c r="A19" s="66" t="s">
        <v>9</v>
      </c>
      <c r="B19" s="66" t="s">
        <v>10</v>
      </c>
      <c r="C19" s="212" t="s">
        <v>895</v>
      </c>
      <c r="D19" s="70"/>
      <c r="E19" s="70"/>
      <c r="F19" s="67"/>
      <c r="G19" s="68" t="str">
        <f>IF(OR(Table1[[#This Row],[English]]&lt;&gt;"",Table1[[#This Row],[Français]]&lt;&gt;""),Table1[[#This Row],[Français]]&amp;"//"&amp;Table1[[#This Row],[English]],"")</f>
        <v>Pays//Country</v>
      </c>
      <c r="H19" s="69" t="str">
        <f t="shared" si="0"/>
        <v>Congo, the Democratic Republic of the</v>
      </c>
    </row>
    <row r="20" spans="1:8" ht="31.5">
      <c r="A20" s="66" t="s">
        <v>11</v>
      </c>
      <c r="B20" s="70" t="s">
        <v>12</v>
      </c>
      <c r="C20" s="75" t="s">
        <v>863</v>
      </c>
      <c r="D20" s="75" t="s">
        <v>841</v>
      </c>
      <c r="E20" s="75" t="s">
        <v>842</v>
      </c>
      <c r="F20" s="67"/>
      <c r="G20" s="68" t="str">
        <f>IF(OR(Table1[[#This Row],[English]]&lt;&gt;"",Table1[[#This Row],[Français]]&lt;&gt;""),Table1[[#This Row],[Français]]&amp;"//"&amp;Table1[[#This Row],[English]],"")</f>
        <v>Nom de la société locale//Local company name</v>
      </c>
      <c r="H20" s="69" t="str">
        <f t="shared" si="0"/>
        <v>Maison NBK Service--Préambule</v>
      </c>
    </row>
    <row r="21" spans="1:8">
      <c r="A21" s="70" t="s">
        <v>241</v>
      </c>
      <c r="B21" s="70" t="s">
        <v>242</v>
      </c>
      <c r="C21" s="185"/>
      <c r="D21" s="154"/>
      <c r="E21" s="154"/>
      <c r="F21" s="170"/>
      <c r="G21" s="16" t="str">
        <f>IF(OR(Table1[[#This Row],[English]]&lt;&gt;"",Table1[[#This Row],[Français]]&lt;&gt;""),Table1[[#This Row],[Français]]&amp;"//"&amp;Table1[[#This Row],[English]],"")</f>
        <v>Numéro d'entreprise légal//Legal Enterprise Identifier</v>
      </c>
      <c r="H21" s="171" t="str">
        <f>IF(C21&lt;&gt;"",IF(D21&lt;&gt;"",C21&amp;"--"&amp;D21,C21),"")</f>
        <v/>
      </c>
    </row>
    <row r="22" spans="1:8" ht="141.75">
      <c r="A22" s="10" t="s">
        <v>13</v>
      </c>
      <c r="B22" s="10" t="s">
        <v>14</v>
      </c>
      <c r="C22" s="10" t="s">
        <v>868</v>
      </c>
      <c r="D22" s="10" t="s">
        <v>841</v>
      </c>
      <c r="E22" s="10" t="s">
        <v>842</v>
      </c>
      <c r="F22" s="11"/>
      <c r="G22" s="12" t="str">
        <f>IF(OR(Table1[[#This Row],[English]]&lt;&gt;"",Table1[[#This Row],[Français]]&lt;&gt;""),Table1[[#This Row],[Français]]&amp;"//"&amp;Table1[[#This Row],[English]],"")</f>
        <v xml:space="preserve">Siège social //Corporate headquarters </v>
      </c>
      <c r="H22" s="13" t="str">
        <f t="shared" si="0"/>
        <v>N° 4, Avenue du Port, 2e étage Immeuble NIOKI, Commune de la Gombe, Ville de Kinshasa, en République Démocratique du Congo--Préambule</v>
      </c>
    </row>
    <row r="23" spans="1:8">
      <c r="A23" s="10" t="s">
        <v>15</v>
      </c>
      <c r="B23" s="10" t="s">
        <v>16</v>
      </c>
      <c r="C23" s="192"/>
      <c r="D23" s="10"/>
      <c r="E23" s="10"/>
      <c r="F23" s="11"/>
      <c r="G23" s="12" t="str">
        <f>IF(OR(Table1[[#This Row],[English]]&lt;&gt;"",Table1[[#This Row],[Français]]&lt;&gt;""),Table1[[#This Row],[Français]]&amp;"//"&amp;Table1[[#This Row],[English]],"")</f>
        <v>Structure du Capital//Company structure</v>
      </c>
      <c r="H23" s="13" t="str">
        <f t="shared" si="0"/>
        <v/>
      </c>
    </row>
    <row r="24" spans="1:8" ht="33.75" customHeight="1">
      <c r="A24" s="66" t="s">
        <v>17</v>
      </c>
      <c r="B24" s="70" t="s">
        <v>193</v>
      </c>
      <c r="C24" s="185"/>
      <c r="D24" s="70"/>
      <c r="E24" s="70"/>
      <c r="F24" s="67"/>
      <c r="G24" s="68"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69" t="str">
        <f t="shared" si="0"/>
        <v/>
      </c>
    </row>
    <row r="25" spans="1:8">
      <c r="A25" s="70" t="s">
        <v>241</v>
      </c>
      <c r="B25" s="70" t="s">
        <v>242</v>
      </c>
      <c r="C25" s="185"/>
      <c r="D25" s="70"/>
      <c r="E25" s="70"/>
      <c r="F25" s="170"/>
      <c r="G25" s="16" t="str">
        <f>IF(OR(Table1[[#This Row],[English]]&lt;&gt;"",Table1[[#This Row],[Français]]&lt;&gt;""),Table1[[#This Row],[Français]]&amp;"//"&amp;Table1[[#This Row],[English]],"")</f>
        <v>Numéro d'entreprise légal//Legal Enterprise Identifier</v>
      </c>
      <c r="H25" s="171" t="str">
        <f>IF(C25&lt;&gt;"",IF(D25&lt;&gt;"",C25&amp;"--"&amp;D25,C25),"")</f>
        <v/>
      </c>
    </row>
    <row r="26" spans="1:8">
      <c r="A26" s="66" t="s">
        <v>18</v>
      </c>
      <c r="B26" s="66" t="s">
        <v>19</v>
      </c>
      <c r="C26" s="185"/>
      <c r="D26" s="151"/>
      <c r="E26" s="151"/>
      <c r="F26" s="67"/>
      <c r="G26" s="68" t="str">
        <f>IF(OR(Table1[[#This Row],[English]]&lt;&gt;"",Table1[[#This Row],[Français]]&lt;&gt;""),Table1[[#This Row],[Français]]&amp;"//"&amp;Table1[[#This Row],[English]],"")</f>
        <v>Site web de l’entreprise//Company website</v>
      </c>
      <c r="H26" s="69" t="str">
        <f t="shared" si="0"/>
        <v/>
      </c>
    </row>
    <row r="27" spans="1:8" ht="78.75">
      <c r="A27" s="70" t="s">
        <v>204</v>
      </c>
      <c r="B27" s="71" t="s">
        <v>20</v>
      </c>
      <c r="C27" s="160" t="s">
        <v>770</v>
      </c>
      <c r="D27" s="75" t="s">
        <v>841</v>
      </c>
      <c r="E27" s="75" t="s">
        <v>843</v>
      </c>
      <c r="F27" s="67"/>
      <c r="G27" s="68"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69" t="str">
        <f t="shared" si="0"/>
        <v>Contrat de Concession Forestière--Préambule</v>
      </c>
    </row>
    <row r="28" spans="1:8">
      <c r="A28" s="66" t="s">
        <v>21</v>
      </c>
      <c r="B28" s="66" t="s">
        <v>22</v>
      </c>
      <c r="C28" s="185"/>
      <c r="D28" s="151"/>
      <c r="E28" s="151"/>
      <c r="F28" s="67"/>
      <c r="G28" s="68" t="str">
        <f>IF(OR(Table1[[#This Row],[English]]&lt;&gt;"",Table1[[#This Row],[Français]]&lt;&gt;""),Table1[[#This Row],[Français]]&amp;"//"&amp;Table1[[#This Row],[English]],"")</f>
        <v>Nom du projet//Project title</v>
      </c>
      <c r="H28" s="69" t="str">
        <f t="shared" si="0"/>
        <v/>
      </c>
    </row>
    <row r="29" spans="1:8" ht="31.5">
      <c r="A29" s="70" t="s">
        <v>201</v>
      </c>
      <c r="B29" s="71" t="s">
        <v>23</v>
      </c>
      <c r="C29" s="185"/>
      <c r="D29" s="70"/>
      <c r="E29" s="70"/>
      <c r="F29" s="67"/>
      <c r="G29" s="68" t="str">
        <f>IF(OR(Table1[[#This Row],[English]]&lt;&gt;"",Table1[[#This Row],[Français]]&lt;&gt;""),Table1[[#This Row],[Français]]&amp;"//"&amp;Table1[[#This Row],[English]],"")</f>
        <v>Nom du gisement/ champ de pétrole/ gas//Name and/or number of field, block or deposit</v>
      </c>
      <c r="H29" s="69" t="str">
        <f t="shared" si="0"/>
        <v/>
      </c>
    </row>
    <row r="30" spans="1:8" ht="54.95" customHeight="1">
      <c r="A30" s="75" t="s">
        <v>206</v>
      </c>
      <c r="B30" s="109" t="s">
        <v>205</v>
      </c>
      <c r="C30" s="75" t="s">
        <v>869</v>
      </c>
      <c r="D30" s="75" t="s">
        <v>844</v>
      </c>
      <c r="E30" s="75" t="s">
        <v>870</v>
      </c>
      <c r="F30" s="67"/>
      <c r="G30" s="68"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69" t="str">
        <f t="shared" si="0"/>
        <v>Secteur: Baboma Nord, territoire: Mushie, district: Plateaux, province: Bandundu.  La délimitation physique se décrit dans l'article 2(II).--Art. 2</v>
      </c>
    </row>
    <row r="31" spans="1:8">
      <c r="A31" s="66" t="s">
        <v>24</v>
      </c>
      <c r="B31" s="66" t="s">
        <v>25</v>
      </c>
      <c r="C31" s="185"/>
      <c r="D31" s="151"/>
      <c r="E31" s="151"/>
      <c r="F31" s="67"/>
      <c r="G31" s="68" t="str">
        <f>IF(OR(Table1[[#This Row],[English]]&lt;&gt;"",Table1[[#This Row],[Français]]&lt;&gt;""),Table1[[#This Row],[Français]]&amp;"//"&amp;Table1[[#This Row],[English]],"")</f>
        <v>Lieu-dit habité le plus proche//Closest community</v>
      </c>
      <c r="H31" s="69" t="str">
        <f t="shared" si="0"/>
        <v/>
      </c>
    </row>
    <row r="32" spans="1:8" ht="54" customHeight="1">
      <c r="A32" s="66" t="s">
        <v>26</v>
      </c>
      <c r="B32" s="66" t="s">
        <v>27</v>
      </c>
      <c r="C32" s="185"/>
      <c r="D32" s="70"/>
      <c r="E32" s="70"/>
      <c r="F32" s="67"/>
      <c r="G32" s="68" t="str">
        <f>IF(OR(Table1[[#This Row],[English]]&lt;&gt;"",Table1[[#This Row],[Français]]&lt;&gt;""),Table1[[#This Row],[Français]]&amp;"//"&amp;Table1[[#This Row],[English]],"")</f>
        <v>Date d'octroi du permis d'exploitation ou concession//Date of issue of title/permit</v>
      </c>
      <c r="H32" s="69" t="str">
        <f t="shared" si="0"/>
        <v/>
      </c>
    </row>
    <row r="33" spans="1:8" ht="45" customHeight="1">
      <c r="A33" s="66" t="s">
        <v>28</v>
      </c>
      <c r="B33" s="66" t="s">
        <v>29</v>
      </c>
      <c r="C33" s="185" t="str">
        <f>IF(C32&lt;&gt;"",YEAR(C32),"")</f>
        <v/>
      </c>
      <c r="D33" s="70"/>
      <c r="E33" s="70"/>
      <c r="F33" s="67"/>
      <c r="G33" s="68" t="str">
        <f>IF(OR(Table1[[#This Row],[English]]&lt;&gt;"",Table1[[#This Row],[Français]]&lt;&gt;""),Table1[[#This Row],[Français]]&amp;"//"&amp;Table1[[#This Row],[English]],"")</f>
        <v>Année d'octroi du permis d'exploitation ou concession//Year of issue of title/permit</v>
      </c>
      <c r="H33" s="69" t="str">
        <f t="shared" si="0"/>
        <v/>
      </c>
    </row>
    <row r="34" spans="1:8">
      <c r="A34" s="10" t="s">
        <v>30</v>
      </c>
      <c r="B34" s="10" t="s">
        <v>31</v>
      </c>
      <c r="C34" s="192"/>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92"/>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92"/>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97"/>
      <c r="D37" s="152"/>
      <c r="E37" s="152"/>
      <c r="F37" s="15"/>
      <c r="G37" s="16" t="str">
        <f>IF(OR(Table1[[#This Row],[English]]&lt;&gt;"",Table1[[#This Row],[Français]]&lt;&gt;""),Table1[[#This Row],[Français]]&amp;"//"&amp;Table1[[#This Row],[English]],"")</f>
        <v/>
      </c>
      <c r="H37" s="17" t="str">
        <f t="shared" si="0"/>
        <v/>
      </c>
    </row>
    <row r="38" spans="1:8" ht="31.5">
      <c r="A38" s="172" t="s">
        <v>36</v>
      </c>
      <c r="B38" s="172" t="s">
        <v>37</v>
      </c>
      <c r="C38" s="198"/>
      <c r="D38" s="153"/>
      <c r="E38" s="153"/>
      <c r="F38" s="18"/>
      <c r="G38" s="19" t="str">
        <f>IF(OR(Table1[[#This Row],[English]]&lt;&gt;"",Table1[[#This Row],[Français]]&lt;&gt;""),Table1[[#This Row],[Français]]&amp;"//"&amp;Table1[[#This Row],[English]],"")</f>
        <v>II. Résumé des dispositions du contrat//II. Summary of terms</v>
      </c>
      <c r="H38" s="20" t="str">
        <f t="shared" si="0"/>
        <v/>
      </c>
    </row>
    <row r="39" spans="1:8" ht="31.5">
      <c r="A39" s="21" t="s">
        <v>38</v>
      </c>
      <c r="B39" s="18" t="s">
        <v>39</v>
      </c>
      <c r="C39" s="198"/>
      <c r="D39" s="153"/>
      <c r="E39" s="153"/>
      <c r="F39" s="18"/>
      <c r="G39" s="19" t="str">
        <f>IF(OR(Table1[[#This Row],[English]]&lt;&gt;"",Table1[[#This Row],[Français]]&lt;&gt;""),Table1[[#This Row],[Français]]&amp;"//"&amp;Table1[[#This Row],[English]],"")</f>
        <v>1. Dispositions du base//1. Fundamental provisions</v>
      </c>
      <c r="H39" s="20" t="str">
        <f t="shared" si="0"/>
        <v/>
      </c>
    </row>
    <row r="40" spans="1:8" ht="94.5">
      <c r="A40" s="66" t="s">
        <v>40</v>
      </c>
      <c r="B40" s="66" t="s">
        <v>41</v>
      </c>
      <c r="C40" s="75" t="s">
        <v>863</v>
      </c>
      <c r="D40" s="75" t="s">
        <v>841</v>
      </c>
      <c r="E40" s="75" t="s">
        <v>842</v>
      </c>
      <c r="F40" s="72"/>
      <c r="G40" s="73"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69" t="str">
        <f t="shared" si="0"/>
        <v>Maison NBK Service--Préambule</v>
      </c>
    </row>
    <row r="41" spans="1:8">
      <c r="A41" s="70" t="s">
        <v>241</v>
      </c>
      <c r="B41" s="70" t="s">
        <v>242</v>
      </c>
      <c r="C41" s="185"/>
      <c r="D41" s="154"/>
      <c r="E41" s="154"/>
      <c r="F41" s="170"/>
      <c r="G41" s="16" t="str">
        <f>IF(OR(Table1[[#This Row],[English]]&lt;&gt;"",Table1[[#This Row],[Français]]&lt;&gt;""),Table1[[#This Row],[Français]]&amp;"//"&amp;Table1[[#This Row],[English]],"")</f>
        <v>Numéro d'entreprise légal//Legal Enterprise Identifier</v>
      </c>
      <c r="H41" s="171" t="str">
        <f>IF(C41&lt;&gt;"",IF(D41&lt;&gt;"",C41&amp;"--"&amp;D41,C41),"")</f>
        <v/>
      </c>
    </row>
    <row r="42" spans="1:8" ht="63">
      <c r="A42" s="10" t="s">
        <v>42</v>
      </c>
      <c r="B42" s="10" t="s">
        <v>43</v>
      </c>
      <c r="C42" s="10" t="s">
        <v>871</v>
      </c>
      <c r="D42" s="10" t="s">
        <v>846</v>
      </c>
      <c r="E42" s="10" t="s">
        <v>847</v>
      </c>
      <c r="F42" s="22"/>
      <c r="G42" s="23" t="str">
        <f>IF(OR(Table1[[#This Row],[English]]&lt;&gt;"",Table1[[#This Row],[Français]]&lt;&gt;""),Table1[[#This Row],[Français]]&amp;"//"&amp;Table1[[#This Row],[English]],"")</f>
        <v>Signataire(s), société //Signatories, company</v>
      </c>
      <c r="H42" s="13" t="str">
        <f t="shared" si="0"/>
        <v>Victor Ngalamulume, Gérant-Statutaire--Page de signatures</v>
      </c>
    </row>
    <row r="43" spans="1:8" ht="42" customHeight="1">
      <c r="A43" s="66" t="s">
        <v>44</v>
      </c>
      <c r="B43" s="66" t="s">
        <v>45</v>
      </c>
      <c r="C43" s="75" t="s">
        <v>848</v>
      </c>
      <c r="D43" s="75" t="s">
        <v>841</v>
      </c>
      <c r="E43" s="75" t="s">
        <v>842</v>
      </c>
      <c r="F43" s="72"/>
      <c r="G43" s="73" t="str">
        <f>IF(OR(Table1[[#This Row],[English]]&lt;&gt;"",Table1[[#This Row],[Français]]&lt;&gt;""),Table1[[#This Row],[Français]]&amp;"//"&amp;Table1[[#This Row],[English]],"")</f>
        <v>Agence de l'Etat, société nationale, ministère signataire du contrat//State agency, national company, ministry executing the document</v>
      </c>
      <c r="H43" s="69" t="str">
        <f t="shared" si="0"/>
        <v>Le Ministre de l'Environnement, Conservation de la Nature et Tourisme--Préambule</v>
      </c>
    </row>
    <row r="44" spans="1:8" ht="94.5">
      <c r="A44" s="10" t="s">
        <v>46</v>
      </c>
      <c r="B44" s="10" t="s">
        <v>47</v>
      </c>
      <c r="C44" s="10" t="s">
        <v>872</v>
      </c>
      <c r="D44" s="10" t="s">
        <v>846</v>
      </c>
      <c r="E44" s="10" t="s">
        <v>873</v>
      </c>
      <c r="F44" s="22"/>
      <c r="G44" s="23" t="str">
        <f>IF(OR(Table1[[#This Row],[English]]&lt;&gt;"",Table1[[#This Row],[Français]]&lt;&gt;""),Table1[[#This Row],[Français]]&amp;"//"&amp;Table1[[#This Row],[English]],"")</f>
        <v>Signataire(s), Etat//Signatories, State</v>
      </c>
      <c r="H44" s="13" t="str">
        <f t="shared" si="0"/>
        <v>Bavon N'Sa Mputu Elima, Ministre de l'Environnement, Conservation de la Nature et Tourisme--Page de signatures</v>
      </c>
    </row>
    <row r="45" spans="1:8" ht="47.1" customHeight="1">
      <c r="A45" s="66" t="s">
        <v>48</v>
      </c>
      <c r="B45" s="66" t="s">
        <v>49</v>
      </c>
      <c r="C45" s="185"/>
      <c r="D45" s="154"/>
      <c r="E45" s="154"/>
      <c r="F45" s="72"/>
      <c r="G45" s="73" t="str">
        <f>IF(OR(Table1[[#This Row],[English]]&lt;&gt;"",Table1[[#This Row],[Français]]&lt;&gt;""),Table1[[#This Row],[Français]]&amp;"//"&amp;Table1[[#This Row],[English]],"")</f>
        <v>Nom et/ou composition de la société du projet crée ou envisagée//Name and/or composition of the company created or anticipated</v>
      </c>
      <c r="H45" s="69" t="str">
        <f t="shared" si="0"/>
        <v/>
      </c>
    </row>
    <row r="46" spans="1:8" ht="47.25">
      <c r="A46" s="10" t="s">
        <v>178</v>
      </c>
      <c r="B46" s="60" t="s">
        <v>169</v>
      </c>
      <c r="C46" s="199"/>
      <c r="D46" s="56"/>
      <c r="E46" s="56"/>
      <c r="F46" s="57"/>
      <c r="G46" s="58" t="str">
        <f>IF(OR(Table1[[#This Row],[English]]&lt;&gt;"",Table1[[#This Row],[Français]]&lt;&gt;""),Table1[[#This Row],[Français]]&amp;"//"&amp;Table1[[#This Row],[English]],"")</f>
        <v>Nom de la partie tiers (si applicable)//Name of third party to contract (where applicable)</v>
      </c>
      <c r="H46" s="59" t="str">
        <f>IF(C46&lt;&gt;"",IF(D46&lt;&gt;"",C46&amp;"--"&amp;D46,C46),"")</f>
        <v/>
      </c>
    </row>
    <row r="47" spans="1:8" ht="31.5">
      <c r="A47" s="66" t="s">
        <v>50</v>
      </c>
      <c r="B47" s="66" t="s">
        <v>51</v>
      </c>
      <c r="C47" s="210">
        <v>40658</v>
      </c>
      <c r="D47" s="70" t="s">
        <v>846</v>
      </c>
      <c r="E47" s="70" t="s">
        <v>873</v>
      </c>
      <c r="F47" s="72"/>
      <c r="G47" s="73" t="str">
        <f>IF(OR(Table1[[#This Row],[English]]&lt;&gt;"",Table1[[#This Row],[Français]]&lt;&gt;""),Table1[[#This Row],[Français]]&amp;"//"&amp;Table1[[#This Row],[English]],"")</f>
        <v>Date de signature du contrat//Date of contract signature</v>
      </c>
      <c r="H47" s="69" t="str">
        <f t="shared" si="0"/>
        <v>40658--Page de signatures</v>
      </c>
    </row>
    <row r="48" spans="1:8" ht="31.5">
      <c r="A48" s="70" t="s">
        <v>52</v>
      </c>
      <c r="B48" s="66" t="s">
        <v>53</v>
      </c>
      <c r="C48" s="160">
        <f>IF(C47&lt;&gt;"",YEAR(C47),"")</f>
        <v>2011</v>
      </c>
      <c r="D48" s="70" t="s">
        <v>846</v>
      </c>
      <c r="E48" s="70" t="s">
        <v>873</v>
      </c>
      <c r="F48" s="72"/>
      <c r="G48" s="73" t="str">
        <f>IF(OR(Table1[[#This Row],[English]]&lt;&gt;"",Table1[[#This Row],[Français]]&lt;&gt;""),Table1[[#This Row],[Français]]&amp;"//"&amp;Table1[[#This Row],[English]],"")</f>
        <v>Année de signature du contrat//Year of contract signature</v>
      </c>
      <c r="H48" s="69" t="str">
        <f t="shared" si="0"/>
        <v>2011--Page de signatures</v>
      </c>
    </row>
    <row r="49" spans="1:8" ht="78.95" customHeight="1">
      <c r="A49" s="66" t="s">
        <v>54</v>
      </c>
      <c r="B49" s="66" t="s">
        <v>55</v>
      </c>
      <c r="C49" s="75" t="s">
        <v>874</v>
      </c>
      <c r="D49" s="75" t="s">
        <v>849</v>
      </c>
      <c r="E49" s="75" t="s">
        <v>875</v>
      </c>
      <c r="F49" s="72"/>
      <c r="G49" s="73" t="str">
        <f>IF(OR(Table1[[#This Row],[English]]&lt;&gt;"",Table1[[#This Row],[Français]]&lt;&gt;""),Table1[[#This Row],[Français]]&amp;"//"&amp;Table1[[#This Row],[English]],"")</f>
        <v>Durée//Term</v>
      </c>
      <c r="H49" s="69" t="str">
        <f t="shared" si="0"/>
        <v>25 ans renouvelables. Le contrat prend fin le 2039.--Arts. 3, 27</v>
      </c>
    </row>
    <row r="50" spans="1:8" ht="216" customHeight="1">
      <c r="A50" s="10" t="s">
        <v>56</v>
      </c>
      <c r="B50" s="10" t="s">
        <v>57</v>
      </c>
      <c r="C50" s="10" t="s">
        <v>897</v>
      </c>
      <c r="D50" s="10" t="s">
        <v>850</v>
      </c>
      <c r="E50" s="10" t="s">
        <v>876</v>
      </c>
      <c r="F50" s="22"/>
      <c r="G50" s="23" t="str">
        <f>IF(OR(Table1[[#This Row],[English]]&lt;&gt;"",Table1[[#This Row],[Français]]&lt;&gt;""),Table1[[#This Row],[Français]]&amp;"//"&amp;Table1[[#This Row],[English]],"")</f>
        <v xml:space="preserve">Conditions de renouvellement//Conditions for renewal </v>
      </c>
      <c r="H50" s="13" t="str">
        <f t="shared" si="0"/>
        <v>A l'expiration du contrat de concession, ou un an avant la date d'expiration, Maison NBK Service peut demander le renouvellement du contrat dans les conditions déterminées par les règlements en vigueur et à condition que les obligations découlant du contrat et du cahier des charges aient été exécutées. En demandant un renouvellement, Maison NBK Service doit fournir les preuves de mise à jour de son plan d'aménagement et du cahier des charges sur la période de renouvellement. Le Gouvernement peut refuser le renouvellement en cas de violation de l'une des quelconques dispositions du présent contrat et du cahier des charges: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constatés.--Arts. 8, 27</v>
      </c>
    </row>
    <row r="51" spans="1:8" ht="42" customHeight="1">
      <c r="A51" s="70" t="s">
        <v>229</v>
      </c>
      <c r="B51" s="71" t="s">
        <v>177</v>
      </c>
      <c r="C51" s="160" t="s">
        <v>810</v>
      </c>
      <c r="D51" s="71" t="s">
        <v>851</v>
      </c>
      <c r="E51" s="71" t="s">
        <v>877</v>
      </c>
      <c r="F51" s="72"/>
      <c r="G51" s="73"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69" t="str">
        <f t="shared" si="0"/>
        <v>Bois d'œuvre--Art. 5</v>
      </c>
    </row>
    <row r="52" spans="1:8" ht="42" customHeight="1">
      <c r="A52" s="116" t="s">
        <v>218</v>
      </c>
      <c r="B52" s="116" t="s">
        <v>217</v>
      </c>
      <c r="C52" s="10" t="s">
        <v>878</v>
      </c>
      <c r="D52" s="189" t="s">
        <v>844</v>
      </c>
      <c r="E52" s="189" t="s">
        <v>845</v>
      </c>
      <c r="F52" s="116"/>
      <c r="G52" s="123" t="str">
        <f>IF(OR(Table1[[#This Row],[English]]&lt;&gt;"",Table1[[#This Row],[Français]]&lt;&gt;""),Table1[[#This Row],[Français]]&amp;"//"&amp;Table1[[#This Row],[English]],"")</f>
        <v>Superficie de la concession//Size of the concession area</v>
      </c>
      <c r="H52" s="124" t="str">
        <f>IF(C52&lt;&gt;"",IF(D52&lt;&gt;"",C52&amp;"--"&amp;D52,C52),"")</f>
        <v>79.730 hectares--Art. 2</v>
      </c>
    </row>
    <row r="53" spans="1:8">
      <c r="A53" s="14"/>
      <c r="B53" s="14"/>
      <c r="C53" s="197"/>
      <c r="D53" s="152"/>
      <c r="E53" s="152"/>
      <c r="F53" s="15"/>
      <c r="G53" s="16" t="str">
        <f>IF(OR(Table1[[#This Row],[English]]&lt;&gt;"",Table1[[#This Row],[Français]]&lt;&gt;""),Table1[[#This Row],[Français]]&amp;"//"&amp;Table1[[#This Row],[English]],"")</f>
        <v/>
      </c>
      <c r="H53" s="17" t="str">
        <f t="shared" si="0"/>
        <v/>
      </c>
    </row>
    <row r="54" spans="1:8" ht="49.5" customHeight="1">
      <c r="A54" s="61" t="s">
        <v>58</v>
      </c>
      <c r="B54" s="62" t="s">
        <v>192</v>
      </c>
      <c r="C54" s="198"/>
      <c r="D54" s="153"/>
      <c r="E54" s="153"/>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144" customHeight="1">
      <c r="A55" s="74" t="s">
        <v>59</v>
      </c>
      <c r="B55" s="66" t="s">
        <v>60</v>
      </c>
      <c r="C55" s="75" t="s">
        <v>898</v>
      </c>
      <c r="D55" s="190" t="s">
        <v>853</v>
      </c>
      <c r="E55" s="70" t="s">
        <v>879</v>
      </c>
      <c r="F55" s="67"/>
      <c r="G55" s="68" t="str">
        <f>IF(OR(Table1[[#This Row],[English]]&lt;&gt;"",Table1[[#This Row],[Français]]&lt;&gt;""),Table1[[#This Row],[Français]]&amp;"//"&amp;Table1[[#This Row],[English]],"")</f>
        <v>Convention de développement local//Local development agreement</v>
      </c>
      <c r="H55" s="69" t="str">
        <f t="shared" si="0"/>
        <v>Maison NBK Service doit réaliser les infrastructures socio-économiques et des services sociaux au profit des communautés locales et/ou peuples autochtones riverains contenues: (1) dans le plan de relance dans le cadre d'une conversion; ou (2) dans la proposition technique dans le cas d'une adjudication définies dans le cahier des charges. Maison NBK Service s'engage à mettre en œuvre un plan socio-économique, y compris les infrastructures socio-économiques et services sociaux, pour la période du plan d'aménagement.--Arts. 9(4), 17</v>
      </c>
    </row>
    <row r="56" spans="1:8" ht="84.95" customHeight="1">
      <c r="A56" s="10" t="s">
        <v>230</v>
      </c>
      <c r="B56" s="10" t="s">
        <v>61</v>
      </c>
      <c r="C56" s="10" t="s">
        <v>864</v>
      </c>
      <c r="D56" s="10" t="s">
        <v>854</v>
      </c>
      <c r="E56" s="10" t="s">
        <v>852</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Maison NBK Service est tenu de respecter les droits d'usage traditionnels des communautés locales et/ou peuples autochtones riverains de la concession tels que définis aux articles 36, 37 et 44 du code forestier. Il lui est interdit de créer toute entrave à l'exercice par les communautés locales et/ou peuples autochtones riverains des droits d'usage forestiers ainsi reconnus.--Art. 6</v>
      </c>
    </row>
    <row r="57" spans="1:8" ht="258" customHeight="1">
      <c r="A57" s="70" t="s">
        <v>235</v>
      </c>
      <c r="B57" s="66" t="s">
        <v>62</v>
      </c>
      <c r="C57" s="213" t="s">
        <v>899</v>
      </c>
      <c r="D57" s="75" t="s">
        <v>866</v>
      </c>
      <c r="E57" s="75" t="s">
        <v>880</v>
      </c>
      <c r="F57" s="72"/>
      <c r="G57" s="73" t="str">
        <f>IF(OR(Table1[[#This Row],[English]]&lt;&gt;"",Table1[[#This Row],[Français]]&lt;&gt;""),Table1[[#This Row],[Français]]&amp;"//"&amp;Table1[[#This Row],[English]],"")</f>
        <v xml:space="preserve">Consultations communautaires requises//Requirements for community consultation </v>
      </c>
      <c r="H57" s="69" t="str">
        <f t="shared" si="0"/>
        <v>Le tracé de toute route ou de toute voie d'accès ou d'évacuation à partir du territoire de la concession doit être soumis à une consultation avec les communautés locales et/ou peuples autochtones riverains durant la préparation du plan d'aménagement. La préparation du plan de gestion et du plan d'aménagement de la concession donne lieu à une diffusion de toute documentation appropriée auprès des communautés locales et/ou des peuples autochtones riverains et à une consultation régulière avec eux sur les questions intéressant la concession et leurs droits. L'administration peut assister aux séances de consultations. Le plan de gestion indique le calendrier et les modalités de consultation avec les communautés locales et/ou peuples autochtones sur le contenu et les modalités de réalisation du plan socio-économique y compris les infrastructures en leur faveur pour la durée de la concession. Pendant la période de préparation du plan d'aménagement, Maison NBK Service doit consulter les communautés locales et/ou peuples autochtones riverains sur le plan socio-économique et les infrastructures qui feront l'objet du cahier des charges définitif qui sera annexé au plan d'aménagement.--Arts. 7, 10, 10(2), 17</v>
      </c>
    </row>
    <row r="58" spans="1:8" ht="24" customHeight="1">
      <c r="A58" s="10" t="s">
        <v>236</v>
      </c>
      <c r="B58" s="10" t="s">
        <v>63</v>
      </c>
      <c r="C58" s="192"/>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87" customHeight="1">
      <c r="A59" s="70" t="s">
        <v>231</v>
      </c>
      <c r="B59" s="66" t="s">
        <v>64</v>
      </c>
      <c r="C59" s="185"/>
      <c r="D59" s="70"/>
      <c r="E59" s="70"/>
      <c r="F59" s="72"/>
      <c r="G59" s="73" t="str">
        <f>IF(OR(Table1[[#This Row],[English]]&lt;&gt;"",Table1[[#This Row],[Français]]&lt;&gt;""),Table1[[#This Row],[Français]]&amp;"//"&amp;Table1[[#This Row],[English]],"")</f>
        <v>Obligations liées à l'emploi du personnel local//Local employment requirements</v>
      </c>
      <c r="H59" s="69" t="str">
        <f t="shared" si="0"/>
        <v/>
      </c>
    </row>
    <row r="60" spans="1:8" ht="164.1" customHeight="1">
      <c r="A60" s="70" t="s">
        <v>233</v>
      </c>
      <c r="B60" s="66" t="s">
        <v>65</v>
      </c>
      <c r="C60" s="185"/>
      <c r="D60" s="70"/>
      <c r="E60" s="70"/>
      <c r="F60" s="72"/>
      <c r="G60" s="73" t="str">
        <f>IF(OR(Table1[[#This Row],[English]]&lt;&gt;"",Table1[[#This Row],[Français]]&lt;&gt;""),Table1[[#This Row],[Français]]&amp;"//"&amp;Table1[[#This Row],[English]],"")</f>
        <v>Obligations liées a l'approvisionnement en biens et services locaux//Local procurement requirements</v>
      </c>
      <c r="H60" s="69" t="str">
        <f t="shared" si="0"/>
        <v/>
      </c>
    </row>
    <row r="61" spans="1:8">
      <c r="A61" s="10" t="s">
        <v>66</v>
      </c>
      <c r="B61" s="10" t="s">
        <v>67</v>
      </c>
      <c r="C61" s="192"/>
      <c r="D61" s="10"/>
      <c r="E61" s="10"/>
      <c r="F61" s="22"/>
      <c r="G61" s="23" t="str">
        <f>IF(OR(Table1[[#This Row],[English]]&lt;&gt;"",Table1[[#This Row],[Français]]&lt;&gt;""),Table1[[#This Row],[Français]]&amp;"//"&amp;Table1[[#This Row],[English]],"")</f>
        <v>Assurance//Insurance</v>
      </c>
      <c r="H61" s="13" t="str">
        <f t="shared" si="0"/>
        <v/>
      </c>
    </row>
    <row r="62" spans="1:8" ht="20.25" customHeight="1">
      <c r="A62" s="75" t="s">
        <v>207</v>
      </c>
      <c r="B62" s="75" t="s">
        <v>208</v>
      </c>
      <c r="C62" s="185"/>
      <c r="D62" s="75"/>
      <c r="E62" s="75"/>
      <c r="F62" s="76"/>
      <c r="G62" s="77" t="str">
        <f>IF(OR(Table1[[#This Row],[English]]&lt;&gt;"",Table1[[#This Row],[Français]]&lt;&gt;""),Table1[[#This Row],[Français]]&amp;"//"&amp;Table1[[#This Row],[English]],"")</f>
        <v>Réinstallation des habitants//Resettlement</v>
      </c>
      <c r="H62" s="78" t="str">
        <f t="shared" si="0"/>
        <v/>
      </c>
    </row>
    <row r="63" spans="1:8" ht="34.5" customHeight="1">
      <c r="A63" s="129" t="s">
        <v>232</v>
      </c>
      <c r="B63" s="129" t="s">
        <v>223</v>
      </c>
      <c r="C63" s="200"/>
      <c r="D63" s="129"/>
      <c r="E63" s="129"/>
      <c r="F63" s="130"/>
      <c r="G63" s="131"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2" t="str">
        <f t="shared" ref="H63:H66" si="1">IF(C63&lt;&gt;"",IF(D63&lt;&gt;"",C63&amp;"--"&amp;D63,C63),"")</f>
        <v/>
      </c>
    </row>
    <row r="64" spans="1:8" ht="63.95" customHeight="1">
      <c r="A64" s="121" t="s">
        <v>185</v>
      </c>
      <c r="B64" s="10" t="s">
        <v>184</v>
      </c>
      <c r="C64" s="192"/>
      <c r="D64" s="10"/>
      <c r="E64" s="10"/>
      <c r="F64" s="22"/>
      <c r="G64" s="108"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
      </c>
    </row>
    <row r="65" spans="1:8" ht="53.1" customHeight="1">
      <c r="A65" s="82" t="s">
        <v>187</v>
      </c>
      <c r="B65" s="81" t="s">
        <v>186</v>
      </c>
      <c r="C65" s="201"/>
      <c r="D65" s="75"/>
      <c r="E65" s="75"/>
      <c r="F65" s="76"/>
      <c r="G65" s="79" t="str">
        <f>IF(OR(Table1[[#This Row],[English]]&lt;&gt;"",Table1[[#This Row],[Français]]&lt;&gt;""),Table1[[#This Row],[Français]]&amp;"//"&amp;Table1[[#This Row],[English]],"")</f>
        <v>La sécurité physique, la protection de la propriété, et / ou l'utilisation des gardes//Physical security, protection of property, and/or use of guards</v>
      </c>
      <c r="H65" s="80" t="str">
        <f t="shared" si="1"/>
        <v/>
      </c>
    </row>
    <row r="66" spans="1:8" ht="33.950000000000003" customHeight="1">
      <c r="A66" s="141" t="s">
        <v>189</v>
      </c>
      <c r="B66" s="142" t="s">
        <v>190</v>
      </c>
      <c r="C66" s="202"/>
      <c r="D66" s="155"/>
      <c r="E66" s="143"/>
      <c r="F66" s="144"/>
      <c r="G66" s="145" t="str">
        <f>IF(OR(Table1[[#This Row],[English]]&lt;&gt;"",Table1[[#This Row],[Français]]&lt;&gt;""),Table1[[#This Row],[Français]]&amp;"//"&amp;Table1[[#This Row],[English]],"")</f>
        <v>Mécanismes de réclamation pour les parties non contractantes//Grievance mechanisms for non-contractual harms to non-contracting parties</v>
      </c>
      <c r="H66" s="146" t="str">
        <f t="shared" si="1"/>
        <v/>
      </c>
    </row>
    <row r="67" spans="1:8" ht="61.5" customHeight="1">
      <c r="A67" s="120" t="s">
        <v>216</v>
      </c>
      <c r="B67" s="116" t="s">
        <v>215</v>
      </c>
      <c r="C67" s="188"/>
      <c r="D67" s="10"/>
      <c r="E67" s="10"/>
      <c r="F67" s="122"/>
      <c r="G67" s="123"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4" t="str">
        <f>IF(C67&lt;&gt;"",IF(D67&lt;&gt;"",C67&amp;"--"&amp;D67,C67),"")</f>
        <v/>
      </c>
    </row>
    <row r="68" spans="1:8" ht="31.5">
      <c r="A68" s="82" t="s">
        <v>176</v>
      </c>
      <c r="B68" s="81" t="s">
        <v>174</v>
      </c>
      <c r="C68" s="185"/>
      <c r="D68" s="151"/>
      <c r="E68" s="151"/>
      <c r="F68" s="72"/>
      <c r="G68" s="73" t="str">
        <f>IF(OR(Table1[[#This Row],[English]]&lt;&gt;"",Table1[[#This Row],[Français]]&lt;&gt;""),Table1[[#This Row],[Français]]&amp;"//"&amp;Table1[[#This Row],[English]],"")</f>
        <v>Autre - [le nom de catégorie]//Other - [Name of Category]</v>
      </c>
      <c r="H68" s="69" t="str">
        <f t="shared" si="0"/>
        <v/>
      </c>
    </row>
    <row r="69" spans="1:8">
      <c r="A69" s="24"/>
      <c r="B69" s="24"/>
      <c r="C69" s="192"/>
      <c r="D69" s="162"/>
      <c r="E69" s="162"/>
      <c r="F69" s="15"/>
      <c r="G69" s="16" t="str">
        <f>IF(OR(Table1[[#This Row],[English]]&lt;&gt;"",Table1[[#This Row],[Français]]&lt;&gt;""),Table1[[#This Row],[Français]]&amp;"//"&amp;Table1[[#This Row],[English]],"")</f>
        <v/>
      </c>
      <c r="H69" s="25" t="str">
        <f t="shared" si="0"/>
        <v/>
      </c>
    </row>
    <row r="70" spans="1:8" ht="29.1" customHeight="1">
      <c r="A70" s="61" t="s">
        <v>68</v>
      </c>
      <c r="B70" s="26" t="s">
        <v>69</v>
      </c>
      <c r="C70" s="198"/>
      <c r="D70" s="153"/>
      <c r="E70" s="153"/>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69.95" customHeight="1">
      <c r="A71" s="83" t="s">
        <v>70</v>
      </c>
      <c r="B71" s="84" t="s">
        <v>71</v>
      </c>
      <c r="C71" s="203"/>
      <c r="D71" s="147"/>
      <c r="E71" s="147"/>
      <c r="F71" s="85"/>
      <c r="G71" s="86" t="str">
        <f>IF(OR(Table1[[#This Row],[English]]&lt;&gt;"",Table1[[#This Row],[Français]]&lt;&gt;""),Table1[[#This Row],[Français]]&amp;"//"&amp;Table1[[#This Row],[English]],"")</f>
        <v>Taxe minière / redevance//Mining tax / royalty tax</v>
      </c>
      <c r="H71" s="87" t="str">
        <f t="shared" si="0"/>
        <v/>
      </c>
    </row>
    <row r="72" spans="1:8" ht="131.1" customHeight="1">
      <c r="A72" s="83" t="s">
        <v>72</v>
      </c>
      <c r="B72" s="84" t="s">
        <v>73</v>
      </c>
      <c r="C72" s="194"/>
      <c r="D72" s="147"/>
      <c r="E72" s="147"/>
      <c r="F72" s="85"/>
      <c r="G72" s="86" t="str">
        <f>IF(OR(Table1[[#This Row],[English]]&lt;&gt;"",Table1[[#This Row],[Français]]&lt;&gt;""),Table1[[#This Row],[Français]]&amp;"//"&amp;Table1[[#This Row],[English]],"")</f>
        <v>Impôt sur les bénéfices: taux//Income tax: rate</v>
      </c>
      <c r="H72" s="87" t="str">
        <f t="shared" si="0"/>
        <v/>
      </c>
    </row>
    <row r="73" spans="1:8">
      <c r="A73" s="84" t="s">
        <v>224</v>
      </c>
      <c r="B73" s="84" t="s">
        <v>74</v>
      </c>
      <c r="C73" s="194"/>
      <c r="D73" s="156"/>
      <c r="E73" s="156"/>
      <c r="F73" s="85"/>
      <c r="G73" s="86" t="str">
        <f>IF(OR(Table1[[#This Row],[English]]&lt;&gt;"",Table1[[#This Row],[Français]]&lt;&gt;""),Table1[[#This Row],[Français]]&amp;"//"&amp;Table1[[#This Row],[English]],"")</f>
        <v>Impôt sur les bénéfices: exonération//Income tax: exemptions</v>
      </c>
      <c r="H73" s="87" t="str">
        <f t="shared" si="0"/>
        <v/>
      </c>
    </row>
    <row r="74" spans="1:8" ht="63">
      <c r="A74" s="84" t="s">
        <v>225</v>
      </c>
      <c r="B74" s="84" t="s">
        <v>75</v>
      </c>
      <c r="C74" s="194"/>
      <c r="D74" s="156"/>
      <c r="E74" s="156"/>
      <c r="F74" s="85"/>
      <c r="G74" s="86"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7" t="str">
        <f t="shared" si="0"/>
        <v/>
      </c>
    </row>
    <row r="75" spans="1:8" ht="180" customHeight="1">
      <c r="A75" s="104" t="s">
        <v>199</v>
      </c>
      <c r="B75" s="104" t="s">
        <v>76</v>
      </c>
      <c r="C75" s="204"/>
      <c r="D75" s="104"/>
      <c r="E75" s="104"/>
      <c r="F75" s="105"/>
      <c r="G75" s="106"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7" t="str">
        <f>IF(C75&lt;&gt;"",IF(D75&lt;&gt;"",C75&amp;"--"&amp;D75,C75),"")</f>
        <v/>
      </c>
    </row>
    <row r="76" spans="1:8" ht="323.10000000000002" customHeight="1">
      <c r="A76" s="104" t="s">
        <v>200</v>
      </c>
      <c r="B76" s="104" t="s">
        <v>77</v>
      </c>
      <c r="C76" s="204"/>
      <c r="D76" s="104"/>
      <c r="E76" s="104"/>
      <c r="F76" s="105"/>
      <c r="G76" s="106"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7" t="str">
        <f>IF(C76&lt;&gt;"",IF(D76&lt;&gt;"",C76&amp;"--"&amp;D76,C76),"")</f>
        <v/>
      </c>
    </row>
    <row r="77" spans="1:8" ht="47.25">
      <c r="A77" s="104" t="s">
        <v>234</v>
      </c>
      <c r="B77" s="104" t="s">
        <v>78</v>
      </c>
      <c r="C77" s="204"/>
      <c r="D77" s="104"/>
      <c r="E77" s="104"/>
      <c r="F77" s="105"/>
      <c r="G77" s="106" t="str">
        <f>IF(OR(Table1[[#This Row],[English]]&lt;&gt;"",Table1[[#This Row],[Français]]&lt;&gt;""),Table1[[#This Row],[Français]]&amp;"//"&amp;Table1[[#This Row],[English]],"")</f>
        <v>Contrat de Service - Frais du détenteur du titre défrayés  (base de calcul)//Service Agreement - Fee to developer / contractor (basis for calculation)</v>
      </c>
      <c r="H77" s="107" t="str">
        <f>IF(C77&lt;&gt;"",IF(D77&lt;&gt;"",C77&amp;"--"&amp;D77,C77),"")</f>
        <v/>
      </c>
    </row>
    <row r="78" spans="1:8" ht="26.1" customHeight="1">
      <c r="A78" s="88" t="s">
        <v>237</v>
      </c>
      <c r="B78" s="88" t="s">
        <v>79</v>
      </c>
      <c r="C78" s="201"/>
      <c r="D78" s="88"/>
      <c r="E78" s="88"/>
      <c r="F78" s="89"/>
      <c r="G78" s="90" t="str">
        <f>IF(OR(Table1[[#This Row],[English]]&lt;&gt;"",Table1[[#This Row],[Français]]&lt;&gt;""),Table1[[#This Row],[Français]]&amp;"//"&amp;Table1[[#This Row],[English]],"")</f>
        <v>Impôt sur les Revenus des Valeurs Mobilières (IRVM)//Capital gains tax</v>
      </c>
      <c r="H78" s="91" t="str">
        <f t="shared" si="0"/>
        <v/>
      </c>
    </row>
    <row r="79" spans="1:8" ht="26.1" customHeight="1">
      <c r="A79" s="125" t="s">
        <v>202</v>
      </c>
      <c r="B79" s="125" t="s">
        <v>209</v>
      </c>
      <c r="C79" s="188"/>
      <c r="D79" s="27"/>
      <c r="E79" s="27"/>
      <c r="F79" s="126"/>
      <c r="G79" s="127" t="str">
        <f>IF(OR(Table1[[#This Row],[English]]&lt;&gt;"",Table1[[#This Row],[Français]]&lt;&gt;""),Table1[[#This Row],[Français]]&amp;"//"&amp;Table1[[#This Row],[English]],"")</f>
        <v>Retenue à la source sur les intérêts et/ou dividendes//Withholding tax on payment of interest and/or dividends</v>
      </c>
      <c r="H79" s="128" t="str">
        <f>IF(C79&lt;&gt;"",IF(D79&lt;&gt;"",C79&amp;"--"&amp;D79,C79),"")</f>
        <v/>
      </c>
    </row>
    <row r="80" spans="1:8" ht="31.5">
      <c r="A80" s="27" t="s">
        <v>80</v>
      </c>
      <c r="B80" s="27" t="s">
        <v>81</v>
      </c>
      <c r="C80" s="192"/>
      <c r="D80" s="10"/>
      <c r="E80" s="10"/>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ht="31.5">
      <c r="A81" s="27" t="s">
        <v>82</v>
      </c>
      <c r="B81" s="27" t="s">
        <v>83</v>
      </c>
      <c r="C81" s="205"/>
      <c r="D81" s="10"/>
      <c r="E81" s="10"/>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1.5">
      <c r="A82" s="27" t="s">
        <v>84</v>
      </c>
      <c r="B82" s="27" t="s">
        <v>85</v>
      </c>
      <c r="C82" s="205"/>
      <c r="D82" s="27"/>
      <c r="E82" s="27"/>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5" t="s">
        <v>86</v>
      </c>
      <c r="B83" s="27" t="s">
        <v>87</v>
      </c>
      <c r="C83" s="205"/>
      <c r="D83" s="27"/>
      <c r="E83" s="27"/>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88</v>
      </c>
      <c r="B84" s="27" t="s">
        <v>89</v>
      </c>
      <c r="C84" s="193"/>
      <c r="D84" s="27"/>
      <c r="E84" s="27"/>
      <c r="F84" s="29"/>
      <c r="G84" s="30" t="str">
        <f>IF(OR(Table1[[#This Row],[English]]&lt;&gt;"",Table1[[#This Row],[Français]]&lt;&gt;""),Table1[[#This Row],[Français]]&amp;"//"&amp;Table1[[#This Row],[English]],"")</f>
        <v>Déductibilité des frais financiers//Deductibility of expenses</v>
      </c>
      <c r="H84" s="31" t="str">
        <f t="shared" si="0"/>
        <v/>
      </c>
    </row>
    <row r="85" spans="1:8">
      <c r="A85" s="33" t="s">
        <v>90</v>
      </c>
      <c r="B85" s="27" t="s">
        <v>91</v>
      </c>
      <c r="C85" s="193"/>
      <c r="D85" s="27"/>
      <c r="E85" s="27"/>
      <c r="F85" s="29"/>
      <c r="G85" s="30" t="str">
        <f>IF(OR(Table1[[#This Row],[English]]&lt;&gt;"",Table1[[#This Row],[Français]]&lt;&gt;""),Table1[[#This Row],[Français]]&amp;"//"&amp;Table1[[#This Row],[English]],"")</f>
        <v>Méthode d’évaluation de prix //Method for evaluating price</v>
      </c>
      <c r="H85" s="31" t="str">
        <f t="shared" si="0"/>
        <v/>
      </c>
    </row>
    <row r="86" spans="1:8" ht="31.5">
      <c r="A86" s="27" t="s">
        <v>92</v>
      </c>
      <c r="B86" s="27" t="s">
        <v>93</v>
      </c>
      <c r="C86" s="193"/>
      <c r="D86" s="27"/>
      <c r="E86" s="27"/>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94</v>
      </c>
      <c r="B87" s="27" t="s">
        <v>95</v>
      </c>
      <c r="C87" s="193"/>
      <c r="D87" s="27"/>
      <c r="E87" s="27"/>
      <c r="F87" s="29"/>
      <c r="G87" s="30" t="str">
        <f>IF(OR(Table1[[#This Row],[English]]&lt;&gt;"",Table1[[#This Row],[Français]]&lt;&gt;""),Table1[[#This Row],[Français]]&amp;"//"&amp;Table1[[#This Row],[English]],"")</f>
        <v>Crédit d'investissement//Investment credit</v>
      </c>
      <c r="H87" s="31" t="str">
        <f t="shared" si="0"/>
        <v/>
      </c>
    </row>
    <row r="88" spans="1:8" ht="17.25" customHeight="1">
      <c r="A88" s="27" t="s">
        <v>96</v>
      </c>
      <c r="B88" s="27" t="s">
        <v>97</v>
      </c>
      <c r="C88" s="193"/>
      <c r="D88" s="27"/>
      <c r="E88" s="27"/>
      <c r="F88" s="29"/>
      <c r="G88" s="30" t="str">
        <f>IF(OR(Table1[[#This Row],[English]]&lt;&gt;"",Table1[[#This Row],[Français]]&lt;&gt;""),Table1[[#This Row],[Français]]&amp;"//"&amp;Table1[[#This Row],[English]],"")</f>
        <v>Droits de douane en phase de recherche//Custom duties during exploration phase</v>
      </c>
      <c r="H88" s="31" t="str">
        <f t="shared" si="0"/>
        <v/>
      </c>
    </row>
    <row r="89" spans="1:8" ht="31.5">
      <c r="A89" s="27" t="s">
        <v>98</v>
      </c>
      <c r="B89" s="27" t="s">
        <v>99</v>
      </c>
      <c r="C89" s="193"/>
      <c r="D89" s="27"/>
      <c r="E89" s="27"/>
      <c r="F89" s="29"/>
      <c r="G89" s="30" t="str">
        <f>IF(OR(Table1[[#This Row],[English]]&lt;&gt;"",Table1[[#This Row],[Français]]&lt;&gt;""),Table1[[#This Row],[Français]]&amp;"//"&amp;Table1[[#This Row],[English]],"")</f>
        <v>Droits de douane en phase de construction//Custom duties during construction phase</v>
      </c>
      <c r="H89" s="31" t="str">
        <f t="shared" si="0"/>
        <v/>
      </c>
    </row>
    <row r="90" spans="1:8" ht="31.5">
      <c r="A90" s="27" t="s">
        <v>100</v>
      </c>
      <c r="B90" s="27" t="s">
        <v>219</v>
      </c>
      <c r="C90" s="193"/>
      <c r="D90" s="27"/>
      <c r="E90" s="27"/>
      <c r="F90" s="29"/>
      <c r="G90" s="30" t="str">
        <f>IF(OR(Table1[[#This Row],[English]]&lt;&gt;"",Table1[[#This Row],[Français]]&lt;&gt;""),Table1[[#This Row],[Français]]&amp;"//"&amp;Table1[[#This Row],[English]],"")</f>
        <v>Droits de douane en phase d'exploitation//Custum duties during operation phase</v>
      </c>
      <c r="H90" s="31" t="str">
        <f t="shared" si="0"/>
        <v/>
      </c>
    </row>
    <row r="91" spans="1:8" ht="31.5">
      <c r="A91" s="27" t="s">
        <v>101</v>
      </c>
      <c r="B91" s="27" t="s">
        <v>102</v>
      </c>
      <c r="C91" s="193"/>
      <c r="D91" s="27"/>
      <c r="E91" s="27"/>
      <c r="F91" s="29"/>
      <c r="G91" s="30" t="str">
        <f>IF(OR(Table1[[#This Row],[English]]&lt;&gt;"",Table1[[#This Row],[Français]]&lt;&gt;""),Table1[[#This Row],[Français]]&amp;"//"&amp;Table1[[#This Row],[English]],"")</f>
        <v>Droits de douane pour le matériel de traitement//Custom duties on processing equipment</v>
      </c>
      <c r="H91" s="31" t="str">
        <f t="shared" si="0"/>
        <v/>
      </c>
    </row>
    <row r="92" spans="1:8" ht="31.5">
      <c r="A92" s="27" t="s">
        <v>103</v>
      </c>
      <c r="B92" s="27" t="s">
        <v>104</v>
      </c>
      <c r="C92" s="193"/>
      <c r="D92" s="27"/>
      <c r="E92" s="27"/>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ht="31.5">
      <c r="A93" s="27" t="s">
        <v>105</v>
      </c>
      <c r="B93" s="27" t="s">
        <v>106</v>
      </c>
      <c r="C93" s="193"/>
      <c r="D93" s="27"/>
      <c r="E93" s="27"/>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107</v>
      </c>
      <c r="B94" s="27" t="s">
        <v>108</v>
      </c>
      <c r="C94" s="193"/>
      <c r="D94" s="27"/>
      <c r="E94" s="27"/>
      <c r="F94" s="29"/>
      <c r="G94" s="30" t="str">
        <f>IF(OR(Table1[[#This Row],[English]]&lt;&gt;"",Table1[[#This Row],[Français]]&lt;&gt;""),Table1[[#This Row],[Français]]&amp;"//"&amp;Table1[[#This Row],[English]],"")</f>
        <v>TVA//VAT</v>
      </c>
      <c r="H94" s="31" t="str">
        <f t="shared" si="0"/>
        <v/>
      </c>
    </row>
    <row r="95" spans="1:8" ht="50.1" customHeight="1">
      <c r="A95" s="27" t="s">
        <v>109</v>
      </c>
      <c r="B95" s="27" t="s">
        <v>110</v>
      </c>
      <c r="C95" s="193"/>
      <c r="D95" s="27"/>
      <c r="E95" s="27"/>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ht="31.5">
      <c r="A96" s="27" t="s">
        <v>111</v>
      </c>
      <c r="B96" s="27" t="s">
        <v>112</v>
      </c>
      <c r="C96" s="193"/>
      <c r="D96" s="27"/>
      <c r="E96" s="27"/>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168" customHeight="1">
      <c r="A97" s="125" t="s">
        <v>113</v>
      </c>
      <c r="B97" s="125" t="s">
        <v>114</v>
      </c>
      <c r="C97" s="125" t="s">
        <v>881</v>
      </c>
      <c r="D97" s="27" t="s">
        <v>867</v>
      </c>
      <c r="E97" s="27" t="s">
        <v>882</v>
      </c>
      <c r="F97" s="126"/>
      <c r="G97" s="127" t="str">
        <f>IF(OR(Table1[[#This Row],[English]]&lt;&gt;"",Table1[[#This Row],[Français]]&lt;&gt;""),Table1[[#This Row],[Français]]&amp;"//"&amp;Table1[[#This Row],[English]],"")</f>
        <v>Redevances superficiaires//Surface fees</v>
      </c>
      <c r="H97" s="128" t="str">
        <f t="shared" si="2"/>
        <v>Maison NBK Service doit payer la redevance de superficie forestière et toutes autres taxes et redevances en vigueur liées a l'exploitation de la concession, dans les délais prescrits par la réglementation fiscale--Art. 9(6)</v>
      </c>
    </row>
    <row r="98" spans="1:8" ht="31.5">
      <c r="A98" s="27" t="s">
        <v>115</v>
      </c>
      <c r="B98" s="27" t="s">
        <v>116</v>
      </c>
      <c r="C98" s="193"/>
      <c r="D98" s="27"/>
      <c r="E98" s="27"/>
      <c r="F98" s="29"/>
      <c r="G98" s="30" t="str">
        <f>IF(OR(Table1[[#This Row],[English]]&lt;&gt;"",Table1[[#This Row],[Français]]&lt;&gt;""),Table1[[#This Row],[Français]]&amp;"//"&amp;Table1[[#This Row],[English]],"")</f>
        <v>Obligations communautaires ou sous-nationales//Community and regional obligations</v>
      </c>
      <c r="H98" s="31" t="str">
        <f t="shared" si="2"/>
        <v/>
      </c>
    </row>
    <row r="99" spans="1:8" ht="29.1" customHeight="1">
      <c r="A99" s="27" t="s">
        <v>198</v>
      </c>
      <c r="B99" s="27" t="s">
        <v>170</v>
      </c>
      <c r="C99" s="188"/>
      <c r="D99" s="10"/>
      <c r="E99" s="27"/>
      <c r="F99" s="29"/>
      <c r="G99" s="52" t="str">
        <f>IF(OR(Table1[[#This Row],[English]]&lt;&gt;"",Table1[[#This Row],[Français]]&lt;&gt;""),Table1[[#This Row],[Français]]&amp;"//"&amp;Table1[[#This Row],[English]],"")</f>
        <v>Crédits de carbone//Carbon credits</v>
      </c>
      <c r="H99" s="53" t="str">
        <f>IF(C99&lt;&gt;"",IF(D99&lt;&gt;"",C99&amp;"--"&amp;D99,C99),"")</f>
        <v/>
      </c>
    </row>
    <row r="100" spans="1:8">
      <c r="A100" s="84" t="s">
        <v>117</v>
      </c>
      <c r="B100" s="88" t="s">
        <v>118</v>
      </c>
      <c r="C100" s="194"/>
      <c r="D100" s="156"/>
      <c r="E100" s="156"/>
      <c r="F100" s="85"/>
      <c r="G100" s="86" t="str">
        <f>IF(OR(Table1[[#This Row],[English]]&lt;&gt;"",Table1[[#This Row],[Français]]&lt;&gt;""),Table1[[#This Row],[Français]]&amp;"//"&amp;Table1[[#This Row],[English]],"")</f>
        <v>Primes//Bonuses</v>
      </c>
      <c r="H100" s="87" t="str">
        <f t="shared" si="2"/>
        <v/>
      </c>
    </row>
    <row r="101" spans="1:8" ht="74.099999999999994" customHeight="1">
      <c r="A101" s="84" t="s">
        <v>119</v>
      </c>
      <c r="B101" s="88" t="s">
        <v>120</v>
      </c>
      <c r="C101" s="194"/>
      <c r="D101" s="147"/>
      <c r="E101" s="147"/>
      <c r="F101" s="85"/>
      <c r="G101" s="86" t="str">
        <f>IF(OR(Table1[[#This Row],[English]]&lt;&gt;"",Table1[[#This Row],[Français]]&lt;&gt;""),Table1[[#This Row],[Français]]&amp;"//"&amp;Table1[[#This Row],[English]],"")</f>
        <v>Participation de l'Etat//State participation</v>
      </c>
      <c r="H101" s="87" t="str">
        <f t="shared" si="2"/>
        <v/>
      </c>
    </row>
    <row r="102" spans="1:8" ht="108" customHeight="1">
      <c r="A102" s="84" t="s">
        <v>121</v>
      </c>
      <c r="B102" s="84" t="s">
        <v>122</v>
      </c>
      <c r="C102" s="88" t="s">
        <v>865</v>
      </c>
      <c r="D102" s="84" t="s">
        <v>855</v>
      </c>
      <c r="E102" s="84" t="s">
        <v>883</v>
      </c>
      <c r="F102" s="85"/>
      <c r="G102" s="86" t="str">
        <f>IF(OR(Table1[[#This Row],[English]]&lt;&gt;"",Table1[[#This Row],[Français]]&lt;&gt;""),Table1[[#This Row],[Français]]&amp;"//"&amp;Table1[[#This Row],[English]],"")</f>
        <v>Exonérations non-précisées ailleurs//Other exemptions</v>
      </c>
      <c r="H102" s="87" t="str">
        <f t="shared" si="2"/>
        <v>Maison NBK Service est tenu au paiement régulier et dans les délais légaux des taxes et redevances forestières en vigueur et ne peut bénéficier d'aucune exonération--Art. 19</v>
      </c>
    </row>
    <row r="103" spans="1:8" ht="66.95" customHeight="1">
      <c r="A103" s="103" t="s">
        <v>196</v>
      </c>
      <c r="B103" s="103" t="s">
        <v>195</v>
      </c>
      <c r="C103" s="194"/>
      <c r="D103" s="88"/>
      <c r="E103" s="88"/>
      <c r="F103" s="85"/>
      <c r="G103" s="86" t="str">
        <f>IF(OR(Table1[[#This Row],[English]]&lt;&gt;"",Table1[[#This Row],[Français]]&lt;&gt;""),Table1[[#This Row],[Français]]&amp;"//"&amp;Table1[[#This Row],[English]],"")</f>
        <v>Modes d'audit à l'égard des obligations financières du détenteur du titre//Audit mechanisms - financial obligations</v>
      </c>
      <c r="H103" s="87" t="str">
        <f t="shared" si="2"/>
        <v/>
      </c>
    </row>
    <row r="104" spans="1:8" ht="54" customHeight="1">
      <c r="A104" s="84" t="s">
        <v>123</v>
      </c>
      <c r="B104" s="84" t="s">
        <v>124</v>
      </c>
      <c r="C104" s="194"/>
      <c r="D104" s="147"/>
      <c r="E104" s="147"/>
      <c r="F104" s="85"/>
      <c r="G104" s="86" t="str">
        <f>IF(OR(Table1[[#This Row],[English]]&lt;&gt;"",Table1[[#This Row],[Français]]&lt;&gt;""),Table1[[#This Row],[Français]]&amp;"//"&amp;Table1[[#This Row],[English]],"")</f>
        <v>Restrictions sur les transactions avec les parties liées//Restrictions on transactions with affiliated parties</v>
      </c>
      <c r="H104" s="87" t="str">
        <f>IF(C104&lt;&gt;"",IF(D104&lt;&gt;"",C104&amp;"--"&amp;D104,C104),"")</f>
        <v/>
      </c>
    </row>
    <row r="105" spans="1:8" ht="72" customHeight="1">
      <c r="A105" s="82" t="s">
        <v>176</v>
      </c>
      <c r="B105" s="81" t="s">
        <v>174</v>
      </c>
      <c r="C105" s="194"/>
      <c r="D105" s="88"/>
      <c r="E105" s="147"/>
      <c r="F105" s="85"/>
      <c r="G105" s="86" t="str">
        <f>IF(OR(Table1[[#This Row],[English]]&lt;&gt;"",Table1[[#This Row],[Français]]&lt;&gt;""),Table1[[#This Row],[Français]]&amp;"//"&amp;Table1[[#This Row],[English]],"")</f>
        <v>Autre - [le nom de catégorie]//Other - [Name of Category]</v>
      </c>
      <c r="H105" s="87" t="str">
        <f t="shared" si="2"/>
        <v/>
      </c>
    </row>
    <row r="106" spans="1:8">
      <c r="A106" s="149"/>
      <c r="B106" s="34"/>
      <c r="C106" s="192"/>
      <c r="D106" s="148"/>
      <c r="E106" s="148"/>
      <c r="F106" s="15"/>
      <c r="G106" s="16" t="str">
        <f>IF(OR(Table1[[#This Row],[English]]&lt;&gt;"",Table1[[#This Row],[Français]]&lt;&gt;""),Table1[[#This Row],[Français]]&amp;"//"&amp;Table1[[#This Row],[English]],"")</f>
        <v/>
      </c>
      <c r="H106" s="35" t="str">
        <f t="shared" si="2"/>
        <v/>
      </c>
    </row>
    <row r="107" spans="1:8" ht="31.5">
      <c r="A107" s="61" t="s">
        <v>191</v>
      </c>
      <c r="B107" s="62" t="s">
        <v>125</v>
      </c>
      <c r="C107" s="198"/>
      <c r="D107" s="153"/>
      <c r="E107" s="153"/>
      <c r="F107" s="18"/>
      <c r="G107" s="19" t="str">
        <f>IF(OR(Table1[[#This Row],[English]]&lt;&gt;"",Table1[[#This Row],[Français]]&lt;&gt;""),Table1[[#This Row],[Français]]&amp;"//"&amp;Table1[[#This Row],[English]],"")</f>
        <v>4. Dispositions environnementales //4. Environmental provisions</v>
      </c>
      <c r="H107" s="20" t="str">
        <f t="shared" si="2"/>
        <v/>
      </c>
    </row>
    <row r="108" spans="1:8" ht="212.1" customHeight="1">
      <c r="A108" s="92" t="s">
        <v>212</v>
      </c>
      <c r="B108" s="92" t="s">
        <v>220</v>
      </c>
      <c r="C108" s="211" t="s">
        <v>903</v>
      </c>
      <c r="D108" s="75" t="s">
        <v>856</v>
      </c>
      <c r="E108" s="75" t="s">
        <v>884</v>
      </c>
      <c r="F108" s="67"/>
      <c r="G108" s="68"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69" t="str">
        <f t="shared" si="2"/>
        <v>Maison NBK Service  s'engage à préparer et à soumettre pour approbation à l'administration chargée des forêts, dans une période maximum de 4 ans, le plan d'aménagement  conformément à la législation et à la réglementation en vigueur. Ce plan doit comprendre l'ensemble des obligations de Maison NBK Service  en vue de s'assurer une gestion durable de la forêt concédée. Dans l'intervalle qui sépare la signature du présent contrat et l'approbation du plan, Maison NBK Service ne peut exploiter la forêt concédée qu’en conformité avec un plan de gestion. Le plan de gestion, qui doit être approuvé en même temps que le contrat de concession et constitue l'ensemble des engagements de Maison NBK Service  avant l'approbation du plan d'aménagement, indique la description des activités de protection de l'environnement et de la conservation de la biodiversité et notamment les mesures de réduction, d'atténuation et de compensation de tout impact négatif des activités du concessionnaire sur l'environnement.--Art. 10</v>
      </c>
    </row>
    <row r="109" spans="1:8" ht="47.25">
      <c r="A109" s="121" t="s">
        <v>214</v>
      </c>
      <c r="B109" s="121" t="s">
        <v>213</v>
      </c>
      <c r="C109" s="192"/>
      <c r="D109" s="10"/>
      <c r="E109" s="10"/>
      <c r="F109" s="138"/>
      <c r="G109" s="139"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0" t="str">
        <f t="shared" si="2"/>
        <v/>
      </c>
    </row>
    <row r="110" spans="1:8" ht="78.75">
      <c r="A110" s="93" t="s">
        <v>226</v>
      </c>
      <c r="B110" s="94" t="s">
        <v>180</v>
      </c>
      <c r="C110" s="201"/>
      <c r="D110" s="81"/>
      <c r="E110" s="93"/>
      <c r="F110" s="95"/>
      <c r="G110" s="96"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7" t="str">
        <f>IF(C110&lt;&gt;"",IF(D110&lt;&gt;"",C110&amp;"--"&amp;D110,C110),"")</f>
        <v/>
      </c>
    </row>
    <row r="111" spans="1:8" ht="294.95" customHeight="1">
      <c r="A111" s="115" t="s">
        <v>211</v>
      </c>
      <c r="B111" s="115" t="s">
        <v>210</v>
      </c>
      <c r="C111" s="191" t="s">
        <v>893</v>
      </c>
      <c r="D111" s="163" t="s">
        <v>857</v>
      </c>
      <c r="E111" s="163" t="s">
        <v>885</v>
      </c>
      <c r="F111" s="117"/>
      <c r="G111" s="118"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19" t="str">
        <f>IF(C111&lt;&gt;"",IF(D111&lt;&gt;"",C111&amp;"--"&amp;D111,C111),"")</f>
        <v>Maison NBK Service doit mettre en œuvre les mesures environnementales et de protection de la biodiversité inscrites au présent contrat, y compris les mesures convenues dans le plan de relance dans le cas d'une conversion ou dans la proposition technique dans le cas de l'adjudication selon les termes du cahier des charges. Maison NBK Service est tenu de respecter la législation en vigueur en matière de protection de l'environnement et de conservation de la diversité biologique. Maison NBK Service contribue, en particulier, sur toute l'étendue de sa concession, à la lutte contre les feux de brousse, le braconnage et l'exploitation illégale du bois. Maison NBK Service définit et met en œuvre des mesures appropriées de contrôle pour minimiser, réduire ou compenser tant à l'intérieur de la concession que dans ses environs immédiats, tout impact négatif sur l'environnement, des travaux de réalisation d'infrastructures. Maison NBK Service est tenu de respecter la mise en réserve de certaines essences et toutes restrictions édictées par l'administration chargée des forêts dans le but de protéger la diversité biologique. La liste des essences forestière dont l'exploitation est interdite est reprise dans les clauses particulières du cahier des charges en annexe. Dès qu'il y a un risque d'altération importante de la couverture végétale ou d'altération du sol, le plan d'aménagement indique toutes essences confondues, un nombre maximum de pieds exploitables par assiette annuelle de coupe.--Arts. 9(3), 11, 11(6), 12, 14</v>
      </c>
    </row>
    <row r="112" spans="1:8" ht="45" customHeight="1">
      <c r="A112" s="82" t="s">
        <v>240</v>
      </c>
      <c r="B112" s="81" t="s">
        <v>239</v>
      </c>
      <c r="C112" s="185"/>
      <c r="D112" s="75"/>
      <c r="E112" s="75"/>
      <c r="F112" s="67"/>
      <c r="G112" s="68" t="str">
        <f>IF(OR(Table1[[#This Row],[English]]&lt;&gt;"",Table1[[#This Row],[Français]]&lt;&gt;""),Table1[[#This Row],[Français]]&amp;"//"&amp;Table1[[#This Row],[English]],"")</f>
        <v>Autre - [Responsabilité environnementale]//Other - [Environmental liability]</v>
      </c>
      <c r="H112" s="69" t="str">
        <f t="shared" si="2"/>
        <v/>
      </c>
    </row>
    <row r="113" spans="1:8">
      <c r="A113" s="37"/>
      <c r="B113" s="38"/>
      <c r="C113" s="206"/>
      <c r="D113" s="165"/>
      <c r="E113" s="165"/>
      <c r="F113" s="15"/>
      <c r="G113" s="16" t="str">
        <f>IF(OR(Table1[[#This Row],[English]]&lt;&gt;"",Table1[[#This Row],[Français]]&lt;&gt;""),Table1[[#This Row],[Français]]&amp;"//"&amp;Table1[[#This Row],[English]],"")</f>
        <v/>
      </c>
      <c r="H113" s="17" t="str">
        <f t="shared" si="2"/>
        <v/>
      </c>
    </row>
    <row r="114" spans="1:8" ht="47.25">
      <c r="A114" s="61" t="s">
        <v>183</v>
      </c>
      <c r="B114" s="18" t="s">
        <v>126</v>
      </c>
      <c r="C114" s="198"/>
      <c r="D114" s="153"/>
      <c r="E114" s="153"/>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409.5">
      <c r="A115" s="55" t="s">
        <v>181</v>
      </c>
      <c r="B115" s="63" t="s">
        <v>182</v>
      </c>
      <c r="C115" s="222" t="s">
        <v>906</v>
      </c>
      <c r="D115" s="64" t="s">
        <v>856</v>
      </c>
      <c r="E115" s="63" t="s">
        <v>904</v>
      </c>
      <c r="F115" s="63"/>
      <c r="G115" s="65" t="str">
        <f>IF(OR(Table1[[#This Row],[English]]&lt;&gt;"",Table1[[#This Row],[Français]]&lt;&gt;""),Table1[[#This Row],[Français]]&amp;"//"&amp;Table1[[#This Row],[English]],"")</f>
        <v>L'étude de faisabilité et le plan d'affaires//Feasibility studies and requirement of business plan</v>
      </c>
      <c r="H115" s="53" t="str">
        <f>IF(C115&lt;&gt;"",IF(D115&lt;&gt;"",C115&amp;"--"&amp;D115,C115),"")</f>
        <v>Maison NBK Service s'engage à préparer et à soumettre pour approbation à l'administration chargée des forêts, dans une période maximum de 4 ans, le plan d'aménagement. Dans l'intervalle qui sépare la signature du contrat de l'approbation du plan d'aménagement, Maison NBK Serviceexploite la forêt concédée en conformité avec un plan de gestion. Le plan de gestion constitue l'ensemble des engagements de Maison NBK Service avant l'approbation du plan d'aménagement.--Art. 10</v>
      </c>
    </row>
    <row r="116" spans="1:8" ht="53.1" customHeight="1">
      <c r="A116" s="92" t="s">
        <v>127</v>
      </c>
      <c r="B116" s="66" t="s">
        <v>128</v>
      </c>
      <c r="C116" s="195" t="s">
        <v>907</v>
      </c>
      <c r="D116" s="75" t="s">
        <v>908</v>
      </c>
      <c r="E116" s="75" t="s">
        <v>882</v>
      </c>
      <c r="F116" s="67"/>
      <c r="G116" s="68" t="str">
        <f>IF(OR(Table1[[#This Row],[English]]&lt;&gt;"",Table1[[#This Row],[Français]]&lt;&gt;""),Table1[[#This Row],[Français]]&amp;"//"&amp;Table1[[#This Row],[English]],"")</f>
        <v>Obligations de travaux, d'investissements//Work and investment commitments</v>
      </c>
      <c r="H116" s="69" t="str">
        <f t="shared" si="2"/>
        <v>Maison NBK Service doit réaliser les investissements, y compris l'acquisition des équipements prévus, la remise en état ou la modernisation de l'outil de transformation, ainsi que le recrutement du personnel nécessaire et autres activités prévues dans la proposition du plan de relance, dans le cas d' une concession ou dans la proposition technique dans le cas d'une adjudication, et écrits dans le cahier des charges--Art. 9(5)</v>
      </c>
    </row>
    <row r="117" spans="1:8">
      <c r="A117" s="36" t="s">
        <v>129</v>
      </c>
      <c r="B117" s="36" t="s">
        <v>130</v>
      </c>
      <c r="C117" s="161"/>
      <c r="D117" s="10"/>
      <c r="E117" s="10"/>
      <c r="F117" s="11"/>
      <c r="G117" s="12" t="str">
        <f>IF(OR(Table1[[#This Row],[English]]&lt;&gt;"",Table1[[#This Row],[Français]]&lt;&gt;""),Table1[[#This Row],[Français]]&amp;"//"&amp;Table1[[#This Row],[English]],"")</f>
        <v>Rétrocession//Transfer of risk</v>
      </c>
      <c r="H117" s="13" t="str">
        <f t="shared" si="2"/>
        <v/>
      </c>
    </row>
    <row r="118" spans="1:8" ht="31.5">
      <c r="A118" s="66" t="s">
        <v>131</v>
      </c>
      <c r="B118" s="66" t="s">
        <v>132</v>
      </c>
      <c r="C118" s="185"/>
      <c r="D118" s="151"/>
      <c r="E118" s="151"/>
      <c r="F118" s="67"/>
      <c r="G118" s="68" t="str">
        <f>IF(OR(Table1[[#This Row],[English]]&lt;&gt;"",Table1[[#This Row],[Français]]&lt;&gt;""),Table1[[#This Row],[Français]]&amp;"//"&amp;Table1[[#This Row],[English]],"")</f>
        <v>Construction et entretien d'infrastructure//Construction and maintenance of infrastructure</v>
      </c>
      <c r="H118" s="69" t="str">
        <f t="shared" si="2"/>
        <v/>
      </c>
    </row>
    <row r="119" spans="1:8" ht="15" customHeight="1">
      <c r="A119" s="10" t="s">
        <v>203</v>
      </c>
      <c r="B119" s="10" t="s">
        <v>133</v>
      </c>
      <c r="C119" s="192"/>
      <c r="D119" s="10"/>
      <c r="E119" s="10"/>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ht="129" customHeight="1">
      <c r="A120" s="110" t="s">
        <v>134</v>
      </c>
      <c r="B120" s="111" t="s">
        <v>135</v>
      </c>
      <c r="C120" s="195"/>
      <c r="D120" s="75"/>
      <c r="E120" s="75"/>
      <c r="F120" s="112"/>
      <c r="G120" s="113" t="str">
        <f>IF(OR(Table1[[#This Row],[English]]&lt;&gt;"",Table1[[#This Row],[Français]]&lt;&gt;""),Table1[[#This Row],[Français]]&amp;"//"&amp;Table1[[#This Row],[English]],"")</f>
        <v>Utilisation d’infrastructure par les tiers//Third party use of infrastructure</v>
      </c>
      <c r="H120" s="114" t="str">
        <f t="shared" si="2"/>
        <v/>
      </c>
    </row>
    <row r="121" spans="1:8">
      <c r="A121" s="39" t="s">
        <v>136</v>
      </c>
      <c r="B121" s="33" t="s">
        <v>137</v>
      </c>
      <c r="C121" s="192"/>
      <c r="D121" s="186"/>
      <c r="E121" s="186"/>
      <c r="F121" s="11"/>
      <c r="G121" s="12" t="str">
        <f>IF(OR(Table1[[#This Row],[English]]&lt;&gt;"",Table1[[#This Row],[Français]]&lt;&gt;""),Table1[[#This Row],[Français]]&amp;"//"&amp;Table1[[#This Row],[English]],"")</f>
        <v>Financement d’infrastructure//Financing of infrastructure</v>
      </c>
      <c r="H121" s="13" t="str">
        <f t="shared" si="2"/>
        <v/>
      </c>
    </row>
    <row r="122" spans="1:8">
      <c r="A122" s="39" t="s">
        <v>138</v>
      </c>
      <c r="B122" s="33" t="s">
        <v>139</v>
      </c>
      <c r="C122" s="192"/>
      <c r="D122" s="186"/>
      <c r="E122" s="186"/>
      <c r="F122" s="11"/>
      <c r="G122" s="12" t="str">
        <f>IF(OR(Table1[[#This Row],[English]]&lt;&gt;"",Table1[[#This Row],[Français]]&lt;&gt;""),Table1[[#This Row],[Français]]&amp;"//"&amp;Table1[[#This Row],[English]],"")</f>
        <v>Propriété d’infrastructure//Ownership of infrastructure</v>
      </c>
      <c r="H122" s="13" t="str">
        <f t="shared" si="2"/>
        <v/>
      </c>
    </row>
    <row r="123" spans="1:8" ht="189">
      <c r="A123" s="28" t="s">
        <v>197</v>
      </c>
      <c r="B123" s="27" t="s">
        <v>194</v>
      </c>
      <c r="C123" s="214" t="s">
        <v>905</v>
      </c>
      <c r="D123" s="215" t="s">
        <v>900</v>
      </c>
      <c r="E123" s="215" t="s">
        <v>901</v>
      </c>
      <c r="F123" s="29"/>
      <c r="G123" s="30" t="str">
        <f>IF(OR(Table1[[#This Row],[English]]&lt;&gt;"",Table1[[#This Row],[Français]]&lt;&gt;""),Table1[[#This Row],[Français]]&amp;"//"&amp;Table1[[#This Row],[English]],"")</f>
        <v>Modes d'audit à l'égard des dispositions opérationnelles//Audit mechanisms - operational obligations</v>
      </c>
      <c r="H123" s="31" t="str">
        <f t="shared" si="2"/>
        <v>A la fin de la concession, un bilan de clôture des comptes est dressé par Maison NBK Service dans un délai maximum de 6 mois à compter de la date d'expiration du présent contrat de concession--Art. 29</v>
      </c>
    </row>
    <row r="124" spans="1:8" ht="31.5">
      <c r="A124" s="54" t="s">
        <v>179</v>
      </c>
      <c r="B124" s="55" t="s">
        <v>171</v>
      </c>
      <c r="C124" s="188"/>
      <c r="D124" s="187"/>
      <c r="E124" s="191"/>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113.1" customHeight="1">
      <c r="A125" s="133" t="s">
        <v>227</v>
      </c>
      <c r="B125" s="134" t="s">
        <v>172</v>
      </c>
      <c r="C125" s="134" t="s">
        <v>902</v>
      </c>
      <c r="D125" s="134" t="s">
        <v>858</v>
      </c>
      <c r="E125" s="134" t="s">
        <v>852</v>
      </c>
      <c r="F125" s="135"/>
      <c r="G125" s="136"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37" t="str">
        <f>IF(C125&lt;&gt;"",IF(D125&lt;&gt;"",C125&amp;"--"&amp;D125,C125),"")</f>
        <v>Maison NBK Service bénéficie d'une servitude de passage sur les fonds riverains, destinée à favoriser l'accès à sa concession et l'évacuation de sa production. Il exerce cette servitude uniquement dans les limites de ce qui est strictement nécessaire à son droit de passage--Art. 7</v>
      </c>
    </row>
    <row r="126" spans="1:8" ht="69.95" customHeight="1">
      <c r="A126" s="82" t="s">
        <v>176</v>
      </c>
      <c r="B126" s="169" t="s">
        <v>174</v>
      </c>
      <c r="C126" s="201"/>
      <c r="D126" s="81"/>
      <c r="E126" s="93"/>
      <c r="F126" s="95"/>
      <c r="G126" s="96" t="str">
        <f>IF(OR(Table1[[#This Row],[English]]&lt;&gt;"",Table1[[#This Row],[Français]]&lt;&gt;""),Table1[[#This Row],[Français]]&amp;"//"&amp;Table1[[#This Row],[English]],"")</f>
        <v>Autre - [le nom de catégorie]//Other - [Name of Category]</v>
      </c>
      <c r="H126" s="97" t="str">
        <f>IF(C126&lt;&gt;"",IF(D126&lt;&gt;"",C126&amp;"--"&amp;D126,C126),"")</f>
        <v/>
      </c>
    </row>
    <row r="127" spans="1:8" ht="29.1" customHeight="1">
      <c r="A127" s="166"/>
      <c r="B127" s="40"/>
      <c r="C127" s="197"/>
      <c r="D127" s="167"/>
      <c r="E127" s="167"/>
      <c r="F127" s="15"/>
      <c r="G127" s="16" t="str">
        <f>IF(OR(Table1[[#This Row],[English]]&lt;&gt;"",Table1[[#This Row],[Français]]&lt;&gt;""),Table1[[#This Row],[Français]]&amp;"//"&amp;Table1[[#This Row],[English]],"")</f>
        <v/>
      </c>
      <c r="H127" s="17" t="str">
        <f t="shared" si="2"/>
        <v/>
      </c>
    </row>
    <row r="128" spans="1:8" ht="31.5">
      <c r="A128" s="21" t="s">
        <v>140</v>
      </c>
      <c r="B128" s="21" t="s">
        <v>141</v>
      </c>
      <c r="C128" s="198"/>
      <c r="D128" s="153"/>
      <c r="E128" s="153"/>
      <c r="F128" s="18"/>
      <c r="G128" s="19" t="str">
        <f>IF(OR(Table1[[#This Row],[English]]&lt;&gt;"",Table1[[#This Row],[Français]]&lt;&gt;""),Table1[[#This Row],[Français]]&amp;"//"&amp;Table1[[#This Row],[English]],"")</f>
        <v>6. Dispositions diverses//6. Miscellaneous provisions</v>
      </c>
      <c r="H128" s="20" t="str">
        <f t="shared" si="2"/>
        <v/>
      </c>
    </row>
    <row r="129" spans="1:8" ht="36.950000000000003" customHeight="1">
      <c r="A129" s="98" t="s">
        <v>142</v>
      </c>
      <c r="B129" s="92" t="s">
        <v>143</v>
      </c>
      <c r="C129" s="185"/>
      <c r="D129" s="70"/>
      <c r="E129" s="70"/>
      <c r="F129" s="67"/>
      <c r="G129" s="68" t="str">
        <f>IF(OR(Table1[[#This Row],[English]]&lt;&gt;"",Table1[[#This Row],[Français]]&lt;&gt;""),Table1[[#This Row],[Français]]&amp;"//"&amp;Table1[[#This Row],[English]],"")</f>
        <v>Loi applicable en cas des différends//Governing law in case of dispute</v>
      </c>
      <c r="H129" s="69" t="str">
        <f t="shared" si="2"/>
        <v/>
      </c>
    </row>
    <row r="130" spans="1:8" ht="203.1" customHeight="1">
      <c r="A130" s="98" t="s">
        <v>144</v>
      </c>
      <c r="B130" s="84" t="s">
        <v>145</v>
      </c>
      <c r="C130" s="211" t="s">
        <v>886</v>
      </c>
      <c r="D130" s="75" t="s">
        <v>859</v>
      </c>
      <c r="E130" s="75" t="s">
        <v>887</v>
      </c>
      <c r="F130" s="67"/>
      <c r="G130" s="68" t="str">
        <f>IF(OR(Table1[[#This Row],[English]]&lt;&gt;"",Table1[[#This Row],[Français]]&lt;&gt;""),Table1[[#This Row],[Français]]&amp;"//"&amp;Table1[[#This Row],[English]],"")</f>
        <v>Arbitrage et règlement des différends//Arbitration and dispute resolution</v>
      </c>
      <c r="H130" s="69" t="str">
        <f t="shared" si="2"/>
        <v>En cas de différend sur le tracé des voies d'accès ou d'évacuation à la concession, Maison NBK Service fera appel aux mécanismes de règlement des différends définis aux articles 103 et 104 du code forestier. En cas de résiliation du contrat ou déchéance, Maison NBK Service dispose des recours légaux devant les juridictions compétentes. Tout différend relatif à l'interprétation ou l'exécution du présent contrat de concession et du cahier des charges sera réglé à l'amiable. En cas d'échec, le litige sera soumis aux juridictions compétentes à moins que les parties conviennent de recourir à l'arbitrage prévu par les articles 159 à 174 du code de procédure civile.--Arts. 7, 26, 30</v>
      </c>
    </row>
    <row r="131" spans="1:8" ht="153" customHeight="1">
      <c r="A131" s="98" t="s">
        <v>146</v>
      </c>
      <c r="B131" s="92" t="s">
        <v>147</v>
      </c>
      <c r="C131" s="194"/>
      <c r="D131" s="154"/>
      <c r="E131" s="154"/>
      <c r="F131" s="67"/>
      <c r="G131" s="68" t="str">
        <f>IF(OR(Table1[[#This Row],[English]]&lt;&gt;"",Table1[[#This Row],[Français]]&lt;&gt;""),Table1[[#This Row],[Français]]&amp;"//"&amp;Table1[[#This Row],[English]],"")</f>
        <v>Clause de stabilisation//Stabilization clause</v>
      </c>
      <c r="H131" s="69" t="str">
        <f t="shared" si="2"/>
        <v/>
      </c>
    </row>
    <row r="132" spans="1:8">
      <c r="A132" s="36" t="s">
        <v>148</v>
      </c>
      <c r="B132" s="10" t="s">
        <v>149</v>
      </c>
      <c r="C132" s="192"/>
      <c r="D132" s="186"/>
      <c r="E132" s="186"/>
      <c r="F132" s="11"/>
      <c r="G132" s="12" t="str">
        <f>IF(OR(Table1[[#This Row],[English]]&lt;&gt;"",Table1[[#This Row],[Français]]&lt;&gt;""),Table1[[#This Row],[Français]]&amp;"//"&amp;Table1[[#This Row],[English]],"")</f>
        <v>Cession / transfert//Assignment / transfer</v>
      </c>
      <c r="H132" s="13" t="str">
        <f t="shared" si="2"/>
        <v/>
      </c>
    </row>
    <row r="133" spans="1:8" ht="222" customHeight="1">
      <c r="A133" s="36" t="s">
        <v>228</v>
      </c>
      <c r="B133" s="10" t="s">
        <v>150</v>
      </c>
      <c r="C133" s="186" t="s">
        <v>889</v>
      </c>
      <c r="D133" s="10" t="s">
        <v>860</v>
      </c>
      <c r="E133" s="10" t="s">
        <v>888</v>
      </c>
      <c r="F133" s="11"/>
      <c r="G133" s="12" t="str">
        <f>IF(OR(Table1[[#This Row],[English]]&lt;&gt;"",Table1[[#This Row],[Français]]&lt;&gt;""),Table1[[#This Row],[Français]]&amp;"//"&amp;Table1[[#This Row],[English]],"")</f>
        <v>Annulation / Résiliation //Cancellation / termination</v>
      </c>
      <c r="H133" s="13" t="str">
        <f t="shared" si="2"/>
        <v>Maison NBK Service a la faculté de renoncer au bénéfice de la concession avant l'expiration du contrat de concession forestière. En cas de non respect par Maison NBK Service de l'une des quelconques clauses du contrat et/ou du cahier des charges et après une mise en demeure assortie d'un délai ne dépassant pas 3 mois, le Gouvernement prescrit toutes mesures conservatoires destinées à assurer le respect des dispositions du présent contrat et du cahier des charges. Le contrat est résilié dans certains cas, y compris: (1) la commission de tout acte ou tentative d'acte de corruption, de dol ou de violence; et (2) la violation répétée, après expiration des délais légaux mise en demeure, d'obligations sociales et environnementales découlant du présent contrat et du cahier des charges. L'état de cessation de paiement d'Maison NBK Service constitue une cause de déchéance et entraîne la résiliation du présent contrat. Le Gouvernement constate la déchéance et procède à la résiliation du contrat par voie d'arrêté. --Arts. 22, 23, 25</v>
      </c>
    </row>
    <row r="134" spans="1:8">
      <c r="A134" s="33" t="s">
        <v>151</v>
      </c>
      <c r="B134" s="33" t="s">
        <v>152</v>
      </c>
      <c r="C134" s="192"/>
      <c r="D134" s="186"/>
      <c r="E134" s="186"/>
      <c r="F134" s="11"/>
      <c r="G134" s="12" t="str">
        <f>IF(OR(Table1[[#This Row],[English]]&lt;&gt;"",Table1[[#This Row],[Français]]&lt;&gt;""),Table1[[#This Row],[Français]]&amp;"//"&amp;Table1[[#This Row],[English]],"")</f>
        <v>Indemnisation//Indemnification</v>
      </c>
      <c r="H134" s="13" t="str">
        <f t="shared" si="2"/>
        <v/>
      </c>
    </row>
    <row r="135" spans="1:8" ht="129" customHeight="1">
      <c r="A135" s="99" t="s">
        <v>153</v>
      </c>
      <c r="B135" s="75" t="s">
        <v>154</v>
      </c>
      <c r="C135" s="196" t="s">
        <v>861</v>
      </c>
      <c r="D135" s="75" t="s">
        <v>862</v>
      </c>
      <c r="E135" s="75" t="s">
        <v>890</v>
      </c>
      <c r="F135" s="67"/>
      <c r="G135" s="68" t="str">
        <f>IF(OR(Table1[[#This Row],[English]]&lt;&gt;"",Table1[[#This Row],[Français]]&lt;&gt;""),Table1[[#This Row],[Français]]&amp;"//"&amp;Table1[[#This Row],[English]],"")</f>
        <v>Confidentialité//Confidentiality</v>
      </c>
      <c r="H135" s="69" t="str">
        <f t="shared" si="2"/>
        <v>Si le Gouvernement constate la déchéance et procède à la résiliation du contrat par voie d'arrêté, l'arrêté est publié au journal officiel et une copie est transmise aux cadastres forestiers national et provincial concerne. Le présent contrat ainsi que le cahier des charges sont publiés au journal officiel, déposés au cadastre forestier national, notifiés aux autorités provinciales et locales du ressort, et rendus publics par tout moyen approprié dans les localités riveraines de la concession.--Arts. 25, 31</v>
      </c>
    </row>
    <row r="136" spans="1:8">
      <c r="A136" s="99" t="s">
        <v>155</v>
      </c>
      <c r="B136" s="75" t="s">
        <v>156</v>
      </c>
      <c r="C136" s="168" t="s">
        <v>759</v>
      </c>
      <c r="D136" s="70"/>
      <c r="E136" s="70"/>
      <c r="F136" s="67"/>
      <c r="G136" s="68" t="str">
        <f>IF(OR(Table1[[#This Row],[English]]&lt;&gt;"",Table1[[#This Row],[Français]]&lt;&gt;""),Table1[[#This Row],[Français]]&amp;"//"&amp;Table1[[#This Row],[English]],"")</f>
        <v>Langue//Language</v>
      </c>
      <c r="H136" s="69" t="str">
        <f>IF(C136&lt;&gt;"",IF(D136&lt;&gt;"",C136&amp;"--"&amp;D136,C136),"")</f>
        <v>FRE</v>
      </c>
    </row>
    <row r="137" spans="1:8" ht="47.25">
      <c r="A137" s="10" t="s">
        <v>238</v>
      </c>
      <c r="B137" s="10" t="s">
        <v>188</v>
      </c>
      <c r="C137" s="192"/>
      <c r="D137" s="10"/>
      <c r="E137" s="10"/>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
      </c>
    </row>
    <row r="138" spans="1:8" ht="31.5">
      <c r="A138" s="121" t="s">
        <v>222</v>
      </c>
      <c r="B138" s="121" t="s">
        <v>221</v>
      </c>
      <c r="C138" s="192"/>
      <c r="D138" s="10"/>
      <c r="E138" s="10"/>
      <c r="F138" s="11"/>
      <c r="G138" s="12" t="str">
        <f>IF(OR(Table1[[#This Row],[English]]&lt;&gt;"",Table1[[#This Row],[Français]]&lt;&gt;""),Table1[[#This Row],[Français]]&amp;"//"&amp;Table1[[#This Row],[English]],"")</f>
        <v>Clause de hardship ou force majeure//Hardship clause or force majeure</v>
      </c>
      <c r="H138" s="13" t="str">
        <f t="shared" si="2"/>
        <v/>
      </c>
    </row>
    <row r="139" spans="1:8" ht="31.5">
      <c r="A139" s="10" t="s">
        <v>175</v>
      </c>
      <c r="B139" s="121" t="s">
        <v>173</v>
      </c>
      <c r="C139" s="207"/>
      <c r="D139" s="33"/>
      <c r="E139" s="33"/>
      <c r="F139" s="41"/>
      <c r="G139" s="42" t="str">
        <f>IF(OR(Table1[[#This Row],[English]]&lt;&gt;"",Table1[[#This Row],[Français]]&lt;&gt;""),Table1[[#This Row],[Français]]&amp;"//"&amp;Table1[[#This Row],[English]],"")</f>
        <v>Expropriation//Expropriation / nationalization</v>
      </c>
      <c r="H139" s="43" t="str">
        <f t="shared" si="2"/>
        <v/>
      </c>
    </row>
    <row r="140" spans="1:8">
      <c r="A140" s="82" t="s">
        <v>176</v>
      </c>
      <c r="B140" s="81" t="s">
        <v>174</v>
      </c>
      <c r="C140" s="208"/>
      <c r="D140" s="164"/>
      <c r="E140" s="157"/>
      <c r="F140" s="100"/>
      <c r="G140" s="101" t="str">
        <f>IF(OR(Table1[[#This Row],[English]]&lt;&gt;"",Table1[[#This Row],[Français]]&lt;&gt;""),Table1[[#This Row],[Français]]&amp;"//"&amp;Table1[[#This Row],[English]],"")</f>
        <v>Autre - [le nom de catégorie]//Other - [Name of Category]</v>
      </c>
      <c r="H140" s="102" t="str">
        <f>IF(C140&lt;&gt;"",IF(D140&lt;&gt;"",C140&amp;"--"&amp;D140,C140),"")</f>
        <v/>
      </c>
    </row>
    <row r="141" spans="1:8">
      <c r="A141" s="44"/>
      <c r="B141" s="14"/>
      <c r="C141" s="207"/>
      <c r="D141" s="152"/>
      <c r="E141" s="152"/>
      <c r="F141" s="15"/>
      <c r="G141" s="16" t="str">
        <f>IF(OR(Table1[[#This Row],[English]]&lt;&gt;"",Table1[[#This Row],[Français]]&lt;&gt;""),Table1[[#This Row],[Français]]&amp;"//"&amp;Table1[[#This Row],[English]],"")</f>
        <v/>
      </c>
      <c r="H141" s="17" t="str">
        <f t="shared" si="2"/>
        <v/>
      </c>
    </row>
    <row r="142" spans="1:8" ht="31.5">
      <c r="A142" s="21" t="s">
        <v>157</v>
      </c>
      <c r="B142" s="21" t="s">
        <v>158</v>
      </c>
      <c r="C142" s="209"/>
      <c r="D142" s="158"/>
      <c r="E142" s="158"/>
      <c r="F142" s="21"/>
      <c r="G142" s="45" t="str">
        <f>IF(OR(Table1[[#This Row],[English]]&lt;&gt;"",Table1[[#This Row],[Français]]&lt;&gt;""),Table1[[#This Row],[Français]]&amp;"//"&amp;Table1[[#This Row],[English]],"")</f>
        <v>III. Notes sur le document//III. Document notes</v>
      </c>
      <c r="H142" s="46" t="str">
        <f t="shared" si="2"/>
        <v/>
      </c>
    </row>
    <row r="143" spans="1:8">
      <c r="A143" s="10" t="s">
        <v>159</v>
      </c>
      <c r="B143" s="10" t="s">
        <v>160</v>
      </c>
      <c r="C143" s="197"/>
      <c r="D143" s="33"/>
      <c r="E143" s="33"/>
      <c r="F143" s="41"/>
      <c r="G143" s="42" t="str">
        <f>IF(OR(Table1[[#This Row],[English]]&lt;&gt;"",Table1[[#This Row],[Français]]&lt;&gt;""),Table1[[#This Row],[Français]]&amp;"//"&amp;Table1[[#This Row],[English]],"")</f>
        <v>Pages Manquantes de la copie//Pages missing from  copy</v>
      </c>
      <c r="H143" s="43" t="str">
        <f t="shared" si="2"/>
        <v/>
      </c>
    </row>
    <row r="144" spans="1:8" ht="63">
      <c r="A144" s="10" t="s">
        <v>161</v>
      </c>
      <c r="B144" s="10" t="s">
        <v>162</v>
      </c>
      <c r="C144" s="10" t="s">
        <v>891</v>
      </c>
      <c r="D144" s="10"/>
      <c r="E144" s="10" t="s">
        <v>892</v>
      </c>
      <c r="F144" s="22"/>
      <c r="G144" s="23" t="str">
        <f>IF(OR(Table1[[#This Row],[English]]&lt;&gt;"",Table1[[#This Row],[Français]]&lt;&gt;""),Table1[[#This Row],[Français]]&amp;"//"&amp;Table1[[#This Row],[English]],"")</f>
        <v>Annexes Manquantes de la copie//Annexes missing from copy</v>
      </c>
      <c r="H144" s="13" t="str">
        <f t="shared" si="2"/>
        <v>Le cahier des charges; La carte de la concession forestière</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3">
    <mergeCell ref="B16:C16"/>
    <mergeCell ref="G16:H16"/>
    <mergeCell ref="C12:D12"/>
  </mergeCells>
  <phoneticPr fontId="17" type="noConversion"/>
  <dataValidations count="3">
    <dataValidation type="list" allowBlank="1" showInputMessage="1" showErrorMessage="1" sqref="C51">
      <formula1>resources</formula1>
    </dataValidation>
    <dataValidation type="list" allowBlank="1" showInputMessage="1" showErrorMessage="1" sqref="C27">
      <formula1>license_type</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r:id="rId1"/>
  <drawing r:id="rId2"/>
  <tableParts count="1">
    <tablePart r:id="rId3"/>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workbookViewId="0">
      <selection activeCell="B7" sqref="B7:B8"/>
    </sheetView>
  </sheetViews>
  <sheetFormatPr defaultColWidth="8.625" defaultRowHeight="15.75"/>
  <cols>
    <col min="1" max="1" width="30.5" customWidth="1"/>
    <col min="2" max="2" width="31.875" style="179" customWidth="1"/>
    <col min="3" max="3" width="23" bestFit="1" customWidth="1"/>
  </cols>
  <sheetData>
    <row r="1" spans="1:2">
      <c r="A1" s="49" t="s">
        <v>163</v>
      </c>
      <c r="B1" s="178" t="s">
        <v>164</v>
      </c>
    </row>
    <row r="2" spans="1:2">
      <c r="A2" s="176" t="s">
        <v>751</v>
      </c>
      <c r="B2" s="179" t="str">
        <f>IF(Categories!C136&lt;&gt;"",Categories!C136,"ENG")</f>
        <v>FRE</v>
      </c>
    </row>
    <row r="3" spans="1:2" ht="30.75">
      <c r="A3" s="50" t="s">
        <v>245</v>
      </c>
      <c r="B3" s="180" t="str">
        <f>IF(Categories!C19&lt;&gt;"",Categories!C19,"")</f>
        <v>Congo, the Democratic Republic of the</v>
      </c>
    </row>
    <row r="4" spans="1:2">
      <c r="A4" s="50" t="s">
        <v>737</v>
      </c>
      <c r="B4" s="180" t="e">
        <f>IF(Categories!C19&lt;&gt;"",VLOOKUP(Categories!C19,picklists!A2:B248,2,FALSE), "")</f>
        <v>#N/A</v>
      </c>
    </row>
    <row r="5" spans="1:2">
      <c r="A5" t="s">
        <v>739</v>
      </c>
      <c r="B5" s="179" t="str">
        <f>IF(Categories!C51&lt;&gt;"",Categories!C51,"")</f>
        <v>Bois d'œuvre</v>
      </c>
    </row>
    <row r="6" spans="1:2">
      <c r="A6" s="50" t="s">
        <v>165</v>
      </c>
      <c r="B6" s="180" t="s">
        <v>896</v>
      </c>
    </row>
    <row r="7" spans="1:2">
      <c r="A7" s="50" t="s">
        <v>166</v>
      </c>
      <c r="B7" s="210">
        <v>40658</v>
      </c>
    </row>
    <row r="8" spans="1:2">
      <c r="A8" t="s">
        <v>167</v>
      </c>
      <c r="B8" s="160">
        <f>IF(B7&lt;&gt;"",YEAR(B7),"")</f>
        <v>2011</v>
      </c>
    </row>
    <row r="9" spans="1:2">
      <c r="A9" t="s">
        <v>168</v>
      </c>
      <c r="B9" s="179" t="str">
        <f>IF(Categories!C49&lt;&gt;"",Categories!C49,"")</f>
        <v>25 ans renouvelables. Le contrat prend fin le 2039.</v>
      </c>
    </row>
    <row r="10" spans="1:2">
      <c r="A10" s="221" t="s">
        <v>747</v>
      </c>
      <c r="B10" s="221"/>
    </row>
    <row r="11" spans="1:2">
      <c r="A11" s="175" t="s">
        <v>12</v>
      </c>
      <c r="B11" s="179" t="str">
        <f>IF(Categories!C20&lt;&gt;"",Categories!C20,"")</f>
        <v>Maison NBK Service</v>
      </c>
    </row>
    <row r="12" spans="1:2">
      <c r="A12" s="175" t="s">
        <v>242</v>
      </c>
      <c r="B12" s="179" t="str">
        <f>IF(Categories!C21&lt;&gt;"",Categories!C21,"")</f>
        <v/>
      </c>
    </row>
    <row r="13" spans="1:2">
      <c r="A13" s="175" t="s">
        <v>14</v>
      </c>
      <c r="B13" s="179" t="str">
        <f>IF(Categories!C22&lt;&gt;"",Categories!C22,"")</f>
        <v>N° 4, Avenue du Port, 2e étage Immeuble NIOKI, Commune de la Gombe, Ville de Kinshasa, en République Démocratique du Congo</v>
      </c>
    </row>
    <row r="14" spans="1:2">
      <c r="A14" s="175" t="s">
        <v>16</v>
      </c>
      <c r="B14" s="179" t="str">
        <f>IF(Categories!C23&lt;&gt;"",Categories!C23,"")</f>
        <v/>
      </c>
    </row>
    <row r="15" spans="1:2">
      <c r="A15" s="175" t="s">
        <v>748</v>
      </c>
      <c r="B15" s="179" t="str">
        <f>IF(Categories!C24&lt;&gt;"",Categories!C24,"")</f>
        <v/>
      </c>
    </row>
    <row r="16" spans="1:2">
      <c r="A16" s="175" t="s">
        <v>242</v>
      </c>
      <c r="B16" s="179" t="str">
        <f>IF(Categories!C25&lt;&gt;"",Categories!C25,"")</f>
        <v/>
      </c>
    </row>
    <row r="17" spans="1:2">
      <c r="A17" s="175" t="s">
        <v>19</v>
      </c>
      <c r="B17" s="179" t="str">
        <f>IF(Categories!C26&lt;&gt;"",Categories!C26,"")</f>
        <v/>
      </c>
    </row>
    <row r="18" spans="1:2">
      <c r="A18" s="175" t="s">
        <v>22</v>
      </c>
      <c r="B18" s="179" t="str">
        <f>IF(Categories!C28&lt;&gt;"",Categories!C28,"")</f>
        <v/>
      </c>
    </row>
    <row r="19" spans="1:2" ht="31.5">
      <c r="A19" s="175" t="s">
        <v>23</v>
      </c>
      <c r="B19" s="179" t="str">
        <f>IF(Categories!C29&lt;&gt;"",Categories!C29,"")</f>
        <v/>
      </c>
    </row>
    <row r="20" spans="1:2">
      <c r="A20" s="175" t="s">
        <v>749</v>
      </c>
      <c r="B20" s="179" t="str">
        <f>IF(Categories!C30&lt;&gt;"",Categories!C30,"")</f>
        <v>Secteur: Baboma Nord, territoire: Mushie, district: Plateaux, province: Bandundu.  La délimitation physique se décrit dans l'article 2(II).</v>
      </c>
    </row>
    <row r="21" spans="1:2">
      <c r="A21" s="175" t="s">
        <v>25</v>
      </c>
      <c r="B21" s="179" t="str">
        <f>IF(Categories!C31&lt;&gt;"",Categories!C31,"")</f>
        <v/>
      </c>
    </row>
    <row r="22" spans="1:2">
      <c r="A22" s="175" t="s">
        <v>27</v>
      </c>
      <c r="B22" s="179" t="str">
        <f>IF(Categories!C32&lt;&gt;"",Categories!C32,"")</f>
        <v/>
      </c>
    </row>
    <row r="23" spans="1:2">
      <c r="A23" s="175" t="s">
        <v>29</v>
      </c>
      <c r="B23" s="179" t="str">
        <f>IF(Categories!C33&lt;&gt;"",Categories!C33,"")</f>
        <v/>
      </c>
    </row>
    <row r="24" spans="1:2">
      <c r="A24" s="175" t="s">
        <v>31</v>
      </c>
      <c r="B24" s="179" t="str">
        <f>IF(Categories!C34&lt;&gt;"",Categories!C34,"")</f>
        <v/>
      </c>
    </row>
    <row r="25" spans="1:2">
      <c r="A25" s="175" t="s">
        <v>750</v>
      </c>
      <c r="B25" s="179" t="str">
        <f>IF(B24&lt;&gt;"",YEAR(B24),"")</f>
        <v/>
      </c>
    </row>
    <row r="26" spans="1:2">
      <c r="A26" s="175" t="s">
        <v>33</v>
      </c>
      <c r="B26" s="179" t="str">
        <f>IF(Categories!C35&lt;&gt;"",Categories!C35,"")</f>
        <v/>
      </c>
    </row>
    <row r="27" spans="1:2">
      <c r="A27" s="175" t="s">
        <v>35</v>
      </c>
      <c r="B27" s="179" t="str">
        <f>IF(Categories!C36&lt;&gt;"",Categories!C36,"")</f>
        <v/>
      </c>
    </row>
    <row r="28" spans="1:2" ht="47.25">
      <c r="A28" s="175" t="s">
        <v>41</v>
      </c>
      <c r="B28" s="179" t="str">
        <f>IF(Categories!C40&lt;&gt;"",Categories!C40,"")</f>
        <v>Maison NBK Service</v>
      </c>
    </row>
    <row r="29" spans="1:2">
      <c r="A29" s="175" t="s">
        <v>242</v>
      </c>
      <c r="B29" s="179" t="str">
        <f>IF(Categories!C41&lt;&gt;"",Categories!C41,"")</f>
        <v/>
      </c>
    </row>
    <row r="30" spans="1:2">
      <c r="A30" s="175" t="s">
        <v>43</v>
      </c>
      <c r="B30" s="179" t="str">
        <f>IF(Categories!C42&lt;&gt;"",Categories!C42,"")</f>
        <v>Victor Ngalamulume, Gérant-Statutaire</v>
      </c>
    </row>
    <row r="31" spans="1:2" ht="31.5">
      <c r="A31" s="175" t="s">
        <v>45</v>
      </c>
      <c r="B31" s="179" t="str">
        <f>IF(Categories!C43&lt;&gt;"",Categories!C43,"")</f>
        <v>Le Ministre de l'Environnement, Conservation de la Nature et Tourisme</v>
      </c>
    </row>
    <row r="32" spans="1:2">
      <c r="A32" s="175" t="s">
        <v>47</v>
      </c>
      <c r="B32" s="179" t="str">
        <f>IF(Categories!C44&lt;&gt;"",Categories!C44,"")</f>
        <v>Bavon N'Sa Mputu Elima, Ministre de l'Environnement, Conservation de la Nature et Tourisme</v>
      </c>
    </row>
    <row r="33" spans="1:2" ht="31.5">
      <c r="A33" s="175" t="s">
        <v>49</v>
      </c>
      <c r="B33" s="179" t="str">
        <f>IF(Categories!C45&lt;&gt;"",Categories!C45,"")</f>
        <v/>
      </c>
    </row>
    <row r="34" spans="1:2" ht="31.5">
      <c r="A34" s="175" t="s">
        <v>169</v>
      </c>
      <c r="B34" s="179" t="str">
        <f>IF(Categories!C46&lt;&gt;"",Categories!C46,"")</f>
        <v/>
      </c>
    </row>
    <row r="35" spans="1:2">
      <c r="A35" s="175" t="s">
        <v>57</v>
      </c>
      <c r="B35" s="179" t="str">
        <f>IF(Categories!C50&lt;&gt;"",Categories!C50,"")</f>
        <v>A l'expiration du contrat de concession, ou un an avant la date d'expiration, Maison NBK Service peut demander le renouvellement du contrat dans les conditions déterminées par les règlements en vigueur et à condition que les obligations découlant du contrat et du cahier des charges aient été exécutées. En demandant un renouvellement, Maison NBK Service doit fournir les preuves de mise à jour de son plan d'aménagement et du cahier des charges sur la période de renouvellement. Le Gouvernement peut refuser le renouvellement en cas de violation de l'une des quelconques dispositions du présent contrat et du cahier des charges: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v>
      </c>
    </row>
    <row r="36" spans="1:2">
      <c r="A36" s="175" t="s">
        <v>217</v>
      </c>
      <c r="B36" s="179" t="str">
        <f>IF(Categories!C52&lt;&gt;"",Categories!C52,"")</f>
        <v>79.730 hectares</v>
      </c>
    </row>
    <row r="37" spans="1:2">
      <c r="A37" s="177" t="s">
        <v>160</v>
      </c>
      <c r="B37" s="179" t="str">
        <f>IF(Categories!C143&lt;&gt;"",Categories!C143,"")</f>
        <v/>
      </c>
    </row>
    <row r="38" spans="1:2">
      <c r="A38" s="177" t="s">
        <v>162</v>
      </c>
      <c r="B38" s="179" t="str">
        <f>IF(Categories!C144&lt;&gt;"",Categories!C144,"")</f>
        <v>Le cahier des charges; La carte de la concession forestière</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defaultColWidth="11" defaultRowHeight="15.75"/>
  <cols>
    <col min="8" max="8" width="35.625" customWidth="1"/>
    <col min="9" max="9" width="23.5" bestFit="1" customWidth="1"/>
    <col min="10" max="10" width="17.875" customWidth="1"/>
  </cols>
  <sheetData>
    <row r="1" spans="1:13">
      <c r="A1" t="s">
        <v>245</v>
      </c>
      <c r="B1" t="s">
        <v>246</v>
      </c>
      <c r="D1" t="s">
        <v>738</v>
      </c>
      <c r="H1" t="s">
        <v>740</v>
      </c>
      <c r="I1" t="s">
        <v>740</v>
      </c>
      <c r="L1" t="s">
        <v>751</v>
      </c>
    </row>
    <row r="2" spans="1:13">
      <c r="A2" t="s">
        <v>247</v>
      </c>
      <c r="B2" t="s">
        <v>248</v>
      </c>
      <c r="D2" t="str">
        <f>IF(Metadata!B2="ENG",E2,F2)</f>
        <v>Alumine</v>
      </c>
      <c r="E2" t="s">
        <v>821</v>
      </c>
      <c r="F2" t="s">
        <v>822</v>
      </c>
      <c r="H2" t="str">
        <f>IF(Metadata!B2="ENG",I2,J2)</f>
        <v>Contrat d'amodiation</v>
      </c>
      <c r="I2" t="s">
        <v>816</v>
      </c>
      <c r="J2" t="s">
        <v>817</v>
      </c>
      <c r="L2" t="s">
        <v>758</v>
      </c>
      <c r="M2" t="s">
        <v>760</v>
      </c>
    </row>
    <row r="3" spans="1:13">
      <c r="A3" t="s">
        <v>249</v>
      </c>
      <c r="B3" t="s">
        <v>250</v>
      </c>
      <c r="D3" t="str">
        <f>IF(Metadata!B2="ENG",E3,F3)</f>
        <v>Les metaux de base</v>
      </c>
      <c r="E3" t="s">
        <v>771</v>
      </c>
      <c r="F3" t="s">
        <v>840</v>
      </c>
      <c r="H3" t="str">
        <f>IF(Metadata!B2="ENG",I3,J3)</f>
        <v>Concession</v>
      </c>
      <c r="I3" s="174" t="s">
        <v>742</v>
      </c>
      <c r="J3" s="174" t="s">
        <v>742</v>
      </c>
      <c r="L3" t="s">
        <v>759</v>
      </c>
      <c r="M3" t="s">
        <v>757</v>
      </c>
    </row>
    <row r="4" spans="1:13">
      <c r="A4" t="s">
        <v>251</v>
      </c>
      <c r="B4" t="s">
        <v>252</v>
      </c>
      <c r="D4" t="str">
        <f>IF(Metadata!B2="ENG",E4,F4)</f>
        <v>Bauxite</v>
      </c>
      <c r="E4" s="181" t="s">
        <v>772</v>
      </c>
      <c r="F4" s="181" t="s">
        <v>772</v>
      </c>
      <c r="H4" t="str">
        <f>IF(Metadata!B2="ENG",I4,J4)</f>
        <v>Convention</v>
      </c>
      <c r="I4" t="s">
        <v>761</v>
      </c>
      <c r="J4" t="s">
        <v>761</v>
      </c>
    </row>
    <row r="5" spans="1:13">
      <c r="A5" t="s">
        <v>253</v>
      </c>
      <c r="B5" t="s">
        <v>254</v>
      </c>
      <c r="D5" t="str">
        <f>IF(Metadata!B2="ENG",E5,F5)</f>
        <v>Charbon</v>
      </c>
      <c r="E5" t="s">
        <v>773</v>
      </c>
      <c r="F5" t="s">
        <v>774</v>
      </c>
      <c r="H5" t="str">
        <f>IF(Metadata!B2="ENG",I5,J5)</f>
        <v>Permis d'exploration</v>
      </c>
      <c r="I5" s="174" t="s">
        <v>741</v>
      </c>
      <c r="J5" t="s">
        <v>752</v>
      </c>
    </row>
    <row r="6" spans="1:13">
      <c r="A6" t="s">
        <v>255</v>
      </c>
      <c r="B6" t="s">
        <v>256</v>
      </c>
      <c r="D6" t="str">
        <f>IF(Metadata!B2="ENG",E6,F6)</f>
        <v>Cobalt</v>
      </c>
      <c r="E6" t="s">
        <v>775</v>
      </c>
      <c r="F6" t="s">
        <v>775</v>
      </c>
      <c r="H6" t="str">
        <f>IF(Metadata!B2="ENG",I6,J6)</f>
        <v>Permis d'exploitation</v>
      </c>
      <c r="I6" s="174" t="s">
        <v>762</v>
      </c>
      <c r="J6" t="s">
        <v>763</v>
      </c>
    </row>
    <row r="7" spans="1:13" ht="31.5">
      <c r="A7" t="s">
        <v>257</v>
      </c>
      <c r="B7" t="s">
        <v>258</v>
      </c>
      <c r="D7" t="str">
        <f>IF(Metadata!B2="ENG",E7,F7)</f>
        <v>Cuivre</v>
      </c>
      <c r="E7" t="s">
        <v>776</v>
      </c>
      <c r="F7" t="s">
        <v>828</v>
      </c>
      <c r="H7" t="str">
        <f>IF(Metadata!B2="ENG",I7,J7)</f>
        <v>Contrat de Concession Forestière</v>
      </c>
      <c r="I7" s="174" t="s">
        <v>769</v>
      </c>
      <c r="J7" t="s">
        <v>770</v>
      </c>
    </row>
    <row r="8" spans="1:13">
      <c r="A8" t="s">
        <v>259</v>
      </c>
      <c r="B8" t="s">
        <v>260</v>
      </c>
      <c r="D8" t="str">
        <f>IF(Metadata!B2="ENG",E8,F8)</f>
        <v>Huile brute</v>
      </c>
      <c r="E8" t="s">
        <v>777</v>
      </c>
      <c r="F8" t="s">
        <v>778</v>
      </c>
      <c r="H8" t="str">
        <f>IF(Metadata!B2="ENG",I8,J8)</f>
        <v>Accord d'investissement</v>
      </c>
      <c r="I8" s="174" t="s">
        <v>764</v>
      </c>
      <c r="J8" t="s">
        <v>811</v>
      </c>
    </row>
    <row r="9" spans="1:13" ht="31.5">
      <c r="A9" t="s">
        <v>261</v>
      </c>
      <c r="B9" t="s">
        <v>262</v>
      </c>
      <c r="D9" t="str">
        <f>IF(Metadata!B2="ENG",E9,F9)</f>
        <v>Diamants</v>
      </c>
      <c r="E9" t="s">
        <v>779</v>
      </c>
      <c r="F9" t="s">
        <v>829</v>
      </c>
      <c r="H9" t="str">
        <f>IF(Metadata!B2="ENG",I9,J9)</f>
        <v>Contrat d'incitation à l'investissement</v>
      </c>
      <c r="I9" s="174" t="s">
        <v>765</v>
      </c>
      <c r="J9" t="s">
        <v>812</v>
      </c>
    </row>
    <row r="10" spans="1:13">
      <c r="A10" t="s">
        <v>263</v>
      </c>
      <c r="B10" t="s">
        <v>264</v>
      </c>
      <c r="D10" t="str">
        <f>IF(Metadata!B2="ENG",E10,F10)</f>
        <v>Gaz</v>
      </c>
      <c r="E10" t="s">
        <v>780</v>
      </c>
      <c r="F10" t="s">
        <v>781</v>
      </c>
      <c r="H10" t="str">
        <f>IF(Metadata!B2="ENG",I10,J10)</f>
        <v>Contrat de joint-venture</v>
      </c>
      <c r="I10" t="s">
        <v>766</v>
      </c>
      <c r="J10" t="s">
        <v>813</v>
      </c>
      <c r="K10" s="184"/>
    </row>
    <row r="11" spans="1:13">
      <c r="A11" t="s">
        <v>265</v>
      </c>
      <c r="B11" t="s">
        <v>266</v>
      </c>
      <c r="D11" t="str">
        <f>IF(Metadata!B2="ENG",E11,F11)</f>
        <v>Or</v>
      </c>
      <c r="E11" t="s">
        <v>782</v>
      </c>
      <c r="F11" t="s">
        <v>783</v>
      </c>
      <c r="H11" t="str">
        <f>IF(Metadata!B2="ENG",I11,J11)</f>
        <v>Bail</v>
      </c>
      <c r="I11" t="s">
        <v>745</v>
      </c>
      <c r="J11" t="s">
        <v>755</v>
      </c>
    </row>
    <row r="12" spans="1:13" ht="31.5">
      <c r="A12" t="s">
        <v>267</v>
      </c>
      <c r="B12" t="s">
        <v>268</v>
      </c>
      <c r="D12" t="str">
        <f>IF(Metadata!B2="ENG",E12,F12)</f>
        <v>Fer</v>
      </c>
      <c r="E12" t="s">
        <v>784</v>
      </c>
      <c r="F12" t="s">
        <v>820</v>
      </c>
      <c r="H12" t="str">
        <f>IF(Metadata!B2="ENG",I12,J12)</f>
        <v>Accord de partage</v>
      </c>
      <c r="I12" s="174" t="s">
        <v>746</v>
      </c>
      <c r="J12" t="s">
        <v>753</v>
      </c>
    </row>
    <row r="13" spans="1:13" ht="47.25">
      <c r="A13" t="s">
        <v>269</v>
      </c>
      <c r="B13" t="s">
        <v>270</v>
      </c>
      <c r="D13" t="str">
        <f>IF(Metadata!B2="ENG",E13,F13)</f>
        <v>Lapis-lazuli</v>
      </c>
      <c r="E13" t="s">
        <v>785</v>
      </c>
      <c r="F13" t="s">
        <v>825</v>
      </c>
      <c r="H13" t="str">
        <f>IF(Metadata!B2="ENG",I13,J13)</f>
        <v>Accord de fonctionnement entre les entreprises privées</v>
      </c>
      <c r="I13" s="174" t="s">
        <v>767</v>
      </c>
      <c r="J13" t="s">
        <v>814</v>
      </c>
    </row>
    <row r="14" spans="1:13">
      <c r="A14" t="s">
        <v>271</v>
      </c>
      <c r="B14" t="s">
        <v>272</v>
      </c>
      <c r="D14" t="str">
        <f>IF(Metadata!B2="ENG",E14,F14)</f>
        <v>Plomb</v>
      </c>
      <c r="E14" t="s">
        <v>786</v>
      </c>
      <c r="F14" t="s">
        <v>826</v>
      </c>
      <c r="H14" t="str">
        <f>IF(Metadata!B2="ENG",I14,J14)</f>
        <v>Contrat d'option</v>
      </c>
      <c r="I14" s="174" t="s">
        <v>818</v>
      </c>
      <c r="J14" t="s">
        <v>819</v>
      </c>
    </row>
    <row r="15" spans="1:13">
      <c r="A15" t="s">
        <v>273</v>
      </c>
      <c r="B15" t="s">
        <v>274</v>
      </c>
      <c r="D15" t="str">
        <f>IF(Metadata!B2="ENG",E15,F15)</f>
        <v>Lithium</v>
      </c>
      <c r="E15" t="s">
        <v>787</v>
      </c>
      <c r="F15" t="s">
        <v>787</v>
      </c>
      <c r="H15" t="str">
        <f>IF(Metadata!B2="ENG",I15,J15)</f>
        <v>Accord d'intéressement</v>
      </c>
      <c r="I15" s="174" t="s">
        <v>768</v>
      </c>
      <c r="J15" t="s">
        <v>815</v>
      </c>
    </row>
    <row r="16" spans="1:13">
      <c r="A16" t="s">
        <v>275</v>
      </c>
      <c r="B16" t="s">
        <v>276</v>
      </c>
      <c r="D16" t="str">
        <f>IF(Metadata!B2="ENG",E16,F16)</f>
        <v>Manganèse</v>
      </c>
      <c r="E16" t="s">
        <v>788</v>
      </c>
      <c r="F16" t="s">
        <v>827</v>
      </c>
      <c r="H16" t="str">
        <f>IF(Metadata!B2="ENG",I16,J16)</f>
        <v>Contrat de service</v>
      </c>
      <c r="I16" s="174" t="s">
        <v>743</v>
      </c>
      <c r="J16" t="s">
        <v>754</v>
      </c>
    </row>
    <row r="17" spans="1:10">
      <c r="A17" t="s">
        <v>277</v>
      </c>
      <c r="B17" t="s">
        <v>278</v>
      </c>
      <c r="D17" t="str">
        <f>IF(Metadata!B2="ENG",E17,F17)</f>
        <v>Molybdène</v>
      </c>
      <c r="E17" t="s">
        <v>823</v>
      </c>
      <c r="F17" t="s">
        <v>824</v>
      </c>
      <c r="H17" t="str">
        <f>IF(Metadata!B2="ENG",I17,J17)</f>
        <v>Autre</v>
      </c>
      <c r="I17" s="174" t="s">
        <v>744</v>
      </c>
      <c r="J17" t="s">
        <v>756</v>
      </c>
    </row>
    <row r="18" spans="1:10">
      <c r="A18" t="s">
        <v>279</v>
      </c>
      <c r="B18" t="s">
        <v>280</v>
      </c>
      <c r="D18" t="str">
        <f>IF(Metadata!B2="ENG",E18,F18)</f>
        <v>Nickel</v>
      </c>
      <c r="E18" t="s">
        <v>789</v>
      </c>
      <c r="F18" t="s">
        <v>789</v>
      </c>
      <c r="H18">
        <f>IF(Metadata!B2="ENG",I18,J18)</f>
        <v>0</v>
      </c>
    </row>
    <row r="19" spans="1:10">
      <c r="A19" t="s">
        <v>281</v>
      </c>
      <c r="B19" t="s">
        <v>282</v>
      </c>
      <c r="D19" t="str">
        <f>IF(Metadata!B2="ENG",E19,F19)</f>
        <v>Rroche phosphatée</v>
      </c>
      <c r="E19" t="s">
        <v>790</v>
      </c>
      <c r="F19" t="s">
        <v>830</v>
      </c>
      <c r="H19">
        <f>IF(Metadata!B2="ENG",I19,J19)</f>
        <v>0</v>
      </c>
    </row>
    <row r="20" spans="1:10">
      <c r="A20" t="s">
        <v>283</v>
      </c>
      <c r="B20" t="s">
        <v>284</v>
      </c>
      <c r="D20" t="str">
        <f>IF(Metadata!B2="ENG",E20,F20)</f>
        <v>Métaux du groupe du platine</v>
      </c>
      <c r="E20" t="s">
        <v>791</v>
      </c>
      <c r="F20" t="s">
        <v>831</v>
      </c>
      <c r="H20">
        <f>IF(Metadata!B2="ENG",I20,J20)</f>
        <v>0</v>
      </c>
    </row>
    <row r="21" spans="1:10">
      <c r="A21" t="s">
        <v>285</v>
      </c>
      <c r="B21" t="s">
        <v>286</v>
      </c>
      <c r="D21" t="str">
        <f>IF(Metadata!B2="ENG",E21,F21)</f>
        <v>Pierres précieuses</v>
      </c>
      <c r="E21" t="s">
        <v>792</v>
      </c>
      <c r="F21" t="s">
        <v>832</v>
      </c>
      <c r="H21">
        <f>IF(Metadata!B2="ENG",I21,J21)</f>
        <v>0</v>
      </c>
    </row>
    <row r="22" spans="1:10">
      <c r="A22" t="s">
        <v>287</v>
      </c>
      <c r="B22" t="s">
        <v>288</v>
      </c>
      <c r="D22" t="str">
        <f>IF(Metadata!B2="ENG",E22,F22)</f>
        <v>Quartz</v>
      </c>
      <c r="E22" t="s">
        <v>793</v>
      </c>
      <c r="F22" t="s">
        <v>793</v>
      </c>
      <c r="H22">
        <f>IF(Metadata!B2="ENG",I22,J22)</f>
        <v>0</v>
      </c>
    </row>
    <row r="23" spans="1:10">
      <c r="A23" t="s">
        <v>289</v>
      </c>
      <c r="B23" t="s">
        <v>290</v>
      </c>
      <c r="D23" t="str">
        <f>IF(Metadata!B2="ENG",E23,F23)</f>
        <v>Pierres semi précieuses</v>
      </c>
      <c r="E23" t="s">
        <v>794</v>
      </c>
      <c r="F23" t="s">
        <v>833</v>
      </c>
      <c r="H23">
        <f>IF(Metadata!B2="ENG",I23,J23)</f>
        <v>0</v>
      </c>
    </row>
    <row r="24" spans="1:10">
      <c r="A24" t="s">
        <v>291</v>
      </c>
      <c r="B24" t="s">
        <v>292</v>
      </c>
      <c r="D24" t="str">
        <f>IF(Metadata!B2="ENG",E24,F24)</f>
        <v>Argent</v>
      </c>
      <c r="E24" t="s">
        <v>795</v>
      </c>
      <c r="F24" t="s">
        <v>834</v>
      </c>
      <c r="H24">
        <f>IF(Metadata!B2="ENG",I24,J24)</f>
        <v>0</v>
      </c>
    </row>
    <row r="25" spans="1:10">
      <c r="A25" t="s">
        <v>293</v>
      </c>
      <c r="B25" t="s">
        <v>294</v>
      </c>
      <c r="D25" t="str">
        <f>IF(Metadata!B2="ENG",E25,F25)</f>
        <v>Titane</v>
      </c>
      <c r="E25" t="s">
        <v>796</v>
      </c>
      <c r="F25" t="s">
        <v>835</v>
      </c>
      <c r="H25">
        <f>IF(Metadata!B2="ENG",I25,J25)</f>
        <v>0</v>
      </c>
    </row>
    <row r="26" spans="1:10">
      <c r="A26" t="s">
        <v>295</v>
      </c>
      <c r="B26" t="s">
        <v>296</v>
      </c>
      <c r="D26" t="str">
        <f>IF(Metadata!B2="ENG",E26,F26)</f>
        <v>Uranium</v>
      </c>
      <c r="E26" t="s">
        <v>797</v>
      </c>
      <c r="F26" t="s">
        <v>797</v>
      </c>
      <c r="H26">
        <f>IF(Metadata!B2="ENG",I26,J26)</f>
        <v>0</v>
      </c>
    </row>
    <row r="27" spans="1:10">
      <c r="A27" t="s">
        <v>297</v>
      </c>
      <c r="B27" t="s">
        <v>298</v>
      </c>
      <c r="D27" t="str">
        <f>IF(Metadata!B2="ENG",E27,F27)</f>
        <v>Zinc</v>
      </c>
      <c r="E27" t="s">
        <v>798</v>
      </c>
      <c r="F27" t="s">
        <v>798</v>
      </c>
      <c r="H27">
        <f>IF(Metadata!B2="ENG",I27,J27)</f>
        <v>0</v>
      </c>
    </row>
    <row r="28" spans="1:10">
      <c r="A28" t="s">
        <v>299</v>
      </c>
      <c r="B28" t="s">
        <v>300</v>
      </c>
      <c r="D28" t="str">
        <f>IF(Metadata!B2="ENG",E28,F28)</f>
        <v>Citrus</v>
      </c>
      <c r="E28" t="s">
        <v>799</v>
      </c>
      <c r="F28" t="s">
        <v>799</v>
      </c>
      <c r="H28">
        <f>IF(Metadata!B2="ENG",I28,J28)</f>
        <v>0</v>
      </c>
    </row>
    <row r="29" spans="1:10">
      <c r="A29" t="s">
        <v>301</v>
      </c>
      <c r="B29" t="s">
        <v>302</v>
      </c>
      <c r="D29" t="str">
        <f>IF(Metadata!B2="ENG",E29,F29)</f>
        <v>Les cultures vivrières</v>
      </c>
      <c r="E29" t="s">
        <v>800</v>
      </c>
      <c r="F29" t="s">
        <v>801</v>
      </c>
      <c r="H29">
        <f>IF(Metadata!B2="ENG",I29,J29)</f>
        <v>0</v>
      </c>
    </row>
    <row r="30" spans="1:10">
      <c r="A30" t="s">
        <v>303</v>
      </c>
      <c r="B30" t="s">
        <v>304</v>
      </c>
      <c r="D30" t="str">
        <f>IF(Metadata!B2="ENG",E30,F30)</f>
        <v>Hydrocarbures</v>
      </c>
      <c r="E30" t="s">
        <v>802</v>
      </c>
      <c r="F30" t="s">
        <v>836</v>
      </c>
      <c r="H30">
        <f>IF(Metadata!B2="ENG",I30,J30)</f>
        <v>0</v>
      </c>
    </row>
    <row r="31" spans="1:10">
      <c r="A31" t="s">
        <v>305</v>
      </c>
      <c r="B31" t="s">
        <v>306</v>
      </c>
      <c r="D31" t="str">
        <f>IF(Metadata!B2="ENG",E31,F31)</f>
        <v>Huile de palme</v>
      </c>
      <c r="E31" t="s">
        <v>803</v>
      </c>
      <c r="F31" t="s">
        <v>804</v>
      </c>
      <c r="H31">
        <f>IF(Metadata!B2="ENG",I31,J31)</f>
        <v>0</v>
      </c>
    </row>
    <row r="32" spans="1:10">
      <c r="A32" t="s">
        <v>307</v>
      </c>
      <c r="B32" t="s">
        <v>308</v>
      </c>
      <c r="D32" t="str">
        <f>IF(Metadata!B2="ENG",E32,F32)</f>
        <v>Caoutchouc</v>
      </c>
      <c r="E32" t="s">
        <v>805</v>
      </c>
      <c r="F32" t="s">
        <v>837</v>
      </c>
      <c r="H32">
        <f>IF(Metadata!B2="ENG",I32,J32)</f>
        <v>0</v>
      </c>
    </row>
    <row r="33" spans="1:8">
      <c r="A33" t="s">
        <v>309</v>
      </c>
      <c r="B33" t="s">
        <v>310</v>
      </c>
      <c r="D33" t="str">
        <f>IF(Metadata!B2="ENG",E33,F33)</f>
        <v>Soja</v>
      </c>
      <c r="E33" t="s">
        <v>806</v>
      </c>
      <c r="F33" t="s">
        <v>838</v>
      </c>
      <c r="H33">
        <f>IF(Metadata!B2="ENG",I33,J33)</f>
        <v>0</v>
      </c>
    </row>
    <row r="34" spans="1:8">
      <c r="A34" t="s">
        <v>311</v>
      </c>
      <c r="B34" t="s">
        <v>312</v>
      </c>
      <c r="D34" t="str">
        <f>IF(Metadata!B2="ENG",E34,F34)</f>
        <v>Sucre</v>
      </c>
      <c r="E34" t="s">
        <v>807</v>
      </c>
      <c r="F34" t="s">
        <v>808</v>
      </c>
      <c r="H34">
        <f>IF(Metadata!B2="ENG",I34,J34)</f>
        <v>0</v>
      </c>
    </row>
    <row r="35" spans="1:8">
      <c r="A35" t="s">
        <v>313</v>
      </c>
      <c r="B35" t="s">
        <v>314</v>
      </c>
      <c r="D35" t="str">
        <f>IF(Metadata!B2="ENG",E35,F35)</f>
        <v>Bois d'œuvre</v>
      </c>
      <c r="E35" t="s">
        <v>809</v>
      </c>
      <c r="F35" t="s">
        <v>810</v>
      </c>
      <c r="H35">
        <f>IF(Metadata!B2="ENG",I35,J35)</f>
        <v>0</v>
      </c>
    </row>
    <row r="36" spans="1:8">
      <c r="A36" t="s">
        <v>315</v>
      </c>
      <c r="B36" t="s">
        <v>316</v>
      </c>
      <c r="D36">
        <f>IF(Metadata!B2="ENG",E36,F36)</f>
        <v>0</v>
      </c>
      <c r="H36">
        <f>IF(Metadata!B2="ENG",I36,J36)</f>
        <v>0</v>
      </c>
    </row>
    <row r="37" spans="1:8">
      <c r="A37" t="s">
        <v>317</v>
      </c>
      <c r="B37" t="s">
        <v>318</v>
      </c>
      <c r="D37">
        <f>IF(Metadata!B2="ENG",E37,F37)</f>
        <v>0</v>
      </c>
      <c r="H37">
        <f>IF(Metadata!B2="ENG",I37,J37)</f>
        <v>0</v>
      </c>
    </row>
    <row r="38" spans="1:8">
      <c r="A38" t="s">
        <v>319</v>
      </c>
      <c r="B38" t="s">
        <v>320</v>
      </c>
      <c r="D38">
        <f>IF(Metadata!B2="ENG",E38,F38)</f>
        <v>0</v>
      </c>
      <c r="H38">
        <f>IF(Metadata!B2="ENG",I38,J38)</f>
        <v>0</v>
      </c>
    </row>
    <row r="39" spans="1:8">
      <c r="A39" t="s">
        <v>321</v>
      </c>
      <c r="B39" t="s">
        <v>322</v>
      </c>
      <c r="D39">
        <f>IF(Metadata!B2="ENG",E39,F39)</f>
        <v>0</v>
      </c>
      <c r="H39">
        <f>IF(Metadata!B2="ENG",I39,J39)</f>
        <v>0</v>
      </c>
    </row>
    <row r="40" spans="1:8">
      <c r="A40" t="s">
        <v>323</v>
      </c>
      <c r="B40" t="s">
        <v>324</v>
      </c>
      <c r="D40">
        <f>IF(Metadata!B2="ENG",E40,F40)</f>
        <v>0</v>
      </c>
      <c r="H40">
        <f>IF(Metadata!B2="ENG",I40,J40)</f>
        <v>0</v>
      </c>
    </row>
    <row r="41" spans="1:8">
      <c r="A41" t="s">
        <v>325</v>
      </c>
      <c r="B41" t="s">
        <v>326</v>
      </c>
      <c r="D41">
        <f>IF(Metadata!B2="ENG",E41,F41)</f>
        <v>0</v>
      </c>
      <c r="H41">
        <f>IF(Metadata!B2="ENG",I41,J41)</f>
        <v>0</v>
      </c>
    </row>
    <row r="42" spans="1:8">
      <c r="A42" t="s">
        <v>327</v>
      </c>
      <c r="B42" t="s">
        <v>328</v>
      </c>
      <c r="D42">
        <f>IF(Metadata!B2="ENG",E42,F42)</f>
        <v>0</v>
      </c>
      <c r="H42">
        <f>IF(Metadata!B2="ENG",I42,J42)</f>
        <v>0</v>
      </c>
    </row>
    <row r="43" spans="1:8">
      <c r="A43" t="s">
        <v>329</v>
      </c>
      <c r="B43" t="s">
        <v>330</v>
      </c>
      <c r="D43">
        <f>IF(Metadata!B2="ENG",E43,F43)</f>
        <v>0</v>
      </c>
      <c r="H43">
        <f>IF(Metadata!B2="ENG",I43,J43)</f>
        <v>0</v>
      </c>
    </row>
    <row r="44" spans="1:8">
      <c r="A44" t="s">
        <v>331</v>
      </c>
      <c r="B44" t="s">
        <v>332</v>
      </c>
      <c r="D44">
        <f>IF(Metadata!B2="ENG",E44,F44)</f>
        <v>0</v>
      </c>
      <c r="H44">
        <f>IF(Metadata!B2="ENG",I44,J44)</f>
        <v>0</v>
      </c>
    </row>
    <row r="45" spans="1:8">
      <c r="A45" t="s">
        <v>333</v>
      </c>
      <c r="B45" t="s">
        <v>334</v>
      </c>
      <c r="D45">
        <f>IF(Metadata!B2="ENG",E45,F45)</f>
        <v>0</v>
      </c>
      <c r="H45">
        <f>IF(Metadata!B2="ENG",I45,J45)</f>
        <v>0</v>
      </c>
    </row>
    <row r="46" spans="1:8">
      <c r="A46" t="s">
        <v>335</v>
      </c>
      <c r="B46" t="s">
        <v>336</v>
      </c>
      <c r="D46">
        <f>IF(Metadata!B2="ENG",E46,F46)</f>
        <v>0</v>
      </c>
      <c r="H46">
        <f>IF(Metadata!B2="ENG",I46,J46)</f>
        <v>0</v>
      </c>
    </row>
    <row r="47" spans="1:8">
      <c r="A47" t="s">
        <v>337</v>
      </c>
      <c r="B47" t="s">
        <v>338</v>
      </c>
      <c r="D47">
        <f>IF(Metadata!B2="ENG",E47,F47)</f>
        <v>0</v>
      </c>
      <c r="H47">
        <f>IF(Metadata!B2="ENG",I47,J47)</f>
        <v>0</v>
      </c>
    </row>
    <row r="48" spans="1:8">
      <c r="A48" t="s">
        <v>339</v>
      </c>
      <c r="B48" t="s">
        <v>340</v>
      </c>
      <c r="D48">
        <f>IF(Metadata!B2="ENG",E48,F48)</f>
        <v>0</v>
      </c>
      <c r="H48">
        <f>IF(Metadata!B2="ENG",I48,J48)</f>
        <v>0</v>
      </c>
    </row>
    <row r="49" spans="1:8">
      <c r="A49" t="s">
        <v>341</v>
      </c>
      <c r="B49" t="s">
        <v>342</v>
      </c>
      <c r="D49">
        <f>IF(Metadata!B2="ENG",E49,F49)</f>
        <v>0</v>
      </c>
      <c r="H49">
        <f>IF(Metadata!B2="ENG",I49,J49)</f>
        <v>0</v>
      </c>
    </row>
    <row r="50" spans="1:8">
      <c r="A50" t="s">
        <v>343</v>
      </c>
      <c r="B50" t="s">
        <v>344</v>
      </c>
      <c r="D50">
        <f>IF(Metadata!B2="ENG",E50,F50)</f>
        <v>0</v>
      </c>
      <c r="H50">
        <f>IF(Metadata!B2="ENG",I50,J50)</f>
        <v>0</v>
      </c>
    </row>
    <row r="51" spans="1:8">
      <c r="A51" t="s">
        <v>345</v>
      </c>
      <c r="B51" t="s">
        <v>346</v>
      </c>
      <c r="D51">
        <f>IF(Metadata!B2="ENG",E51,F51)</f>
        <v>0</v>
      </c>
      <c r="H51">
        <f>IF(Metadata!B2="ENG",I51,J51)</f>
        <v>0</v>
      </c>
    </row>
    <row r="52" spans="1:8">
      <c r="A52" t="s">
        <v>347</v>
      </c>
      <c r="B52" t="s">
        <v>348</v>
      </c>
      <c r="D52">
        <f>IF(Metadata!B2="ENG",E52,F52)</f>
        <v>0</v>
      </c>
      <c r="H52">
        <f>IF(Metadata!B2="ENG",I52,J52)</f>
        <v>0</v>
      </c>
    </row>
    <row r="53" spans="1:8">
      <c r="A53" t="s">
        <v>349</v>
      </c>
      <c r="B53" t="s">
        <v>350</v>
      </c>
      <c r="D53">
        <f>IF(Metadata!B2="ENG",E53,F53)</f>
        <v>0</v>
      </c>
      <c r="H53">
        <f>IF(Metadata!B2="ENG",I53,J53)</f>
        <v>0</v>
      </c>
    </row>
    <row r="54" spans="1:8">
      <c r="A54" t="s">
        <v>351</v>
      </c>
      <c r="B54" t="s">
        <v>352</v>
      </c>
      <c r="D54">
        <f>IF(Metadata!B2="ENG",E54,F54)</f>
        <v>0</v>
      </c>
      <c r="H54">
        <f>IF(Metadata!B2="ENG",I54,J54)</f>
        <v>0</v>
      </c>
    </row>
    <row r="55" spans="1:8">
      <c r="A55" t="s">
        <v>353</v>
      </c>
      <c r="B55" t="s">
        <v>354</v>
      </c>
      <c r="D55">
        <f>IF(Metadata!B2="ENG",E55,F55)</f>
        <v>0</v>
      </c>
      <c r="H55">
        <f>IF(Metadata!B2="ENG",I55,J55)</f>
        <v>0</v>
      </c>
    </row>
    <row r="56" spans="1:8">
      <c r="A56" t="s">
        <v>355</v>
      </c>
      <c r="B56" t="s">
        <v>356</v>
      </c>
      <c r="D56">
        <f>IF(Metadata!B2="ENG",E56,F56)</f>
        <v>0</v>
      </c>
      <c r="H56">
        <f>IF(Metadata!B2="ENG",I56,J56)</f>
        <v>0</v>
      </c>
    </row>
    <row r="57" spans="1:8">
      <c r="A57" t="s">
        <v>357</v>
      </c>
      <c r="B57" t="s">
        <v>358</v>
      </c>
      <c r="D57">
        <f>IF(Metadata!B2="ENG",E57,F57)</f>
        <v>0</v>
      </c>
      <c r="H57">
        <f>IF(Metadata!B2="ENG",I57,J57)</f>
        <v>0</v>
      </c>
    </row>
    <row r="58" spans="1:8">
      <c r="A58" t="s">
        <v>359</v>
      </c>
      <c r="B58" t="s">
        <v>360</v>
      </c>
      <c r="D58">
        <f>IF(Metadata!B2="ENG",E58,F58)</f>
        <v>0</v>
      </c>
      <c r="H58">
        <f>IF(Metadata!B2="ENG",I58,J58)</f>
        <v>0</v>
      </c>
    </row>
    <row r="59" spans="1:8">
      <c r="A59" t="s">
        <v>361</v>
      </c>
      <c r="B59" t="s">
        <v>362</v>
      </c>
      <c r="D59">
        <f>IF(Metadata!B2="ENG",E59,F59)</f>
        <v>0</v>
      </c>
      <c r="H59">
        <f>IF(Metadata!B2="ENG",I59,J59)</f>
        <v>0</v>
      </c>
    </row>
    <row r="60" spans="1:8">
      <c r="A60" t="s">
        <v>363</v>
      </c>
      <c r="B60" t="s">
        <v>364</v>
      </c>
      <c r="D60">
        <f>IF(Metadata!B2="ENG",E60,F60)</f>
        <v>0</v>
      </c>
      <c r="H60">
        <f>IF(Metadata!B2="ENG",I60,J60)</f>
        <v>0</v>
      </c>
    </row>
    <row r="61" spans="1:8">
      <c r="A61" t="s">
        <v>365</v>
      </c>
      <c r="B61" t="s">
        <v>366</v>
      </c>
      <c r="D61">
        <f>IF(Metadata!B2="ENG",E61,F61)</f>
        <v>0</v>
      </c>
      <c r="H61">
        <f>IF(Metadata!B2="ENG",I61,J61)</f>
        <v>0</v>
      </c>
    </row>
    <row r="62" spans="1:8">
      <c r="A62" t="s">
        <v>367</v>
      </c>
      <c r="B62" t="s">
        <v>368</v>
      </c>
    </row>
    <row r="63" spans="1:8">
      <c r="A63" t="s">
        <v>369</v>
      </c>
      <c r="B63" t="s">
        <v>370</v>
      </c>
    </row>
    <row r="64" spans="1:8">
      <c r="A64" t="s">
        <v>371</v>
      </c>
      <c r="B64" t="s">
        <v>372</v>
      </c>
    </row>
    <row r="65" spans="1:2">
      <c r="A65" t="s">
        <v>373</v>
      </c>
      <c r="B65" t="s">
        <v>374</v>
      </c>
    </row>
    <row r="66" spans="1:2">
      <c r="A66" t="s">
        <v>375</v>
      </c>
      <c r="B66" t="s">
        <v>376</v>
      </c>
    </row>
    <row r="67" spans="1:2">
      <c r="A67" t="s">
        <v>377</v>
      </c>
      <c r="B67" t="s">
        <v>378</v>
      </c>
    </row>
    <row r="68" spans="1:2">
      <c r="A68" t="s">
        <v>379</v>
      </c>
      <c r="B68" t="s">
        <v>380</v>
      </c>
    </row>
    <row r="69" spans="1:2">
      <c r="A69" t="s">
        <v>381</v>
      </c>
      <c r="B69" t="s">
        <v>382</v>
      </c>
    </row>
    <row r="70" spans="1:2">
      <c r="A70" t="s">
        <v>383</v>
      </c>
      <c r="B70" t="s">
        <v>384</v>
      </c>
    </row>
    <row r="71" spans="1:2">
      <c r="A71" t="s">
        <v>385</v>
      </c>
      <c r="B71" t="s">
        <v>386</v>
      </c>
    </row>
    <row r="72" spans="1:2">
      <c r="A72" t="s">
        <v>387</v>
      </c>
      <c r="B72" t="s">
        <v>388</v>
      </c>
    </row>
    <row r="73" spans="1:2">
      <c r="A73" t="s">
        <v>389</v>
      </c>
      <c r="B73" t="s">
        <v>390</v>
      </c>
    </row>
    <row r="74" spans="1:2">
      <c r="A74" t="s">
        <v>391</v>
      </c>
      <c r="B74" t="s">
        <v>392</v>
      </c>
    </row>
    <row r="75" spans="1:2">
      <c r="A75" t="s">
        <v>393</v>
      </c>
      <c r="B75" t="s">
        <v>394</v>
      </c>
    </row>
    <row r="76" spans="1:2">
      <c r="A76" t="s">
        <v>395</v>
      </c>
      <c r="B76" t="s">
        <v>396</v>
      </c>
    </row>
    <row r="77" spans="1:2">
      <c r="A77" t="s">
        <v>397</v>
      </c>
      <c r="B77" t="s">
        <v>398</v>
      </c>
    </row>
    <row r="78" spans="1:2">
      <c r="A78" t="s">
        <v>399</v>
      </c>
      <c r="B78" t="s">
        <v>400</v>
      </c>
    </row>
    <row r="79" spans="1:2">
      <c r="A79" t="s">
        <v>401</v>
      </c>
      <c r="B79" t="s">
        <v>402</v>
      </c>
    </row>
    <row r="80" spans="1:2">
      <c r="A80" t="s">
        <v>403</v>
      </c>
      <c r="B80" t="s">
        <v>404</v>
      </c>
    </row>
    <row r="81" spans="1:2">
      <c r="A81" t="s">
        <v>405</v>
      </c>
      <c r="B81" t="s">
        <v>406</v>
      </c>
    </row>
    <row r="82" spans="1:2">
      <c r="A82" t="s">
        <v>407</v>
      </c>
      <c r="B82" t="s">
        <v>408</v>
      </c>
    </row>
    <row r="83" spans="1:2">
      <c r="A83" t="s">
        <v>409</v>
      </c>
      <c r="B83" t="s">
        <v>410</v>
      </c>
    </row>
    <row r="84" spans="1:2">
      <c r="A84" t="s">
        <v>411</v>
      </c>
      <c r="B84" t="s">
        <v>412</v>
      </c>
    </row>
    <row r="85" spans="1:2">
      <c r="A85" t="s">
        <v>413</v>
      </c>
      <c r="B85" t="s">
        <v>414</v>
      </c>
    </row>
    <row r="86" spans="1:2">
      <c r="A86" t="s">
        <v>415</v>
      </c>
      <c r="B86" t="s">
        <v>416</v>
      </c>
    </row>
    <row r="87" spans="1:2">
      <c r="A87" t="s">
        <v>417</v>
      </c>
      <c r="B87" t="s">
        <v>418</v>
      </c>
    </row>
    <row r="88" spans="1:2">
      <c r="A88" t="s">
        <v>419</v>
      </c>
      <c r="B88" t="s">
        <v>420</v>
      </c>
    </row>
    <row r="89" spans="1:2">
      <c r="A89" t="s">
        <v>421</v>
      </c>
      <c r="B89" t="s">
        <v>422</v>
      </c>
    </row>
    <row r="90" spans="1:2">
      <c r="A90" t="s">
        <v>423</v>
      </c>
      <c r="B90" t="s">
        <v>424</v>
      </c>
    </row>
    <row r="91" spans="1:2">
      <c r="A91" t="s">
        <v>425</v>
      </c>
      <c r="B91" t="s">
        <v>426</v>
      </c>
    </row>
    <row r="92" spans="1:2">
      <c r="A92" t="s">
        <v>427</v>
      </c>
      <c r="B92" t="s">
        <v>428</v>
      </c>
    </row>
    <row r="93" spans="1:2">
      <c r="A93" t="s">
        <v>429</v>
      </c>
      <c r="B93" t="s">
        <v>430</v>
      </c>
    </row>
    <row r="94" spans="1:2">
      <c r="A94" t="s">
        <v>431</v>
      </c>
      <c r="B94" t="s">
        <v>432</v>
      </c>
    </row>
    <row r="95" spans="1:2">
      <c r="A95" t="s">
        <v>433</v>
      </c>
      <c r="B95" t="s">
        <v>434</v>
      </c>
    </row>
    <row r="96" spans="1:2">
      <c r="A96" t="s">
        <v>435</v>
      </c>
      <c r="B96" t="s">
        <v>108</v>
      </c>
    </row>
    <row r="97" spans="1:2">
      <c r="A97" t="s">
        <v>436</v>
      </c>
      <c r="B97" t="s">
        <v>437</v>
      </c>
    </row>
    <row r="98" spans="1:2">
      <c r="A98" t="s">
        <v>438</v>
      </c>
      <c r="B98" t="s">
        <v>439</v>
      </c>
    </row>
    <row r="99" spans="1:2">
      <c r="A99" t="s">
        <v>440</v>
      </c>
      <c r="B99" t="s">
        <v>441</v>
      </c>
    </row>
    <row r="100" spans="1:2">
      <c r="A100" t="s">
        <v>442</v>
      </c>
      <c r="B100" t="s">
        <v>443</v>
      </c>
    </row>
    <row r="101" spans="1:2">
      <c r="A101" t="s">
        <v>444</v>
      </c>
      <c r="B101" t="s">
        <v>445</v>
      </c>
    </row>
    <row r="102" spans="1:2">
      <c r="A102" t="s">
        <v>446</v>
      </c>
      <c r="B102" t="s">
        <v>447</v>
      </c>
    </row>
    <row r="103" spans="1:2">
      <c r="A103" t="s">
        <v>448</v>
      </c>
      <c r="B103" t="s">
        <v>449</v>
      </c>
    </row>
    <row r="104" spans="1:2">
      <c r="A104" t="s">
        <v>450</v>
      </c>
      <c r="B104" t="s">
        <v>451</v>
      </c>
    </row>
    <row r="105" spans="1:2">
      <c r="A105" t="s">
        <v>452</v>
      </c>
      <c r="B105" t="s">
        <v>453</v>
      </c>
    </row>
    <row r="106" spans="1:2">
      <c r="A106" t="s">
        <v>454</v>
      </c>
      <c r="B106" t="s">
        <v>455</v>
      </c>
    </row>
    <row r="107" spans="1:2">
      <c r="A107" t="s">
        <v>456</v>
      </c>
      <c r="B107" t="s">
        <v>457</v>
      </c>
    </row>
    <row r="108" spans="1:2">
      <c r="A108" t="s">
        <v>458</v>
      </c>
      <c r="B108" t="s">
        <v>459</v>
      </c>
    </row>
    <row r="109" spans="1:2">
      <c r="A109" t="s">
        <v>460</v>
      </c>
      <c r="B109" t="s">
        <v>461</v>
      </c>
    </row>
    <row r="110" spans="1:2">
      <c r="A110" t="s">
        <v>462</v>
      </c>
      <c r="B110" t="s">
        <v>463</v>
      </c>
    </row>
    <row r="111" spans="1:2">
      <c r="A111" t="s">
        <v>464</v>
      </c>
      <c r="B111" t="s">
        <v>465</v>
      </c>
    </row>
    <row r="112" spans="1:2">
      <c r="A112" t="s">
        <v>466</v>
      </c>
      <c r="B112" t="s">
        <v>467</v>
      </c>
    </row>
    <row r="113" spans="1:2">
      <c r="A113" t="s">
        <v>468</v>
      </c>
      <c r="B113" t="s">
        <v>469</v>
      </c>
    </row>
    <row r="114" spans="1:2">
      <c r="A114" t="s">
        <v>470</v>
      </c>
      <c r="B114" t="s">
        <v>471</v>
      </c>
    </row>
    <row r="115" spans="1:2">
      <c r="A115" t="s">
        <v>472</v>
      </c>
      <c r="B115" t="s">
        <v>473</v>
      </c>
    </row>
    <row r="116" spans="1:2">
      <c r="A116" t="s">
        <v>474</v>
      </c>
      <c r="B116" t="s">
        <v>475</v>
      </c>
    </row>
    <row r="117" spans="1:2">
      <c r="A117" t="s">
        <v>476</v>
      </c>
      <c r="B117" t="s">
        <v>477</v>
      </c>
    </row>
    <row r="118" spans="1:2">
      <c r="A118" t="s">
        <v>478</v>
      </c>
      <c r="B118" t="s">
        <v>479</v>
      </c>
    </row>
    <row r="119" spans="1:2">
      <c r="A119" t="s">
        <v>480</v>
      </c>
      <c r="B119" t="s">
        <v>481</v>
      </c>
    </row>
    <row r="120" spans="1:2">
      <c r="A120" t="s">
        <v>482</v>
      </c>
      <c r="B120" t="s">
        <v>483</v>
      </c>
    </row>
    <row r="121" spans="1:2">
      <c r="A121" t="s">
        <v>484</v>
      </c>
      <c r="B121" t="s">
        <v>485</v>
      </c>
    </row>
    <row r="122" spans="1:2">
      <c r="A122" t="s">
        <v>486</v>
      </c>
      <c r="B122" t="s">
        <v>487</v>
      </c>
    </row>
    <row r="123" spans="1:2">
      <c r="A123" t="s">
        <v>488</v>
      </c>
      <c r="B123" t="s">
        <v>489</v>
      </c>
    </row>
    <row r="124" spans="1:2">
      <c r="A124" t="s">
        <v>490</v>
      </c>
      <c r="B124" t="s">
        <v>491</v>
      </c>
    </row>
    <row r="125" spans="1:2">
      <c r="A125" t="s">
        <v>492</v>
      </c>
      <c r="B125" t="s">
        <v>493</v>
      </c>
    </row>
    <row r="126" spans="1:2">
      <c r="A126" t="s">
        <v>494</v>
      </c>
      <c r="B126" t="s">
        <v>495</v>
      </c>
    </row>
    <row r="127" spans="1:2">
      <c r="A127" t="s">
        <v>496</v>
      </c>
      <c r="B127" t="s">
        <v>497</v>
      </c>
    </row>
    <row r="128" spans="1:2">
      <c r="A128" t="s">
        <v>498</v>
      </c>
      <c r="B128" t="s">
        <v>499</v>
      </c>
    </row>
    <row r="129" spans="1:2">
      <c r="A129" t="s">
        <v>500</v>
      </c>
      <c r="B129" t="s">
        <v>501</v>
      </c>
    </row>
    <row r="130" spans="1:2">
      <c r="A130" t="s">
        <v>502</v>
      </c>
      <c r="B130" t="s">
        <v>503</v>
      </c>
    </row>
    <row r="131" spans="1:2">
      <c r="A131" t="s">
        <v>504</v>
      </c>
      <c r="B131" t="s">
        <v>505</v>
      </c>
    </row>
    <row r="132" spans="1:2">
      <c r="A132" t="s">
        <v>506</v>
      </c>
      <c r="B132" t="s">
        <v>507</v>
      </c>
    </row>
    <row r="133" spans="1:2">
      <c r="A133" t="s">
        <v>508</v>
      </c>
      <c r="B133" t="s">
        <v>509</v>
      </c>
    </row>
    <row r="134" spans="1:2">
      <c r="A134" t="s">
        <v>510</v>
      </c>
      <c r="B134" t="s">
        <v>511</v>
      </c>
    </row>
    <row r="135" spans="1:2">
      <c r="A135" t="s">
        <v>512</v>
      </c>
      <c r="B135" t="s">
        <v>513</v>
      </c>
    </row>
    <row r="136" spans="1:2">
      <c r="A136" t="s">
        <v>514</v>
      </c>
      <c r="B136" t="s">
        <v>515</v>
      </c>
    </row>
    <row r="137" spans="1:2">
      <c r="A137" t="s">
        <v>516</v>
      </c>
      <c r="B137" t="s">
        <v>517</v>
      </c>
    </row>
    <row r="138" spans="1:2">
      <c r="A138" t="s">
        <v>518</v>
      </c>
      <c r="B138" t="s">
        <v>519</v>
      </c>
    </row>
    <row r="139" spans="1:2">
      <c r="A139" t="s">
        <v>520</v>
      </c>
      <c r="B139" t="s">
        <v>521</v>
      </c>
    </row>
    <row r="140" spans="1:2">
      <c r="A140" t="s">
        <v>522</v>
      </c>
      <c r="B140" t="s">
        <v>523</v>
      </c>
    </row>
    <row r="141" spans="1:2">
      <c r="A141" t="s">
        <v>524</v>
      </c>
      <c r="B141" t="s">
        <v>525</v>
      </c>
    </row>
    <row r="142" spans="1:2">
      <c r="A142" t="s">
        <v>526</v>
      </c>
      <c r="B142" t="s">
        <v>527</v>
      </c>
    </row>
    <row r="143" spans="1:2">
      <c r="A143" t="s">
        <v>528</v>
      </c>
      <c r="B143" t="s">
        <v>529</v>
      </c>
    </row>
    <row r="144" spans="1:2">
      <c r="A144" t="s">
        <v>530</v>
      </c>
      <c r="B144" t="s">
        <v>531</v>
      </c>
    </row>
    <row r="145" spans="1:2">
      <c r="A145" t="s">
        <v>532</v>
      </c>
      <c r="B145" t="s">
        <v>533</v>
      </c>
    </row>
    <row r="146" spans="1:2">
      <c r="A146" t="s">
        <v>534</v>
      </c>
      <c r="B146" t="s">
        <v>535</v>
      </c>
    </row>
    <row r="147" spans="1:2">
      <c r="A147" t="s">
        <v>536</v>
      </c>
      <c r="B147" t="s">
        <v>537</v>
      </c>
    </row>
    <row r="148" spans="1:2">
      <c r="A148" t="s">
        <v>538</v>
      </c>
      <c r="B148" t="s">
        <v>539</v>
      </c>
    </row>
    <row r="149" spans="1:2">
      <c r="A149" t="s">
        <v>540</v>
      </c>
      <c r="B149" t="s">
        <v>541</v>
      </c>
    </row>
    <row r="150" spans="1:2">
      <c r="A150" t="s">
        <v>542</v>
      </c>
      <c r="B150" t="s">
        <v>543</v>
      </c>
    </row>
    <row r="151" spans="1:2">
      <c r="A151" t="s">
        <v>544</v>
      </c>
      <c r="B151" t="s">
        <v>545</v>
      </c>
    </row>
    <row r="152" spans="1:2">
      <c r="A152" t="s">
        <v>546</v>
      </c>
      <c r="B152" t="s">
        <v>547</v>
      </c>
    </row>
    <row r="153" spans="1:2">
      <c r="A153" t="s">
        <v>548</v>
      </c>
      <c r="B153" t="s">
        <v>549</v>
      </c>
    </row>
    <row r="154" spans="1:2">
      <c r="A154" t="s">
        <v>550</v>
      </c>
      <c r="B154" t="s">
        <v>551</v>
      </c>
    </row>
    <row r="155" spans="1:2">
      <c r="A155" t="s">
        <v>552</v>
      </c>
      <c r="B155" t="s">
        <v>553</v>
      </c>
    </row>
    <row r="156" spans="1:2">
      <c r="A156" t="s">
        <v>554</v>
      </c>
      <c r="B156" t="s">
        <v>555</v>
      </c>
    </row>
    <row r="157" spans="1:2">
      <c r="A157" t="s">
        <v>556</v>
      </c>
      <c r="B157" t="s">
        <v>557</v>
      </c>
    </row>
    <row r="158" spans="1:2">
      <c r="A158" t="s">
        <v>558</v>
      </c>
      <c r="B158" t="s">
        <v>559</v>
      </c>
    </row>
    <row r="159" spans="1:2">
      <c r="A159" t="s">
        <v>560</v>
      </c>
      <c r="B159" t="s">
        <v>561</v>
      </c>
    </row>
    <row r="160" spans="1:2">
      <c r="A160" t="s">
        <v>562</v>
      </c>
      <c r="B160" t="s">
        <v>563</v>
      </c>
    </row>
    <row r="161" spans="1:2">
      <c r="A161" t="s">
        <v>564</v>
      </c>
      <c r="B161" t="s">
        <v>565</v>
      </c>
    </row>
    <row r="162" spans="1:2">
      <c r="A162" t="s">
        <v>566</v>
      </c>
      <c r="B162" t="s">
        <v>567</v>
      </c>
    </row>
    <row r="163" spans="1:2">
      <c r="A163" t="s">
        <v>568</v>
      </c>
      <c r="B163" t="s">
        <v>569</v>
      </c>
    </row>
    <row r="164" spans="1:2">
      <c r="A164" t="s">
        <v>570</v>
      </c>
      <c r="B164" t="s">
        <v>571</v>
      </c>
    </row>
    <row r="165" spans="1:2">
      <c r="A165" t="s">
        <v>572</v>
      </c>
      <c r="B165" t="s">
        <v>573</v>
      </c>
    </row>
    <row r="166" spans="1:2">
      <c r="A166" t="s">
        <v>574</v>
      </c>
      <c r="B166" t="s">
        <v>575</v>
      </c>
    </row>
    <row r="167" spans="1:2">
      <c r="A167" t="s">
        <v>576</v>
      </c>
      <c r="B167" t="s">
        <v>577</v>
      </c>
    </row>
    <row r="168" spans="1:2">
      <c r="A168" t="s">
        <v>578</v>
      </c>
      <c r="B168" t="s">
        <v>579</v>
      </c>
    </row>
    <row r="169" spans="1:2">
      <c r="A169" t="s">
        <v>580</v>
      </c>
      <c r="B169" t="s">
        <v>581</v>
      </c>
    </row>
    <row r="170" spans="1:2">
      <c r="A170" t="s">
        <v>582</v>
      </c>
      <c r="B170" t="s">
        <v>583</v>
      </c>
    </row>
    <row r="171" spans="1:2">
      <c r="A171" t="s">
        <v>584</v>
      </c>
      <c r="B171" t="s">
        <v>585</v>
      </c>
    </row>
    <row r="172" spans="1:2">
      <c r="A172" t="s">
        <v>586</v>
      </c>
      <c r="B172" t="s">
        <v>587</v>
      </c>
    </row>
    <row r="173" spans="1:2">
      <c r="A173" t="s">
        <v>588</v>
      </c>
      <c r="B173" t="s">
        <v>589</v>
      </c>
    </row>
    <row r="174" spans="1:2">
      <c r="A174" t="s">
        <v>590</v>
      </c>
      <c r="B174" t="s">
        <v>591</v>
      </c>
    </row>
    <row r="175" spans="1:2">
      <c r="A175" t="s">
        <v>592</v>
      </c>
      <c r="B175" t="s">
        <v>593</v>
      </c>
    </row>
    <row r="176" spans="1:2">
      <c r="A176" t="s">
        <v>594</v>
      </c>
      <c r="B176" t="s">
        <v>595</v>
      </c>
    </row>
    <row r="177" spans="1:2">
      <c r="A177" t="s">
        <v>596</v>
      </c>
      <c r="B177" t="s">
        <v>597</v>
      </c>
    </row>
    <row r="178" spans="1:2">
      <c r="A178" t="s">
        <v>598</v>
      </c>
      <c r="B178" t="s">
        <v>599</v>
      </c>
    </row>
    <row r="179" spans="1:2">
      <c r="A179" t="s">
        <v>600</v>
      </c>
      <c r="B179" t="s">
        <v>601</v>
      </c>
    </row>
    <row r="180" spans="1:2">
      <c r="A180" t="s">
        <v>602</v>
      </c>
      <c r="B180" t="s">
        <v>603</v>
      </c>
    </row>
    <row r="181" spans="1:2">
      <c r="A181" t="s">
        <v>604</v>
      </c>
      <c r="B181" t="s">
        <v>605</v>
      </c>
    </row>
    <row r="182" spans="1:2">
      <c r="A182" t="s">
        <v>606</v>
      </c>
      <c r="B182" t="s">
        <v>607</v>
      </c>
    </row>
    <row r="183" spans="1:2">
      <c r="A183" t="s">
        <v>608</v>
      </c>
      <c r="B183" t="s">
        <v>609</v>
      </c>
    </row>
    <row r="184" spans="1:2">
      <c r="A184" t="s">
        <v>610</v>
      </c>
      <c r="B184" t="s">
        <v>298</v>
      </c>
    </row>
    <row r="185" spans="1:2">
      <c r="A185" t="s">
        <v>611</v>
      </c>
      <c r="B185" t="s">
        <v>612</v>
      </c>
    </row>
    <row r="186" spans="1:2">
      <c r="A186" t="s">
        <v>613</v>
      </c>
      <c r="B186" t="s">
        <v>614</v>
      </c>
    </row>
    <row r="187" spans="1:2">
      <c r="A187" t="s">
        <v>615</v>
      </c>
      <c r="B187" t="s">
        <v>616</v>
      </c>
    </row>
    <row r="188" spans="1:2">
      <c r="A188" t="s">
        <v>617</v>
      </c>
      <c r="B188" t="s">
        <v>618</v>
      </c>
    </row>
    <row r="189" spans="1:2">
      <c r="A189" t="s">
        <v>619</v>
      </c>
      <c r="B189" t="s">
        <v>620</v>
      </c>
    </row>
    <row r="190" spans="1:2">
      <c r="A190" t="s">
        <v>621</v>
      </c>
      <c r="B190" t="s">
        <v>622</v>
      </c>
    </row>
    <row r="191" spans="1:2">
      <c r="A191" t="s">
        <v>623</v>
      </c>
      <c r="B191" t="s">
        <v>624</v>
      </c>
    </row>
    <row r="192" spans="1:2">
      <c r="A192" t="s">
        <v>625</v>
      </c>
      <c r="B192" t="s">
        <v>626</v>
      </c>
    </row>
    <row r="193" spans="1:2">
      <c r="A193" t="s">
        <v>627</v>
      </c>
      <c r="B193" t="s">
        <v>628</v>
      </c>
    </row>
    <row r="194" spans="1:2">
      <c r="A194" t="s">
        <v>629</v>
      </c>
      <c r="B194" t="s">
        <v>630</v>
      </c>
    </row>
    <row r="195" spans="1:2">
      <c r="A195" t="s">
        <v>631</v>
      </c>
      <c r="B195" t="s">
        <v>632</v>
      </c>
    </row>
    <row r="196" spans="1:2">
      <c r="A196" t="s">
        <v>633</v>
      </c>
      <c r="B196" t="s">
        <v>634</v>
      </c>
    </row>
    <row r="197" spans="1:2">
      <c r="A197" t="s">
        <v>635</v>
      </c>
      <c r="B197" t="s">
        <v>636</v>
      </c>
    </row>
    <row r="198" spans="1:2">
      <c r="A198" t="s">
        <v>637</v>
      </c>
      <c r="B198" t="s">
        <v>638</v>
      </c>
    </row>
    <row r="199" spans="1:2">
      <c r="A199" t="s">
        <v>639</v>
      </c>
      <c r="B199" t="s">
        <v>640</v>
      </c>
    </row>
    <row r="200" spans="1:2">
      <c r="A200" t="s">
        <v>641</v>
      </c>
      <c r="B200" t="s">
        <v>642</v>
      </c>
    </row>
    <row r="201" spans="1:2">
      <c r="A201" t="s">
        <v>643</v>
      </c>
      <c r="B201" t="s">
        <v>298</v>
      </c>
    </row>
    <row r="202" spans="1:2">
      <c r="A202" t="s">
        <v>644</v>
      </c>
      <c r="B202" t="s">
        <v>645</v>
      </c>
    </row>
    <row r="203" spans="1:2">
      <c r="A203" t="s">
        <v>646</v>
      </c>
      <c r="B203" t="s">
        <v>647</v>
      </c>
    </row>
    <row r="204" spans="1:2">
      <c r="A204" t="s">
        <v>648</v>
      </c>
      <c r="B204" t="s">
        <v>649</v>
      </c>
    </row>
    <row r="205" spans="1:2">
      <c r="A205" t="s">
        <v>650</v>
      </c>
      <c r="B205" t="s">
        <v>651</v>
      </c>
    </row>
    <row r="206" spans="1:2">
      <c r="A206" t="s">
        <v>652</v>
      </c>
      <c r="B206" t="s">
        <v>653</v>
      </c>
    </row>
    <row r="207" spans="1:2">
      <c r="A207" t="s">
        <v>654</v>
      </c>
      <c r="B207" t="s">
        <v>653</v>
      </c>
    </row>
    <row r="208" spans="1:2">
      <c r="A208" t="s">
        <v>655</v>
      </c>
      <c r="B208" t="s">
        <v>656</v>
      </c>
    </row>
    <row r="209" spans="1:2">
      <c r="A209" t="s">
        <v>657</v>
      </c>
      <c r="B209" t="s">
        <v>658</v>
      </c>
    </row>
    <row r="210" spans="1:2">
      <c r="A210" t="s">
        <v>659</v>
      </c>
      <c r="B210" t="s">
        <v>660</v>
      </c>
    </row>
    <row r="211" spans="1:2">
      <c r="A211" t="s">
        <v>661</v>
      </c>
      <c r="B211" t="s">
        <v>662</v>
      </c>
    </row>
    <row r="212" spans="1:2">
      <c r="A212" t="s">
        <v>663</v>
      </c>
      <c r="B212" t="s">
        <v>664</v>
      </c>
    </row>
    <row r="213" spans="1:2">
      <c r="A213" t="s">
        <v>665</v>
      </c>
      <c r="B213" t="s">
        <v>666</v>
      </c>
    </row>
    <row r="214" spans="1:2">
      <c r="A214" t="s">
        <v>667</v>
      </c>
      <c r="B214" t="s">
        <v>668</v>
      </c>
    </row>
    <row r="215" spans="1:2">
      <c r="A215" t="s">
        <v>669</v>
      </c>
      <c r="B215" t="s">
        <v>670</v>
      </c>
    </row>
    <row r="216" spans="1:2">
      <c r="A216" t="s">
        <v>671</v>
      </c>
      <c r="B216" t="s">
        <v>672</v>
      </c>
    </row>
    <row r="217" spans="1:2">
      <c r="A217" t="s">
        <v>673</v>
      </c>
      <c r="B217" t="s">
        <v>674</v>
      </c>
    </row>
    <row r="218" spans="1:2">
      <c r="A218" t="s">
        <v>675</v>
      </c>
      <c r="B218" t="s">
        <v>676</v>
      </c>
    </row>
    <row r="219" spans="1:2">
      <c r="A219" t="s">
        <v>677</v>
      </c>
      <c r="B219" t="s">
        <v>678</v>
      </c>
    </row>
    <row r="220" spans="1:2">
      <c r="A220" t="s">
        <v>679</v>
      </c>
      <c r="B220" t="s">
        <v>680</v>
      </c>
    </row>
    <row r="221" spans="1:2">
      <c r="A221" t="s">
        <v>681</v>
      </c>
      <c r="B221" t="s">
        <v>682</v>
      </c>
    </row>
    <row r="222" spans="1:2">
      <c r="A222" t="s">
        <v>683</v>
      </c>
      <c r="B222" t="s">
        <v>684</v>
      </c>
    </row>
    <row r="223" spans="1:2">
      <c r="A223" t="s">
        <v>685</v>
      </c>
      <c r="B223" t="s">
        <v>686</v>
      </c>
    </row>
    <row r="224" spans="1:2">
      <c r="A224" t="s">
        <v>687</v>
      </c>
      <c r="B224" t="s">
        <v>688</v>
      </c>
    </row>
    <row r="225" spans="1:2">
      <c r="A225" t="s">
        <v>689</v>
      </c>
      <c r="B225" t="s">
        <v>690</v>
      </c>
    </row>
    <row r="226" spans="1:2">
      <c r="A226" t="s">
        <v>691</v>
      </c>
      <c r="B226" t="s">
        <v>692</v>
      </c>
    </row>
    <row r="227" spans="1:2">
      <c r="A227" t="s">
        <v>693</v>
      </c>
      <c r="B227" t="s">
        <v>694</v>
      </c>
    </row>
    <row r="228" spans="1:2">
      <c r="A228" t="s">
        <v>695</v>
      </c>
      <c r="B228" t="s">
        <v>696</v>
      </c>
    </row>
    <row r="229" spans="1:2">
      <c r="A229" t="s">
        <v>697</v>
      </c>
      <c r="B229" t="s">
        <v>698</v>
      </c>
    </row>
    <row r="230" spans="1:2">
      <c r="A230" t="s">
        <v>699</v>
      </c>
      <c r="B230" t="s">
        <v>700</v>
      </c>
    </row>
    <row r="231" spans="1:2">
      <c r="A231" t="s">
        <v>701</v>
      </c>
      <c r="B231" t="s">
        <v>702</v>
      </c>
    </row>
    <row r="232" spans="1:2">
      <c r="A232" t="s">
        <v>703</v>
      </c>
      <c r="B232" t="s">
        <v>704</v>
      </c>
    </row>
    <row r="233" spans="1:2">
      <c r="A233" t="s">
        <v>705</v>
      </c>
      <c r="B233" t="s">
        <v>706</v>
      </c>
    </row>
    <row r="234" spans="1:2">
      <c r="A234" t="s">
        <v>707</v>
      </c>
      <c r="B234" t="s">
        <v>708</v>
      </c>
    </row>
    <row r="235" spans="1:2">
      <c r="A235" t="s">
        <v>709</v>
      </c>
      <c r="B235" t="s">
        <v>710</v>
      </c>
    </row>
    <row r="236" spans="1:2">
      <c r="A236" t="s">
        <v>711</v>
      </c>
      <c r="B236" t="s">
        <v>712</v>
      </c>
    </row>
    <row r="237" spans="1:2">
      <c r="A237" t="s">
        <v>713</v>
      </c>
      <c r="B237" t="s">
        <v>714</v>
      </c>
    </row>
    <row r="238" spans="1:2">
      <c r="A238" t="s">
        <v>715</v>
      </c>
      <c r="B238" t="s">
        <v>716</v>
      </c>
    </row>
    <row r="239" spans="1:2">
      <c r="A239" t="s">
        <v>717</v>
      </c>
      <c r="B239" t="s">
        <v>718</v>
      </c>
    </row>
    <row r="240" spans="1:2">
      <c r="A240" t="s">
        <v>719</v>
      </c>
      <c r="B240" t="s">
        <v>720</v>
      </c>
    </row>
    <row r="241" spans="1:2">
      <c r="A241" t="s">
        <v>721</v>
      </c>
      <c r="B241" t="s">
        <v>722</v>
      </c>
    </row>
    <row r="242" spans="1:2">
      <c r="A242" t="s">
        <v>723</v>
      </c>
      <c r="B242" t="s">
        <v>724</v>
      </c>
    </row>
    <row r="243" spans="1:2">
      <c r="A243" t="s">
        <v>725</v>
      </c>
      <c r="B243" t="s">
        <v>726</v>
      </c>
    </row>
    <row r="244" spans="1:2">
      <c r="A244" t="s">
        <v>727</v>
      </c>
      <c r="B244" t="s">
        <v>728</v>
      </c>
    </row>
    <row r="245" spans="1:2">
      <c r="A245" t="s">
        <v>729</v>
      </c>
      <c r="B245" t="s">
        <v>730</v>
      </c>
    </row>
    <row r="246" spans="1:2">
      <c r="A246" t="s">
        <v>731</v>
      </c>
      <c r="B246" t="s">
        <v>732</v>
      </c>
    </row>
    <row r="247" spans="1:2">
      <c r="A247" t="s">
        <v>733</v>
      </c>
      <c r="B247" t="s">
        <v>734</v>
      </c>
    </row>
    <row r="248" spans="1:2">
      <c r="A248" t="s">
        <v>735</v>
      </c>
      <c r="B248" t="s">
        <v>736</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Categories</vt:lpstr>
      <vt:lpstr>Metadata</vt:lpstr>
      <vt:lpstr>picklists</vt:lpstr>
      <vt:lpstr>countries</vt:lpstr>
      <vt:lpstr>language</vt:lpstr>
      <vt:lpstr>license_type</vt:lpstr>
      <vt:lpstr>resources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Sophie Thomashausen</cp:lastModifiedBy>
  <cp:lastPrinted>2014-02-01T19:00:50Z</cp:lastPrinted>
  <dcterms:created xsi:type="dcterms:W3CDTF">2013-09-30T16:43:43Z</dcterms:created>
  <dcterms:modified xsi:type="dcterms:W3CDTF">2015-09-18T18:05:56Z</dcterms:modified>
</cp:coreProperties>
</file>