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0" yWindow="0" windowWidth="25600" windowHeight="1600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6" i="2"/>
  <c r="B7" i="2"/>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<sst xmlns="http://schemas.openxmlformats.org/spreadsheetml/2006/main" count="1007" uniqueCount="943">
  <si>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</si>
  <si>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</si>
  <si>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</si>
  <si>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</si>
  <si>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</si>
  <si>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</si>
  <si>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</si>
  <si>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</si>
  <si>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</si>
  <si>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</si>
  <si>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</si>
  <si>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</si>
  <si>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</si>
  <si>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</si>
  <si>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</si>
  <si>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</si>
  <si>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</si>
  <si>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</si>
  <si>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</si>
  <si>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</si>
  <si>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</si>
  <si>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</si>
  <si>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</si>
  <si>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</si>
  <si>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</si>
  <si>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</si>
  <si>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</si>
  <si>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</si>
  <si>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</si>
  <si>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</si>
  <si>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</si>
  <si>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</si>
  <si>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</si>
  <si>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</si>
  <si>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</si>
  <si>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</si>
  <si>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</si>
  <si>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</si>
  <si>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</si>
  <si>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</si>
  <si>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</si>
  <si>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</si>
  <si>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</si>
  <si>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</si>
  <si>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</si>
  <si>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</si>
  <si>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</si>
  <si>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</si>
  <si>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</si>
  <si>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</si>
  <si>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</si>
  <si>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</si>
  <si>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</si>
  <si>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</si>
  <si>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</si>
  <si>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</si>
  <si>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</si>
  <si>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</si>
  <si>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</si>
  <si>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</si>
  <si>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</si>
  <si>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</si>
  <si>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</si>
  <si>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</si>
  <si>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</si>
  <si>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</si>
  <si>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</si>
  <si>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</si>
  <si>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</si>
  <si>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</si>
  <si>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</si>
  <si>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</si>
  <si>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</si>
  <si>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</si>
  <si>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</si>
  <si>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</si>
  <si>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</si>
  <si>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</si>
  <si>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</si>
  <si>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</si>
  <si>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</si>
  <si>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</si>
  <si>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</si>
  <si>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</si>
  <si>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</si>
  <si>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</si>
  <si>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</si>
  <si>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</si>
  <si>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</si>
  <si>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</si>
  <si>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</si>
  <si>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</si>
  <si>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</si>
  <si>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</si>
  <si>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</si>
  <si>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</si>
  <si>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</si>
  <si>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</si>
  <si>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</si>
  <si>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</si>
  <si>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</si>
  <si>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</si>
  <si>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</si>
  <si>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</si>
  <si>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</si>
  <si>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</si>
  <si>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</si>
  <si>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</si>
  <si>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</si>
  <si>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</si>
  <si>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</si>
  <si>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</si>
  <si>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</si>
  <si>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</si>
  <si>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</si>
  <si>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</si>
  <si>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</si>
  <si>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</si>
  <si>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</si>
  <si>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</si>
  <si>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</si>
  <si>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</si>
  <si>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</si>
  <si>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</si>
  <si>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</si>
  <si>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</si>
  <si>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</si>
  <si>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</si>
  <si>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</si>
  <si>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</si>
  <si>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</si>
  <si>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</si>
  <si>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</si>
  <si>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</si>
  <si>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</si>
  <si>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</si>
  <si>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</si>
  <si>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</si>
  <si>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</si>
  <si>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</si>
  <si>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</si>
  <si>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</si>
  <si>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</si>
  <si>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</si>
  <si>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</si>
  <si>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</si>
  <si>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</si>
  <si>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</si>
  <si>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</si>
  <si>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</si>
  <si>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</si>
  <si>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</si>
  <si>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</si>
  <si>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</si>
  <si>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</si>
  <si>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</si>
  <si>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</si>
  <si>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</si>
  <si>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</si>
  <si>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</si>
  <si>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</si>
  <si>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</si>
  <si>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</si>
  <si>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</si>
  <si>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</si>
  <si>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</si>
  <si>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</si>
  <si>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</si>
  <si>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</si>
  <si>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</si>
  <si>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</si>
  <si>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</si>
  <si>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</si>
  <si>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</si>
  <si>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</si>
  <si>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</si>
  <si>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</si>
  <si>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</si>
  <si>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</si>
  <si>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</si>
  <si>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</si>
  <si>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</si>
  <si>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</si>
  <si>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</si>
  <si>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</si>
  <si>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</si>
  <si>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</si>
  <si>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</si>
  <si>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</si>
  <si>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</si>
  <si>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</si>
  <si>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</si>
  <si>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</si>
  <si>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</si>
  <si>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</si>
  <si>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</si>
  <si>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</si>
  <si>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</si>
  <si>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</si>
  <si>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</si>
  <si>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</si>
  <si>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</si>
  <si>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</si>
  <si>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</si>
  <si>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</si>
  <si>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</si>
  <si>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</si>
  <si>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</si>
  <si>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</si>
  <si>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</si>
  <si>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</si>
  <si>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</si>
  <si>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</si>
  <si>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</si>
  <si>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</si>
  <si>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</si>
  <si>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</si>
  <si>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</si>
  <si>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</si>
  <si>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</si>
  <si>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</si>
  <si>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</si>
  <si>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</si>
  <si>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</si>
  <si>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</si>
  <si>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</si>
  <si>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</si>
  <si>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</si>
  <si>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</si>
  <si>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</si>
  <si>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</si>
  <si>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</si>
  <si>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</si>
  <si>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</si>
  <si>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</si>
  <si>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</si>
  <si>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</si>
  <si>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</si>
  <si>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</si>
  <si>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</si>
  <si>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</si>
  <si>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</si>
  <si>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</si>
  <si>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</si>
  <si>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</si>
  <si>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</si>
  <si>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</si>
  <si>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</si>
  <si>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</si>
  <si>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</si>
  <si>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</si>
  <si>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</si>
  <si>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</si>
  <si>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</si>
  <si>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</si>
  <si>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</si>
  <si>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</si>
  <si>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</si>
  <si>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</si>
  <si>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</si>
  <si>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</si>
  <si>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</si>
  <si>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</si>
  <si>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</si>
  <si>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</si>
  <si>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</si>
  <si>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</si>
  <si>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</si>
  <si>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</si>
  <si>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</si>
  <si>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</si>
  <si>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</si>
  <si>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</si>
  <si>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</si>
  <si>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</si>
  <si>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</si>
  <si>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</si>
  <si>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</si>
  <si>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</si>
  <si>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</si>
  <si>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</si>
  <si>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</si>
  <si>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</si>
  <si>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</si>
  <si>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</si>
  <si>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</si>
  <si>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</si>
  <si>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</si>
  <si>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</si>
  <si>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</si>
  <si>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</si>
  <si>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</si>
  <si>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</si>
  <si>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</si>
  <si>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</si>
  <si>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</si>
  <si>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</si>
  <si>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</si>
  <si>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</si>
  <si>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</si>
  <si>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</si>
  <si>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</si>
  <si>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</si>
  <si>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</si>
  <si>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</si>
  <si>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</si>
  <si>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</si>
  <si>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</si>
  <si>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</si>
  <si>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</si>
  <si>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</si>
  <si>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</si>
  <si>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</si>
  <si>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</si>
  <si>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</si>
  <si>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</si>
  <si>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</si>
  <si>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</si>
  <si>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</si>
  <si>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</si>
  <si>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</si>
  <si>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</si>
  <si>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</si>
  <si>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</si>
  <si>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</si>
  <si>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</si>
  <si>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</si>
  <si>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</si>
  <si>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</si>
  <si>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</si>
  <si>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</si>
  <si>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</si>
  <si>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</si>
  <si>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</si>
  <si>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</si>
  <si>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</si>
  <si>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</si>
  <si>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</si>
  <si>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</si>
  <si>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</si>
  <si>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</si>
  <si>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</si>
  <si>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</si>
  <si>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</si>
  <si>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</si>
  <si>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</si>
  <si>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</si>
  <si>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</si>
  <si>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</si>
  <si>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</si>
  <si>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</si>
  <si>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</si>
  <si>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</si>
  <si>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</si>
  <si>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</si>
  <si>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</si>
  <si>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</si>
  <si>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</si>
  <si>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</si>
  <si>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</si>
  <si>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</si>
  <si>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</si>
  <si>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</si>
  <si>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</si>
  <si>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</si>
  <si>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</si>
  <si>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</si>
  <si>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</si>
  <si>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</si>
  <si>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</si>
  <si>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</si>
  <si>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</si>
  <si>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</si>
  <si>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</si>
  <si>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</si>
  <si>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</si>
  <si>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</si>
  <si>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</si>
  <si>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</si>
  <si>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</si>
  <si>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</si>
  <si>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</si>
  <si>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</si>
  <si>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</si>
  <si>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</si>
  <si>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</si>
  <si>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</si>
  <si>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</si>
  <si>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</si>
  <si>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</si>
  <si>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</si>
  <si>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</si>
  <si>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</si>
  <si>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</si>
  <si>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</si>
  <si>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</si>
  <si>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</si>
  <si>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</si>
  <si>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</si>
  <si>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</si>
  <si>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</si>
  <si>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</si>
  <si>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</si>
  <si>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</si>
  <si>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</si>
  <si>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</si>
  <si>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</si>
  <si>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</si>
  <si>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</si>
  <si>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</si>
  <si>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</si>
  <si>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</si>
  <si>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</si>
  <si>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</si>
  <si>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</si>
  <si>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</si>
  <si>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</si>
  <si>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</si>
  <si>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</si>
  <si>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</si>
  <si>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</si>
  <si>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</si>
  <si>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</si>
  <si>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</si>
  <si>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</si>
  <si>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</si>
  <si>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</si>
  <si>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</si>
  <si>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</si>
  <si>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</si>
  <si>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</si>
  <si>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</si>
  <si>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</si>
  <si>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</si>
  <si>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</si>
  <si>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</si>
  <si>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</si>
  <si>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</si>
  <si>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</si>
  <si>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</si>
  <si>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</si>
  <si>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</si>
  <si>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</si>
  <si>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</si>
  <si>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</si>
  <si>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</si>
  <si>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</si>
  <si>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</si>
  <si>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</si>
  <si>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</si>
  <si>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</si>
  <si>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</si>
  <si>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</si>
  <si>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</si>
  <si>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</si>
  <si>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</si>
  <si>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</si>
  <si>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</si>
  <si>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</si>
  <si>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</si>
  <si>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</si>
  <si>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</si>
  <si>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</si>
  <si>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</si>
  <si>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</si>
  <si>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</si>
  <si>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</si>
  <si>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</si>
  <si>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</si>
  <si>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</si>
  <si>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</si>
  <si>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</si>
  <si>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</si>
  <si>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</si>
  <si>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</si>
  <si>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</si>
  <si>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</si>
  <si>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</si>
  <si>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</si>
  <si>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</si>
  <si>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</si>
  <si>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</si>
  <si>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</si>
  <si>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</si>
  <si>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</si>
  <si>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</si>
  <si>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</si>
  <si>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</si>
  <si>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</si>
  <si>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</si>
  <si>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</si>
  <si>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</si>
  <si>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</si>
  <si>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</si>
  <si>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</si>
  <si>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</si>
  <si>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</si>
  <si>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</si>
  <si>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</si>
  <si>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</si>
  <si>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</si>
  <si>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</si>
  <si>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</si>
  <si>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</si>
  <si>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</si>
  <si>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</si>
  <si>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</si>
  <si>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</si>
  <si>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</si>
  <si>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</si>
  <si>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</si>
  <si>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</si>
  <si>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</si>
  <si>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</si>
  <si>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</si>
  <si>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</si>
  <si>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</si>
  <si>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</si>
  <si>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</si>
  <si>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</si>
  <si>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</si>
  <si>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</si>
  <si>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</si>
  <si>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</si>
  <si>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</si>
  <si>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</si>
  <si>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</si>
  <si>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</si>
  <si>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</si>
  <si>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</si>
  <si>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</si>
  <si>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</si>
  <si>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</si>
  <si>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</si>
  <si>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</si>
  <si>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</si>
  <si>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</si>
  <si>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</si>
  <si>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</si>
  <si>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</si>
  <si>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</si>
  <si>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</si>
  <si>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</si>
  <si>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</si>
  <si>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</si>
  <si>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</si>
  <si>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</si>
  <si>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</si>
  <si>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</si>
  <si>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</si>
  <si>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</si>
  <si>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</si>
  <si>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</si>
  <si>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</si>
  <si>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</si>
  <si>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</si>
  <si>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</si>
  <si>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</si>
  <si>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</si>
  <si>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</si>
  <si>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</si>
  <si>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</si>
  <si>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</si>
  <si>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</si>
  <si>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</si>
  <si>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</si>
  <si>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</si>
  <si>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</si>
  <si>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</si>
  <si>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</si>
  <si>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</si>
  <si>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</si>
  <si>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</si>
  <si>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</si>
  <si>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</si>
  <si>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</si>
  <si>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</si>
  <si>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</si>
  <si>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</si>
  <si>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</si>
  <si>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</si>
  <si>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</si>
  <si>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</si>
  <si>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</si>
  <si>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</si>
  <si>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</si>
  <si>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</si>
  <si>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</si>
  <si>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</si>
  <si>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</si>
  <si>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</si>
  <si>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</si>
  <si>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</si>
  <si>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</si>
  <si>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</si>
  <si>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</si>
  <si>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</si>
  <si>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</si>
  <si>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</si>
  <si>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</si>
  <si>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</si>
  <si>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</si>
  <si>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</si>
  <si>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</si>
  <si>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</si>
  <si>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</si>
  <si>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</si>
  <si>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</si>
  <si>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</si>
  <si>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</si>
  <si>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</si>
  <si>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</si>
  <si>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</si>
  <si>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</si>
  <si>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</si>
  <si>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</si>
  <si>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</si>
  <si>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</si>
  <si>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</si>
  <si>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</si>
  <si>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</si>
  <si>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</si>
  <si>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</si>
  <si>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</si>
  <si>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</si>
  <si>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</si>
  <si>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</si>
  <si>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</si>
  <si>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</si>
  <si>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</si>
  <si>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</si>
  <si>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</si>
  <si>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</si>
  <si>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</si>
  <si>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</si>
  <si>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</si>
  <si>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</si>
  <si>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</si>
  <si>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</si>
  <si>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</si>
  <si>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</si>
  <si>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</si>
  <si>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</si>
  <si>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</si>
  <si>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</si>
  <si>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</si>
  <si>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</si>
  <si>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</si>
  <si>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</si>
  <si>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</si>
  <si>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</si>
  <si>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</si>
  <si>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</si>
  <si>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</si>
  <si>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</si>
  <si>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</si>
  <si>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</si>
  <si>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</si>
  <si>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</si>
  <si>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</si>
  <si>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</si>
  <si>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</si>
  <si>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</si>
  <si>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</si>
  <si>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</si>
  <si>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</si>
  <si>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</si>
  <si>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</si>
  <si>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</si>
  <si>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</si>
  <si>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</si>
  <si>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</si>
  <si>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</si>
  <si>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</si>
  <si>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</si>
  <si>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</si>
  <si>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</si>
  <si>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</si>
  <si>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</si>
  <si>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</si>
  <si>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</si>
  <si>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</si>
  <si>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</si>
  <si>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</si>
  <si>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</si>
  <si>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</si>
  <si>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</si>
  <si>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</si>
  <si>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</si>
  <si>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</si>
  <si>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</si>
  <si>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</si>
  <si>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</si>
  <si>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</si>
  <si>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</si>
  <si>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</si>
  <si>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</si>
  <si>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</si>
  <si>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</si>
  <si>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</si>
  <si>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</si>
  <si>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</si>
  <si>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</si>
  <si>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</si>
  <si>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</si>
  <si>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</si>
  <si>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</si>
  <si>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</si>
  <si>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</si>
  <si>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</si>
  <si>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</si>
  <si>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</si>
  <si>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</si>
  <si>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</si>
  <si>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</si>
  <si>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</si>
  <si>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</si>
  <si>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</si>
  <si>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</si>
  <si>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</si>
  <si>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</si>
  <si>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</si>
  <si>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</si>
  <si>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</si>
  <si>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</si>
  <si>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</si>
  <si>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</si>
  <si>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</si>
  <si>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</si>
  <si>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</si>
  <si>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</si>
  <si>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</si>
  <si>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</si>
  <si>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</si>
  <si>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</si>
  <si>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</si>
  <si>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</si>
  <si>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</si>
  <si>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</si>
  <si>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</si>
  <si>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</si>
  <si>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</si>
  <si>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</si>
  <si>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</si>
  <si>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</si>
  <si>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</si>
  <si>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</si>
  <si>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</si>
  <si>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</si>
  <si>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</si>
  <si>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</si>
  <si>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</si>
  <si>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</si>
  <si>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</si>
  <si>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</si>
  <si>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</si>
  <si>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</si>
  <si>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</si>
  <si>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</si>
  <si>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</si>
  <si>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</si>
  <si>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</si>
  <si>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</si>
  <si>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</si>
  <si>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</si>
  <si>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</si>
  <si>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</si>
  <si>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</si>
  <si>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</si>
  <si>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</si>
  <si>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</si>
  <si>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</si>
  <si>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</si>
  <si>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</si>
  <si>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</si>
  <si>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</si>
  <si>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</si>
  <si>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</si>
  <si>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</si>
  <si>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</si>
  <si>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</si>
  <si>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</si>
  <si>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</si>
  <si>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</si>
  <si>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</si>
  <si>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</si>
  <si>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</si>
  <si>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</si>
  <si>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</si>
  <si>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</si>
  <si>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</si>
  <si>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</si>
  <si>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</si>
  <si>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</si>
  <si>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</si>
  <si>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</si>
  <si>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</si>
  <si>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</si>
  <si>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</si>
  <si>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</si>
  <si>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</si>
  <si>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</si>
  <si>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</si>
  <si>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</si>
  <si>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</si>
  <si>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</si>
  <si>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</si>
  <si>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</si>
  <si>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</si>
  <si>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</si>
  <si>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</si>
  <si>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</si>
  <si>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</si>
  <si>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</si>
  <si>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</si>
  <si>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</si>
  <si>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</si>
  <si>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</si>
  <si>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</si>
  <si>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</si>
  <si>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</si>
  <si>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</si>
  <si>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</si>
  <si>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</si>
  <si>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</si>
  <si>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</si>
  <si>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</si>
  <si>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</si>
  <si>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</si>
  <si>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</si>
  <si>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</si>
  <si>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</si>
  <si>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</si>
  <si>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</si>
  <si>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</si>
  <si>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</si>
  <si>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</si>
  <si>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</si>
  <si>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</si>
  <si>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Cover page</t>
  </si>
  <si>
    <t>1 (top)</t>
  </si>
  <si>
    <t>Buchanan Renewables (Monrovia) Power Inc.</t>
  </si>
  <si>
    <t>1 (middle)</t>
  </si>
  <si>
    <t>A power generation complex near Monrovia, Liberia</t>
  </si>
  <si>
    <t>Kakata, Liberia</t>
  </si>
  <si>
    <t>64 (top)</t>
  </si>
  <si>
    <t>Schedule 3</t>
  </si>
  <si>
    <t>Preamble; Signature page</t>
  </si>
  <si>
    <t>6 (top); 58 (top)</t>
  </si>
  <si>
    <t>Attested to by the Minister of Justice</t>
  </si>
  <si>
    <t>Contract is not signed</t>
  </si>
  <si>
    <t>Cover page; Signature page</t>
  </si>
  <si>
    <t>1 (bottom); 58 (bottom)</t>
  </si>
  <si>
    <t>Art. 3.1(a)</t>
  </si>
  <si>
    <t>8 (top)</t>
  </si>
  <si>
    <t>Exhibit A is missing from copy</t>
  </si>
  <si>
    <t>Table of contents</t>
  </si>
  <si>
    <t>5 (top)</t>
  </si>
  <si>
    <t>Schedule 3 Note (2)</t>
  </si>
  <si>
    <t>66 (top)</t>
  </si>
  <si>
    <t>Art. 7.11</t>
  </si>
  <si>
    <t>23 (top)</t>
  </si>
  <si>
    <t xml:space="preserve">Art. 4.4(c) </t>
  </si>
  <si>
    <t>15 (top)</t>
  </si>
  <si>
    <t xml:space="preserve">Art. 7.6(c) </t>
  </si>
  <si>
    <t>22 (top)</t>
  </si>
  <si>
    <t>Art. 7.5</t>
  </si>
  <si>
    <t>21 (middle)</t>
  </si>
  <si>
    <t>Cover page, Preamble (2)</t>
  </si>
  <si>
    <t>1 (middle), 6 (middle)</t>
  </si>
  <si>
    <t>Art. 10.1</t>
  </si>
  <si>
    <t>26 (top)</t>
  </si>
  <si>
    <t>Art. 16.1(a)</t>
  </si>
  <si>
    <t>36 (top)</t>
  </si>
  <si>
    <t>A rate pursuant to the Laws of Liberia but not more than 30% of its net taxable income</t>
  </si>
  <si>
    <t>Art. 16.1(b)</t>
  </si>
  <si>
    <t>36 (middle)</t>
  </si>
  <si>
    <t>Arts. 16.1(c), (d)</t>
  </si>
  <si>
    <t>Other - Foreign Investors</t>
  </si>
  <si>
    <t>Foreign Investors will be governed by the bilateral tax treaties between their respective countries of residence and Liberia. If there is no bilateral tax treaty, they will be taxed in accordance with the Laws of Liberia.</t>
  </si>
  <si>
    <t>Art. 16.3</t>
  </si>
  <si>
    <t>37 (top)</t>
  </si>
  <si>
    <t>Art. 7.3(b)</t>
  </si>
  <si>
    <t>20 (bottom)</t>
  </si>
  <si>
    <t>The Environmental &amp; Social Management Plan must, to the extent required by Environmental Laws, include provisions for environmental audits and review of proposed modifications by the Environmental Protection Agency of Liberia</t>
  </si>
  <si>
    <t>Buchanan Renewables (Monrovia) Power has the exclusive right on the Site to take and use, free of charge (but not to sell to any other Person without written governmental approval) such water as it considers necessary or useful for its operations under the contract</t>
  </si>
  <si>
    <t>Art. 4.2(d)</t>
  </si>
  <si>
    <t>13 (middle)</t>
  </si>
  <si>
    <t>Art. 3.2</t>
  </si>
  <si>
    <t>8 (middle)</t>
  </si>
  <si>
    <t>Arts. 4.2(b), 7.1</t>
  </si>
  <si>
    <t>13 (top); 20 (top)</t>
  </si>
  <si>
    <t>Buchanan Renewables (Monrovia) Power intends to investigate and pursue the possibility of receiving and selling Certified Emission Reductions associated with the Complex through the Clean Development Mechanism of the Kyoto Protocol or any successor agreement. All carbon credits will be the property of Buchanan Renewables (Monrovia) Power. All revenues associated with the receipt and sale of certified emission reductions will constitute company income.</t>
  </si>
  <si>
    <t>Art. 7.4</t>
  </si>
  <si>
    <t>21 (top)</t>
  </si>
  <si>
    <t>Other - Replanting Wood</t>
  </si>
  <si>
    <t>Art. 7.10</t>
  </si>
  <si>
    <t>22 (bottom)</t>
  </si>
  <si>
    <t>Arts. 7.3(b), 7.13</t>
  </si>
  <si>
    <t>20 (bottom), 23 (middle)</t>
  </si>
  <si>
    <t>30 (top)</t>
  </si>
  <si>
    <t>Art. 13.1</t>
  </si>
  <si>
    <t>31 (middle)</t>
  </si>
  <si>
    <t>Art. 14.2</t>
  </si>
  <si>
    <t>Arts. 17.1 - 17.2</t>
  </si>
  <si>
    <t>38 (top)</t>
  </si>
  <si>
    <t>Laws of the state of New York, United States of America</t>
  </si>
  <si>
    <t>Art. 19.1</t>
  </si>
  <si>
    <t>47 (top)</t>
  </si>
  <si>
    <t>Art. 19.2</t>
  </si>
  <si>
    <t>If Buchanan Renewables (Monrovia) Power becomes aware of moveable or immoveable elements or objects of national cultural heritage in the course of its construction activities, it must not move them and must provide prompt written notice of them to the Government. The Government and Buchanan Renewables (Monrovia) Power are to cooperate with each other in preserving them while not unreasonably interfering with or interrupting business and operations.</t>
  </si>
  <si>
    <t>Within 2 years of the Commercial Operations Date, Buchanan Renewables (Monrovia) Power must have of its 10 most senior (in authority and responsibility) positions at least 5 who are Liberian citizens. Within 5 years of the Commercial Operations Date, Buchanan Renewables (Monrovia) Power must have of its 10 most senior (in authority and responsibility) positions at least 7 who are Liberian citizens.</t>
  </si>
  <si>
    <t>Buchanan Renewables (Monrovia) Power is to at all times provide security personnel adequate for the protection and security of the Site. From time to time, it may request additional security forces from the Government to meet unusual security requirements, and the Government is to use reasonable efforts to provide such security forces as may be requested, subject only to manpower limitations arising out of other, imminent security requirements in Liberia. Any such additional security forces provided by the Government will remain under the exclusive control and direction of the Government. All reasonable out-of-pocket expenses incurred by the Government in providing such security forces are to be promptly reimbursed to the Government by Buchanan Renewables (Monrovia) Power, except for security services that are consistent with the Government's normal police functions.</t>
  </si>
  <si>
    <t>Buchanan Renewables (Monrovia) Power will replant, or cause its Contractors or their suppliers of Wood to replant, at least one tree for every tree harvested to supply fuel for the Project within a reasonable time period (not to exceed 1 year) following harvesting</t>
  </si>
  <si>
    <t>Buchanan Renewables (Monrovia) Power has the exclusive right, at its own expense, to construct and establish such infrastructure on the Site as may be necessary or appropriate in connection with the development, construction, commissioning, completion, ownership, operation, and maintenance of the Complex, including (a) employee housing (b) processing, storage, and repair facilities (c) administrative, laboratory and research facilities (d) transportation facilities and (f) all other movable and non-movable facilities and equipment affixed to, used as an integral part of or used in relation to or in connection with the above items. Buchanan Renewables (Monrovia) Power is to finance, insure, design, construct, install, commission, operate and maintain the Complex and Transmission Line.</t>
  </si>
  <si>
    <t>Any dispute or difference arising out of or in connection with the contract between the parties is to be settled by arbitration in accordance with the ICSID Rules of the Centre established by the Convention. The venue of the arbitration will be Washington, D.C. with a panel of three arbitrators; one appointed by the Government, another by Buchanan Renewables (Monrovia) Power, and the third by the Secretary-General of the Centre. The costs of the proceedings will be assessed between the parties by the tribunal.</t>
  </si>
  <si>
    <t>The Government must not expropriate, compulsorily acquire (except pursuant to the contract), nationalize, or otherwise compulsorily procure any Ordinary Share Capital or any other asset of Buchanan Renewables (Monrovia) Power reasonably required for the Project or the performance of its obligations under the contract, the Power Purchase Agreement, or other documents comprising the Security Package</t>
  </si>
  <si>
    <t>Arts. 15.1, 20.1, 20.3</t>
  </si>
  <si>
    <t>32 (top), 49 (top)</t>
  </si>
  <si>
    <t>The approximate coordinates of corner points of the proposed site are provided at page 65 (bottom)</t>
  </si>
  <si>
    <t>About 49 hectares</t>
  </si>
  <si>
    <t>The second of the two notes labeled "(2)"</t>
  </si>
  <si>
    <t>Provides for automatic extensions due to Force Majeure Events (defined in Section15(A), page 32) and Restoration (defined in Section 20.3(a), page 49)</t>
  </si>
  <si>
    <t>No income taxes payable on the direct sale of electricity by Buchanan Renewables (Monrovia) Power to Liberia Electric Corporation</t>
  </si>
  <si>
    <t>Art. 16.4(a)(ii)</t>
  </si>
  <si>
    <t>37 (middle)</t>
  </si>
  <si>
    <t>Custom duties during operation phase</t>
  </si>
  <si>
    <t>Preamble (2), (3), Arts. 4.2(b), 7.1</t>
  </si>
  <si>
    <t>6 (middle), 13 (top); 20 (top)</t>
  </si>
  <si>
    <t>The Republic of Liberia represented by the Minister of Lands, Mines and Energy; Minister of Finance; and Chairman of National Investment Commission</t>
  </si>
  <si>
    <t>25 years from the earliest to occur of (i) Commercial Operations Date, (ii) date on which Buchanan Renewables (Monrovia) Power ceases efforts to complete and Commission the second Unit and (iii) date falling 12 months after the Initial Commercial Operations Date plus any extension under Section 3.1(b) (Force Majeure Events and Restoration)</t>
  </si>
  <si>
    <t>Power generation</t>
  </si>
  <si>
    <t>From and after the Effective Date until the Year in which the Term ends, Buchanan Renewables (Monrovia) Power is to contribute US$ 50,000 per year to a dedicated Liberian Bank account for support of Liberian technical and engineering education. The funds are to be contributed or dispensed annually.</t>
  </si>
  <si>
    <t>When purchasing goods and services related to its activities, Buchanan Renewables (Monrovia) Power must use reasonable efforts to use goods produced in Liberia by Liberian citizens, and services provided by Liberian citizens, who are resident in Liberia, which are equal to or better than comparable goods and services obtainable from other Persons taking into account price, quality, delivery schedules, availability and other terms. Buchanan Renewables (Monrovia) Power is to include in each contract or work order with its major Contractors a provision requiring them to adhere to these requirements, and to require their sub-Contractors to do so, with respect to any activities undertaken in Liberia by them on behalf of Buchanan Renewables (Monrovia) Power.</t>
  </si>
  <si>
    <t>In computing Buchanan Renewables (Monrovia) Power's net taxable income, those deductions permitted by the Laws of Liberia and an allowance for depreciation of items of plant, equipment and infrastructure comprising the Complex in an amount equal to 30% per year of the remaining balance of the un-depreciated capital cost of those items are allowed as an annual deduction from its gross income</t>
  </si>
  <si>
    <t>Subject to Art. 16.2 on taxation of Lenders, Buchanan Renewables (Monrovia) Power is to withhold from interest paid to non-resident Persons (excluding Lenders) the amount of Taxes required by the Laws of Liberia, but not to exceed 10% of such payments. Buchanan Renewables (Monrovia) Power is to withhold dividends paid to its shareholders or owners the amount of Taxes required by the Laws of Liberia to be withheld, but not to exceed 10% of such payments.</t>
  </si>
  <si>
    <t>Buchanan Renewables (Monrovia) Power's environmental obligations are as prescribed by Environmental Laws and the Standards. On or before the earlier to occur of the Tariff Agreement Date and Construction Start Date, Buchanan Renewables (Monrovia) Power is to have filed an Environmental &amp; Social Impact Statement and submitted an Environmental &amp; Social Management Plan in respect of the Project. Subject to Buchanan Renewables (Monrovia) Power's compliance with Art. 7.3, the Government will, on or before the earlier of the Tariff Agreement Date and the Construction Start Date, issue an Environmental Impact Assessment license and an approval of the Company's Environmental Management Plan for the Project.</t>
  </si>
  <si>
    <t>Buchanan Renewables (Monrovia) Power proposes to design, insure, finance, acquire, construct, commissions, complete, own, operate and maintain an electric power plant and associated facilities. It plans to design, engineer, finance, build, install, commission, and temporarily operate and maintain the Transmission Line.</t>
  </si>
  <si>
    <t>The contract may not be assigned by either party other than by mutual agreement between the parties in writing. However, Buchanan Renewables (Monrovia) Power may, upon prior written notice to the Government, assign all or part of its right, title, and interest in the contract to the Lenders.</t>
  </si>
  <si>
    <t>Termination may occur for non-financial closing, default by Buchanan Renewables (Monrovia) Power (including commencing proceedings or its bankruptcy), and by default by the Government (including expropriation, procurement, dissolution of LEC, and a Liberian Political Event)</t>
  </si>
  <si>
    <t>A "Force Majeure Event" is an event or circumstance (or combination of the two) that is beyond the reasonable control of a party and which materially adversely affects the performance by that party of its obligations under the contract, provided it could not be prevented, overcome, or remedied by the affected party through the exercise of diligence and reasonable care. The Government is to use all reasonable efforts to cause the Liberia Electric Corporation to comply with its payment obligations under Arts. 13.5(a) and 13.5(b) of the Power Purchase Agreement, provided that it will have no obligation under this contract to make any payment in respect of such obligations. If a casualty event results in material damage to the Complex, Buchanan Renewables (Monrovia) Power is to deliver a written statement to the Government within 60 days, estimating the cost of restoration and a preliminary schedule for the completion of the restoration, or otherwise stating that the restoration is not feasible.</t>
  </si>
  <si>
    <t>At the end of the Term, Buchanan Renewables (Monrovia) Power will sell to the Government, and the Government will purchase from Buchanan Renewables (Monrovia) Power, the Complex for a purchase price of one Liberian Dollar and Buchanan Renewables (Monrovia) Power shall transfer the Complex to the Government</t>
  </si>
  <si>
    <t>Liberia, Buchanan Renewables (Monrovia) Power Inc., Concession Agreement, 2009</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</si>
</sst>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18"/>
      <color theme="1"/>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theme="1"/>
      <name val="Calibri"/>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363">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2">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5" fillId="2" borderId="0" xfId="0" applyFont="1" applyFill="1" applyBorder="1" applyAlignment="1">
      <alignment horizontal="left" wrapText="1"/>
    </xf>
    <xf numFmtId="0" fontId="15" fillId="2" borderId="0" xfId="0" applyFont="1" applyFill="1" applyBorder="1" applyAlignment="1">
      <alignment wrapText="1"/>
    </xf>
    <xf numFmtId="0" fontId="15" fillId="2" borderId="0" xfId="0" applyFont="1" applyFill="1" applyBorder="1" applyAlignment="1">
      <alignment horizontal="left"/>
    </xf>
    <xf numFmtId="0" fontId="15" fillId="2" borderId="3" xfId="0" applyFont="1" applyFill="1" applyBorder="1" applyAlignment="1">
      <alignment horizontal="left"/>
    </xf>
    <xf numFmtId="0" fontId="15" fillId="2" borderId="4" xfId="0" applyNumberFormat="1" applyFont="1" applyFill="1" applyBorder="1" applyAlignment="1">
      <alignment horizontal="left" wrapText="1"/>
    </xf>
    <xf numFmtId="0" fontId="15" fillId="9" borderId="9" xfId="0" applyFont="1" applyFill="1" applyBorder="1" applyAlignment="1">
      <alignment horizontal="left" wrapText="1"/>
    </xf>
    <xf numFmtId="0" fontId="15" fillId="2" borderId="9" xfId="0" applyFont="1" applyFill="1" applyBorder="1" applyAlignment="1">
      <alignment wrapText="1"/>
    </xf>
    <xf numFmtId="0" fontId="15" fillId="2" borderId="5" xfId="0" applyFont="1" applyFill="1" applyBorder="1" applyAlignment="1">
      <alignment wrapText="1"/>
    </xf>
    <xf numFmtId="0" fontId="15" fillId="2" borderId="3" xfId="0" applyFont="1" applyFill="1" applyBorder="1" applyAlignment="1">
      <alignment wrapText="1"/>
    </xf>
    <xf numFmtId="0" fontId="15" fillId="2" borderId="4" xfId="0" applyNumberFormat="1" applyFont="1" applyFill="1" applyBorder="1" applyAlignment="1">
      <alignment wrapText="1"/>
    </xf>
    <xf numFmtId="0" fontId="15" fillId="2" borderId="9" xfId="0" applyFont="1" applyFill="1" applyBorder="1" applyAlignment="1">
      <alignment horizontal="left" wrapText="1"/>
    </xf>
    <xf numFmtId="0" fontId="15" fillId="2" borderId="5"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5" fillId="2" borderId="5" xfId="0" applyFont="1" applyFill="1" applyBorder="1"/>
    <xf numFmtId="0" fontId="15" fillId="2" borderId="7" xfId="0" applyFont="1" applyFill="1" applyBorder="1"/>
    <xf numFmtId="0" fontId="15"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4"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7" fillId="4" borderId="9" xfId="0" applyFont="1" applyFill="1" applyBorder="1" applyAlignment="1">
      <alignment wrapText="1"/>
    </xf>
    <xf numFmtId="0" fontId="14"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5"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4"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4" fillId="13" borderId="0" xfId="0" applyFont="1" applyFill="1" applyAlignment="1">
      <alignment wrapText="1"/>
    </xf>
    <xf numFmtId="0" fontId="18"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14" fontId="0" fillId="4" borderId="9" xfId="0" applyNumberFormat="1" applyFont="1" applyFill="1" applyBorder="1" applyAlignment="1">
      <alignment vertical="top" wrapText="1"/>
    </xf>
    <xf numFmtId="0" fontId="19" fillId="0" borderId="0" xfId="0" applyFont="1" applyFill="1" applyBorder="1" applyAlignment="1"/>
    <xf numFmtId="0" fontId="19" fillId="0" borderId="0" xfId="0" applyFont="1" applyFill="1" applyBorder="1" applyAlignment="1">
      <alignment wrapText="1"/>
    </xf>
    <xf numFmtId="0" fontId="20" fillId="0" borderId="0" xfId="0" applyFont="1"/>
    <xf numFmtId="0" fontId="19" fillId="0" borderId="0" xfId="0" applyFont="1"/>
    <xf numFmtId="0" fontId="19" fillId="0" borderId="0" xfId="0" applyFont="1" applyAlignment="1">
      <alignment wrapText="1"/>
    </xf>
    <xf numFmtId="0" fontId="4" fillId="0" borderId="0" xfId="0" applyFont="1"/>
    <xf numFmtId="0" fontId="0" fillId="0" borderId="0" xfId="0" applyFill="1" applyAlignment="1">
      <alignment wrapText="1"/>
    </xf>
    <xf numFmtId="0" fontId="12" fillId="0" borderId="0" xfId="0" applyFont="1" applyAlignment="1"/>
    <xf numFmtId="0" fontId="21" fillId="0" borderId="0" xfId="0" applyFont="1"/>
    <xf numFmtId="0" fontId="7" fillId="6" borderId="9" xfId="0" applyFont="1" applyFill="1" applyBorder="1" applyAlignment="1">
      <alignment wrapText="1"/>
    </xf>
    <xf numFmtId="0" fontId="0" fillId="4" borderId="5" xfId="0" applyFont="1" applyFill="1" applyBorder="1" applyAlignment="1">
      <alignment wrapText="1"/>
    </xf>
    <xf numFmtId="0" fontId="0" fillId="6" borderId="5" xfId="0" applyFont="1" applyFill="1" applyBorder="1" applyAlignment="1">
      <alignment wrapText="1"/>
    </xf>
    <xf numFmtId="0" fontId="0" fillId="0" borderId="0" xfId="0" applyFont="1" applyAlignment="1">
      <alignment wrapText="1"/>
    </xf>
    <xf numFmtId="0" fontId="22" fillId="0" borderId="0" xfId="0" applyFont="1"/>
    <xf numFmtId="0" fontId="11"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3" fillId="0" borderId="0" xfId="0" applyNumberFormat="1" applyFont="1" applyAlignment="1">
      <alignment horizontal="right" wrapText="1"/>
    </xf>
    <xf numFmtId="0" fontId="13" fillId="0" borderId="0" xfId="0" applyFont="1" applyAlignment="1">
      <alignment horizontal="right" wrapText="1"/>
    </xf>
    <xf numFmtId="0" fontId="0" fillId="0" borderId="0" xfId="0" applyAlignment="1">
      <alignment horizontal="center"/>
    </xf>
  </cellXfs>
  <cellStyles count="3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abSelected="1" topLeftCell="B10" zoomScale="150" zoomScaleNormal="150" zoomScalePageLayoutView="150" workbookViewId="0">
      <selection activeCell="B16" sqref="B16:C16"/>
    </sheetView>
  </sheetViews>
  <sheetFormatPr baseColWidth="10" defaultColWidth="8.6640625" defaultRowHeight="15" x14ac:dyDescent="0"/>
  <cols>
    <col min="1" max="2" width="52.5" style="1" customWidth="1"/>
    <col min="3" max="3" width="46.16406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9" t="s">
        <v>837</v>
      </c>
      <c r="B10" s="219"/>
      <c r="C10" s="218"/>
    </row>
    <row r="12" spans="1:8" ht="25">
      <c r="C12" s="229">
        <v>42125</v>
      </c>
      <c r="D12" s="230"/>
    </row>
    <row r="16" spans="1:8" ht="30" customHeight="1">
      <c r="B16" s="226" t="s">
        <v>942</v>
      </c>
      <c r="C16" s="226"/>
      <c r="G16" s="227" t="s">
        <v>0</v>
      </c>
      <c r="H16" s="228"/>
    </row>
    <row r="17" spans="1:8" ht="30">
      <c r="A17" s="2" t="s">
        <v>1</v>
      </c>
      <c r="B17" s="2" t="s">
        <v>2</v>
      </c>
      <c r="C17" s="208" t="s">
        <v>241</v>
      </c>
      <c r="D17" s="3" t="s">
        <v>3</v>
      </c>
      <c r="E17" s="208" t="s">
        <v>242</v>
      </c>
      <c r="F17" s="2" t="s">
        <v>4</v>
      </c>
      <c r="G17" s="4" t="s">
        <v>5</v>
      </c>
      <c r="H17" s="5" t="s">
        <v>6</v>
      </c>
    </row>
    <row r="18" spans="1:8" ht="30">
      <c r="A18" s="6" t="s">
        <v>7</v>
      </c>
      <c r="B18" s="7" t="s">
        <v>8</v>
      </c>
      <c r="C18" s="163"/>
      <c r="D18" s="154"/>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64" t="s">
        <v>486</v>
      </c>
      <c r="D19" s="71" t="s">
        <v>839</v>
      </c>
      <c r="E19" s="71" t="s">
        <v>840</v>
      </c>
      <c r="F19" s="68"/>
      <c r="G19" s="69" t="str">
        <f>IF(OR(Table1[[#This Row],[English]]&lt;&gt;"",Table1[[#This Row],[Français]]&lt;&gt;""),Table1[[#This Row],[Français]]&amp;"//"&amp;Table1[[#This Row],[English]],"")</f>
        <v>Pays//Country</v>
      </c>
      <c r="H19" s="70" t="str">
        <f t="shared" si="0"/>
        <v>Liberia--Cover page</v>
      </c>
    </row>
    <row r="20" spans="1:8" ht="60">
      <c r="A20" s="67" t="s">
        <v>11</v>
      </c>
      <c r="B20" s="71" t="s">
        <v>12</v>
      </c>
      <c r="C20" s="164" t="s">
        <v>841</v>
      </c>
      <c r="D20" s="71" t="s">
        <v>839</v>
      </c>
      <c r="E20" s="71" t="s">
        <v>842</v>
      </c>
      <c r="F20" s="68"/>
      <c r="G20" s="69" t="str">
        <f>IF(OR(Table1[[#This Row],[English]]&lt;&gt;"",Table1[[#This Row],[Français]]&lt;&gt;""),Table1[[#This Row],[Français]]&amp;"//"&amp;Table1[[#This Row],[English]],"")</f>
        <v>Nom de la société locale//Local company name</v>
      </c>
      <c r="H20" s="70" t="str">
        <f t="shared" si="0"/>
        <v>Buchanan Renewables (Monrovia) Power Inc.--Cover page</v>
      </c>
    </row>
    <row r="21" spans="1:8">
      <c r="A21" s="71" t="s">
        <v>239</v>
      </c>
      <c r="B21" s="71" t="s">
        <v>240</v>
      </c>
      <c r="C21" s="164"/>
      <c r="D21" s="71"/>
      <c r="E21" s="71"/>
      <c r="F21" s="205"/>
      <c r="G21" s="16" t="str">
        <f>IF(OR(Table1[[#This Row],[English]]&lt;&gt;"",Table1[[#This Row],[Français]]&lt;&gt;""),Table1[[#This Row],[Français]]&amp;"//"&amp;Table1[[#This Row],[English]],"")</f>
        <v>Numéro d'entreprise légal//Legal Enterprise Identifier</v>
      </c>
      <c r="H21" s="206" t="str">
        <f>IF(C21&lt;&gt;"",IF(D21&lt;&gt;"",C21&amp;"--"&amp;D21,C21),"")</f>
        <v/>
      </c>
    </row>
    <row r="22" spans="1:8">
      <c r="A22" s="10" t="s">
        <v>13</v>
      </c>
      <c r="B22" s="10" t="s">
        <v>14</v>
      </c>
      <c r="C22" s="165"/>
      <c r="D22" s="10"/>
      <c r="E22" s="10"/>
      <c r="F22" s="11"/>
      <c r="G22" s="12" t="str">
        <f>IF(OR(Table1[[#This Row],[English]]&lt;&gt;"",Table1[[#This Row],[Français]]&lt;&gt;""),Table1[[#This Row],[Français]]&amp;"//"&amp;Table1[[#This Row],[English]],"")</f>
        <v xml:space="preserve">Siège social //Corporate headquarters </v>
      </c>
      <c r="H22" s="13" t="str">
        <f t="shared" si="0"/>
        <v/>
      </c>
    </row>
    <row r="23" spans="1:8">
      <c r="A23" s="10" t="s">
        <v>15</v>
      </c>
      <c r="B23" s="10" t="s">
        <v>16</v>
      </c>
      <c r="C23" s="165"/>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7" t="s">
        <v>17</v>
      </c>
      <c r="B24" s="71" t="s">
        <v>193</v>
      </c>
      <c r="C24" s="164"/>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239</v>
      </c>
      <c r="B25" s="71" t="s">
        <v>240</v>
      </c>
      <c r="C25" s="164"/>
      <c r="D25" s="71"/>
      <c r="E25" s="71"/>
      <c r="F25" s="205"/>
      <c r="G25" s="16" t="str">
        <f>IF(OR(Table1[[#This Row],[English]]&lt;&gt;"",Table1[[#This Row],[Français]]&lt;&gt;""),Table1[[#This Row],[Français]]&amp;"//"&amp;Table1[[#This Row],[English]],"")</f>
        <v>Numéro d'entreprise légal//Legal Enterprise Identifier</v>
      </c>
      <c r="H25" s="206" t="str">
        <f>IF(C25&lt;&gt;"",IF(D25&lt;&gt;"",C25&amp;"--"&amp;D25,C25),"")</f>
        <v/>
      </c>
    </row>
    <row r="26" spans="1:8">
      <c r="A26" s="67" t="s">
        <v>18</v>
      </c>
      <c r="B26" s="67" t="s">
        <v>19</v>
      </c>
      <c r="C26" s="166"/>
      <c r="D26" s="155"/>
      <c r="E26" s="155"/>
      <c r="F26" s="68"/>
      <c r="G26" s="69" t="str">
        <f>IF(OR(Table1[[#This Row],[English]]&lt;&gt;"",Table1[[#This Row],[Français]]&lt;&gt;""),Table1[[#This Row],[Français]]&amp;"//"&amp;Table1[[#This Row],[English]],"")</f>
        <v>Site web de l’entreprise//Company website</v>
      </c>
      <c r="H26" s="70" t="str">
        <f t="shared" si="0"/>
        <v/>
      </c>
    </row>
    <row r="27" spans="1:8" ht="30">
      <c r="A27" s="71" t="s">
        <v>204</v>
      </c>
      <c r="B27" s="72" t="s">
        <v>20</v>
      </c>
      <c r="C27" s="164" t="s">
        <v>740</v>
      </c>
      <c r="D27" s="71" t="s">
        <v>839</v>
      </c>
      <c r="E27" s="71" t="s">
        <v>840</v>
      </c>
      <c r="F27" s="6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Concession--Cover page</v>
      </c>
    </row>
    <row r="28" spans="1:8" ht="60">
      <c r="A28" s="67" t="s">
        <v>21</v>
      </c>
      <c r="B28" s="67" t="s">
        <v>22</v>
      </c>
      <c r="C28" s="164" t="s">
        <v>843</v>
      </c>
      <c r="D28" s="155" t="s">
        <v>839</v>
      </c>
      <c r="E28" s="155" t="s">
        <v>842</v>
      </c>
      <c r="F28" s="68"/>
      <c r="G28" s="69" t="str">
        <f>IF(OR(Table1[[#This Row],[English]]&lt;&gt;"",Table1[[#This Row],[Français]]&lt;&gt;""),Table1[[#This Row],[Français]]&amp;"//"&amp;Table1[[#This Row],[English]],"")</f>
        <v>Nom du projet//Project title</v>
      </c>
      <c r="H28" s="70" t="str">
        <f t="shared" si="0"/>
        <v>A power generation complex near Monrovia, Liberia--Cover page</v>
      </c>
    </row>
    <row r="29" spans="1:8">
      <c r="A29" s="71" t="s">
        <v>201</v>
      </c>
      <c r="B29" s="72" t="s">
        <v>23</v>
      </c>
      <c r="C29" s="164"/>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206</v>
      </c>
      <c r="B30" s="111" t="s">
        <v>205</v>
      </c>
      <c r="C30" s="164" t="s">
        <v>844</v>
      </c>
      <c r="D30" s="76" t="s">
        <v>846</v>
      </c>
      <c r="E30" s="71" t="s">
        <v>845</v>
      </c>
      <c r="F30" s="205" t="s">
        <v>919</v>
      </c>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Kakata, Liberia--Schedule 3</v>
      </c>
    </row>
    <row r="31" spans="1:8">
      <c r="A31" s="67" t="s">
        <v>24</v>
      </c>
      <c r="B31" s="67" t="s">
        <v>25</v>
      </c>
      <c r="C31" s="166"/>
      <c r="D31" s="155"/>
      <c r="E31" s="155"/>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4"/>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6"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5"/>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5"/>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5"/>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7"/>
      <c r="D37" s="156"/>
      <c r="E37" s="156"/>
      <c r="F37" s="15"/>
      <c r="G37" s="16" t="str">
        <f>IF(OR(Table1[[#This Row],[English]]&lt;&gt;"",Table1[[#This Row],[Français]]&lt;&gt;""),Table1[[#This Row],[Français]]&amp;"//"&amp;Table1[[#This Row],[English]],"")</f>
        <v/>
      </c>
      <c r="H37" s="17" t="str">
        <f t="shared" si="0"/>
        <v/>
      </c>
    </row>
    <row r="38" spans="1:8" ht="30">
      <c r="A38" s="207" t="s">
        <v>36</v>
      </c>
      <c r="B38" s="207" t="s">
        <v>37</v>
      </c>
      <c r="C38" s="168"/>
      <c r="D38" s="157"/>
      <c r="E38" s="157"/>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8"/>
      <c r="D39" s="157"/>
      <c r="E39" s="157"/>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4" t="s">
        <v>841</v>
      </c>
      <c r="D40" s="76" t="s">
        <v>847</v>
      </c>
      <c r="E40" s="76" t="s">
        <v>848</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Buchanan Renewables (Monrovia) Power Inc.--Preamble; Signature page</v>
      </c>
    </row>
    <row r="41" spans="1:8">
      <c r="A41" s="71" t="s">
        <v>239</v>
      </c>
      <c r="B41" s="71" t="s">
        <v>240</v>
      </c>
      <c r="C41" s="164"/>
      <c r="D41" s="71"/>
      <c r="E41" s="71"/>
      <c r="F41" s="205"/>
      <c r="G41" s="16" t="str">
        <f>IF(OR(Table1[[#This Row],[English]]&lt;&gt;"",Table1[[#This Row],[Français]]&lt;&gt;""),Table1[[#This Row],[Français]]&amp;"//"&amp;Table1[[#This Row],[English]],"")</f>
        <v>Numéro d'entreprise légal//Legal Enterprise Identifier</v>
      </c>
      <c r="H41" s="206" t="str">
        <f>IF(C41&lt;&gt;"",IF(D41&lt;&gt;"",C41&amp;"--"&amp;D41,C41),"")</f>
        <v/>
      </c>
    </row>
    <row r="42" spans="1:8" ht="45.75" customHeight="1">
      <c r="A42" s="10" t="s">
        <v>42</v>
      </c>
      <c r="B42" s="10" t="s">
        <v>43</v>
      </c>
      <c r="C42" s="165"/>
      <c r="D42" s="105"/>
      <c r="E42" s="105"/>
      <c r="F42" s="22"/>
      <c r="G42" s="23" t="str">
        <f>IF(OR(Table1[[#This Row],[English]]&lt;&gt;"",Table1[[#This Row],[Français]]&lt;&gt;""),Table1[[#This Row],[Français]]&amp;"//"&amp;Table1[[#This Row],[English]],"")</f>
        <v>Signataire(s), société //Signatories, company</v>
      </c>
      <c r="H42" s="13" t="str">
        <f t="shared" si="0"/>
        <v/>
      </c>
    </row>
    <row r="43" spans="1:8" ht="60" customHeight="1">
      <c r="A43" s="67" t="s">
        <v>44</v>
      </c>
      <c r="B43" s="67" t="s">
        <v>45</v>
      </c>
      <c r="C43" s="164" t="s">
        <v>929</v>
      </c>
      <c r="D43" s="76" t="s">
        <v>847</v>
      </c>
      <c r="E43" s="76" t="s">
        <v>848</v>
      </c>
      <c r="F43" s="222" t="s">
        <v>849</v>
      </c>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The Republic of Liberia represented by the Minister of Lands, Mines and Energy; Minister of Finance; and Chairman of National Investment Commission--Preamble; Signature page</v>
      </c>
    </row>
    <row r="44" spans="1:8" ht="113.25" customHeight="1">
      <c r="A44" s="10" t="s">
        <v>46</v>
      </c>
      <c r="B44" s="10" t="s">
        <v>47</v>
      </c>
      <c r="C44" s="165"/>
      <c r="D44" s="10"/>
      <c r="E44" s="10"/>
      <c r="F44" s="22"/>
      <c r="G44" s="23" t="str">
        <f>IF(OR(Table1[[#This Row],[English]]&lt;&gt;"",Table1[[#This Row],[Français]]&lt;&gt;""),Table1[[#This Row],[Français]]&amp;"//"&amp;Table1[[#This Row],[English]],"")</f>
        <v>Signataire(s), Etat//Signatories, State</v>
      </c>
      <c r="H44" s="13" t="str">
        <f t="shared" si="0"/>
        <v/>
      </c>
    </row>
    <row r="45" spans="1:8" ht="47" customHeight="1">
      <c r="A45" s="67" t="s">
        <v>48</v>
      </c>
      <c r="B45" s="67" t="s">
        <v>49</v>
      </c>
      <c r="C45" s="166"/>
      <c r="D45" s="158"/>
      <c r="E45" s="158"/>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178</v>
      </c>
      <c r="B46" s="61" t="s">
        <v>169</v>
      </c>
      <c r="C46" s="169"/>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11"/>
      <c r="D47" s="221"/>
      <c r="E47" s="221"/>
      <c r="F47" s="222"/>
      <c r="G47" s="74" t="str">
        <f>IF(OR(Table1[[#This Row],[English]]&lt;&gt;"",Table1[[#This Row],[Français]]&lt;&gt;""),Table1[[#This Row],[Français]]&amp;"//"&amp;Table1[[#This Row],[English]],"")</f>
        <v>Date de signature du contrat//Date of contract signature</v>
      </c>
      <c r="H47" s="70" t="str">
        <f t="shared" si="0"/>
        <v/>
      </c>
    </row>
    <row r="48" spans="1:8" ht="60">
      <c r="A48" s="71" t="s">
        <v>52</v>
      </c>
      <c r="B48" s="67" t="s">
        <v>53</v>
      </c>
      <c r="C48" s="166">
        <v>2009</v>
      </c>
      <c r="D48" s="71" t="s">
        <v>851</v>
      </c>
      <c r="E48" s="221" t="s">
        <v>852</v>
      </c>
      <c r="F48" s="222" t="s">
        <v>850</v>
      </c>
      <c r="G48" s="74" t="str">
        <f>IF(OR(Table1[[#This Row],[English]]&lt;&gt;"",Table1[[#This Row],[Français]]&lt;&gt;""),Table1[[#This Row],[Français]]&amp;"//"&amp;Table1[[#This Row],[English]],"")</f>
        <v>Année de signature du contrat//Year of contract signature</v>
      </c>
      <c r="H48" s="70" t="str">
        <f t="shared" si="0"/>
        <v>2009--Cover page; Signature page</v>
      </c>
    </row>
    <row r="49" spans="1:8" ht="27" customHeight="1">
      <c r="A49" s="67" t="s">
        <v>54</v>
      </c>
      <c r="B49" s="67" t="s">
        <v>55</v>
      </c>
      <c r="C49" s="164" t="s">
        <v>930</v>
      </c>
      <c r="D49" s="76" t="s">
        <v>853</v>
      </c>
      <c r="E49" s="71" t="s">
        <v>854</v>
      </c>
      <c r="F49" s="222" t="s">
        <v>922</v>
      </c>
      <c r="G49" s="74" t="str">
        <f>IF(OR(Table1[[#This Row],[English]]&lt;&gt;"",Table1[[#This Row],[Français]]&lt;&gt;""),Table1[[#This Row],[Français]]&amp;"//"&amp;Table1[[#This Row],[English]],"")</f>
        <v>Durée//Term</v>
      </c>
      <c r="H49" s="70" t="str">
        <f t="shared" si="0"/>
        <v>25 years from the earliest to occur of (i) Commercial Operations Date, (ii) date on which Buchanan Renewables (Monrovia) Power ceases efforts to complete and Commission the second Unit and (iii) date falling 12 months after the Initial Commercial Operations Date plus any extension under Section 3.1(b) (Force Majeure Events and Restoration)--Art. 3.1(a)</v>
      </c>
    </row>
    <row r="50" spans="1:8" ht="45">
      <c r="A50" s="10" t="s">
        <v>56</v>
      </c>
      <c r="B50" s="10" t="s">
        <v>57</v>
      </c>
      <c r="C50" s="165"/>
      <c r="D50" s="10"/>
      <c r="E50" s="10"/>
      <c r="F50" s="225"/>
      <c r="G50" s="23" t="str">
        <f>IF(OR(Table1[[#This Row],[English]]&lt;&gt;"",Table1[[#This Row],[Français]]&lt;&gt;""),Table1[[#This Row],[Français]]&amp;"//"&amp;Table1[[#This Row],[English]],"")</f>
        <v xml:space="preserve">Conditions de renouvellement//Conditions for renewal </v>
      </c>
      <c r="H50" s="13" t="str">
        <f t="shared" si="0"/>
        <v/>
      </c>
    </row>
    <row r="51" spans="1:8" ht="42" customHeight="1">
      <c r="A51" s="71" t="s">
        <v>228</v>
      </c>
      <c r="B51" s="72" t="s">
        <v>177</v>
      </c>
      <c r="C51" s="164" t="s">
        <v>931</v>
      </c>
      <c r="D51" s="71" t="s">
        <v>868</v>
      </c>
      <c r="E51" s="71" t="s">
        <v>869</v>
      </c>
      <c r="F51" s="22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Power generation--Cover page, Preamble (2)</v>
      </c>
    </row>
    <row r="52" spans="1:8" ht="42" customHeight="1">
      <c r="A52" s="119" t="s">
        <v>218</v>
      </c>
      <c r="B52" s="119" t="s">
        <v>217</v>
      </c>
      <c r="C52" s="181" t="s">
        <v>920</v>
      </c>
      <c r="D52" s="56" t="s">
        <v>858</v>
      </c>
      <c r="E52" s="56" t="s">
        <v>859</v>
      </c>
      <c r="F52" s="56" t="s">
        <v>921</v>
      </c>
      <c r="G52" s="126" t="str">
        <f>IF(OR(Table1[[#This Row],[English]]&lt;&gt;"",Table1[[#This Row],[Français]]&lt;&gt;""),Table1[[#This Row],[Français]]&amp;"//"&amp;Table1[[#This Row],[English]],"")</f>
        <v>Superficie de la concession//Size of the concession area</v>
      </c>
      <c r="H52" s="127" t="str">
        <f>IF(C52&lt;&gt;"",IF(D52&lt;&gt;"",C52&amp;"--"&amp;D52,C52),"")</f>
        <v>About 49 hectares--Schedule 3 Note (2)</v>
      </c>
    </row>
    <row r="53" spans="1:8">
      <c r="A53" s="14"/>
      <c r="B53" s="14"/>
      <c r="C53" s="167"/>
      <c r="D53" s="156"/>
      <c r="E53" s="156"/>
      <c r="F53" s="15"/>
      <c r="G53" s="16" t="str">
        <f>IF(OR(Table1[[#This Row],[English]]&lt;&gt;"",Table1[[#This Row],[Français]]&lt;&gt;""),Table1[[#This Row],[Français]]&amp;"//"&amp;Table1[[#This Row],[English]],"")</f>
        <v/>
      </c>
      <c r="H53" s="17" t="str">
        <f t="shared" si="0"/>
        <v/>
      </c>
    </row>
    <row r="54" spans="1:8" ht="49.5" customHeight="1">
      <c r="A54" s="62" t="s">
        <v>58</v>
      </c>
      <c r="B54" s="63" t="s">
        <v>192</v>
      </c>
      <c r="C54" s="168"/>
      <c r="D54" s="157"/>
      <c r="E54" s="157"/>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96.75" customHeight="1">
      <c r="A55" s="75" t="s">
        <v>59</v>
      </c>
      <c r="B55" s="67" t="s">
        <v>60</v>
      </c>
      <c r="C55" s="164" t="s">
        <v>932</v>
      </c>
      <c r="D55" s="155" t="s">
        <v>860</v>
      </c>
      <c r="E55" s="155" t="s">
        <v>861</v>
      </c>
      <c r="F55" s="68"/>
      <c r="G55" s="69" t="str">
        <f>IF(OR(Table1[[#This Row],[English]]&lt;&gt;"",Table1[[#This Row],[Français]]&lt;&gt;""),Table1[[#This Row],[Français]]&amp;"//"&amp;Table1[[#This Row],[English]],"")</f>
        <v>Convention de développement local//Local development agreement</v>
      </c>
      <c r="H55" s="70" t="str">
        <f t="shared" si="0"/>
        <v>From and after the Effective Date until the Year in which the Term ends, Buchanan Renewables (Monrovia) Power is to contribute US$ 50,000 per year to a dedicated Liberian Bank account for support of Liberian technical and engineering education. The funds are to be contributed or dispensed annually.--Art. 7.11</v>
      </c>
    </row>
    <row r="56" spans="1:8" ht="181.5" customHeight="1">
      <c r="A56" s="10" t="s">
        <v>229</v>
      </c>
      <c r="B56" s="10" t="s">
        <v>61</v>
      </c>
      <c r="C56" s="165" t="s">
        <v>910</v>
      </c>
      <c r="D56" s="10" t="s">
        <v>862</v>
      </c>
      <c r="E56" s="10" t="s">
        <v>863</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 xml:space="preserve">If Buchanan Renewables (Monrovia) Power becomes aware of moveable or immoveable elements or objects of national cultural heritage in the course of its construction activities, it must not move them and must provide prompt written notice of them to the Government. The Government and Buchanan Renewables (Monrovia) Power are to cooperate with each other in preserving them while not unreasonably interfering with or interrupting business and operations.--Art. 4.4(c) </v>
      </c>
    </row>
    <row r="57" spans="1:8" ht="45">
      <c r="A57" s="71" t="s">
        <v>234</v>
      </c>
      <c r="B57" s="67" t="s">
        <v>62</v>
      </c>
      <c r="C57" s="166"/>
      <c r="D57" s="155"/>
      <c r="E57" s="155"/>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24" customHeight="1">
      <c r="A58" s="10" t="s">
        <v>235</v>
      </c>
      <c r="B58" s="10" t="s">
        <v>63</v>
      </c>
      <c r="C58" s="165"/>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38.75" customHeight="1">
      <c r="A59" s="71" t="s">
        <v>230</v>
      </c>
      <c r="B59" s="67" t="s">
        <v>64</v>
      </c>
      <c r="C59" s="171" t="s">
        <v>911</v>
      </c>
      <c r="D59" s="71" t="s">
        <v>864</v>
      </c>
      <c r="E59" s="71" t="s">
        <v>865</v>
      </c>
      <c r="F59" s="73"/>
      <c r="G59" s="74" t="str">
        <f>IF(OR(Table1[[#This Row],[English]]&lt;&gt;"",Table1[[#This Row],[Français]]&lt;&gt;""),Table1[[#This Row],[Français]]&amp;"//"&amp;Table1[[#This Row],[English]],"")</f>
        <v>Obligations liées à l'emploi du personnel local//Local employment requirements</v>
      </c>
      <c r="H59" s="70" t="str">
        <f t="shared" si="0"/>
        <v xml:space="preserve">Within 2 years of the Commercial Operations Date, Buchanan Renewables (Monrovia) Power must have of its 10 most senior (in authority and responsibility) positions at least 5 who are Liberian citizens. Within 5 years of the Commercial Operations Date, Buchanan Renewables (Monrovia) Power must have of its 10 most senior (in authority and responsibility) positions at least 7 who are Liberian citizens.--Art. 7.6(c) </v>
      </c>
    </row>
    <row r="60" spans="1:8" ht="261.75" customHeight="1">
      <c r="A60" s="71" t="s">
        <v>232</v>
      </c>
      <c r="B60" s="67" t="s">
        <v>65</v>
      </c>
      <c r="C60" s="164" t="s">
        <v>933</v>
      </c>
      <c r="D60" s="71" t="s">
        <v>866</v>
      </c>
      <c r="E60" s="71" t="s">
        <v>867</v>
      </c>
      <c r="F60" s="73"/>
      <c r="G60" s="74" t="str">
        <f>IF(OR(Table1[[#This Row],[English]]&lt;&gt;"",Table1[[#This Row],[Français]]&lt;&gt;""),Table1[[#This Row],[Français]]&amp;"//"&amp;Table1[[#This Row],[English]],"")</f>
        <v>Obligations liées a l'approvisionnement en biens et services locaux//Local procurement requirements</v>
      </c>
      <c r="H60" s="70" t="str">
        <f t="shared" si="0"/>
        <v>When purchasing goods and services related to its activities, Buchanan Renewables (Monrovia) Power must use reasonable efforts to use goods produced in Liberia by Liberian citizens, and services provided by Liberian citizens, who are resident in Liberia, which are equal to or better than comparable goods and services obtainable from other Persons taking into account price, quality, delivery schedules, availability and other terms. Buchanan Renewables (Monrovia) Power is to include in each contract or work order with its major Contractors a provision requiring them to adhere to these requirements, and to require their sub-Contractors to do so, with respect to any activities undertaken in Liberia by them on behalf of Buchanan Renewables (Monrovia) Power.--Art. 7.5</v>
      </c>
    </row>
    <row r="61" spans="1:8">
      <c r="A61" s="10" t="s">
        <v>66</v>
      </c>
      <c r="B61" s="10" t="s">
        <v>67</v>
      </c>
      <c r="C61" s="165"/>
      <c r="D61" s="10"/>
      <c r="E61" s="10"/>
      <c r="F61" s="22"/>
      <c r="G61" s="23" t="str">
        <f>IF(OR(Table1[[#This Row],[English]]&lt;&gt;"",Table1[[#This Row],[Français]]&lt;&gt;""),Table1[[#This Row],[Français]]&amp;"//"&amp;Table1[[#This Row],[English]],"")</f>
        <v>Assurance//Insurance</v>
      </c>
      <c r="H61" s="13" t="str">
        <f t="shared" si="0"/>
        <v/>
      </c>
    </row>
    <row r="62" spans="1:8" ht="20.25" customHeight="1">
      <c r="A62" s="76" t="s">
        <v>207</v>
      </c>
      <c r="B62" s="76" t="s">
        <v>208</v>
      </c>
      <c r="C62" s="171"/>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2" t="s">
        <v>231</v>
      </c>
      <c r="B63" s="132" t="s">
        <v>222</v>
      </c>
      <c r="C63" s="172"/>
      <c r="D63" s="132"/>
      <c r="E63" s="132"/>
      <c r="F63" s="133"/>
      <c r="G63" s="134"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5" t="str">
        <f t="shared" ref="H63:H66" si="1">IF(C63&lt;&gt;"",IF(D63&lt;&gt;"",C63&amp;"--"&amp;D63,C63),"")</f>
        <v/>
      </c>
    </row>
    <row r="64" spans="1:8" ht="64" customHeight="1">
      <c r="A64" s="124" t="s">
        <v>185</v>
      </c>
      <c r="B64" s="10" t="s">
        <v>184</v>
      </c>
      <c r="C64" s="173"/>
      <c r="D64" s="10"/>
      <c r="E64" s="10"/>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302.25" customHeight="1">
      <c r="A65" s="83" t="s">
        <v>187</v>
      </c>
      <c r="B65" s="82" t="s">
        <v>186</v>
      </c>
      <c r="C65" s="174" t="s">
        <v>912</v>
      </c>
      <c r="D65" s="76" t="s">
        <v>870</v>
      </c>
      <c r="E65" s="76" t="s">
        <v>871</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Buchanan Renewables (Monrovia) Power is to at all times provide security personnel adequate for the protection and security of the Site. From time to time, it may request additional security forces from the Government to meet unusual security requirements, and the Government is to use reasonable efforts to provide such security forces as may be requested, subject only to manpower limitations arising out of other, imminent security requirements in Liberia. Any such additional security forces provided by the Government will remain under the exclusive control and direction of the Government. All reasonable out-of-pocket expenses incurred by the Government in providing such security forces are to be promptly reimbursed to the Government by Buchanan Renewables (Monrovia) Power, except for security services that are consistent with the Government's normal police functions.--Art. 10.1</v>
      </c>
    </row>
    <row r="66" spans="1:8" ht="34" customHeight="1">
      <c r="A66" s="145" t="s">
        <v>189</v>
      </c>
      <c r="B66" s="146" t="s">
        <v>190</v>
      </c>
      <c r="C66" s="175"/>
      <c r="D66" s="159"/>
      <c r="E66" s="147"/>
      <c r="F66" s="148"/>
      <c r="G66" s="149" t="str">
        <f>IF(OR(Table1[[#This Row],[English]]&lt;&gt;"",Table1[[#This Row],[Français]]&lt;&gt;""),Table1[[#This Row],[Français]]&amp;"//"&amp;Table1[[#This Row],[English]],"")</f>
        <v>Mécanismes de réclamation pour les parties non contractantes//Grievance mechanisms for non-contractual harms to non-contracting parties</v>
      </c>
      <c r="H66" s="150" t="str">
        <f t="shared" si="1"/>
        <v/>
      </c>
    </row>
    <row r="67" spans="1:8" ht="61.5" customHeight="1">
      <c r="A67" s="123" t="s">
        <v>216</v>
      </c>
      <c r="B67" s="119" t="s">
        <v>215</v>
      </c>
      <c r="C67" s="170"/>
      <c r="D67" s="10"/>
      <c r="E67" s="10"/>
      <c r="F67" s="125"/>
      <c r="G67" s="126"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7" t="str">
        <f>IF(C67&lt;&gt;"",IF(D67&lt;&gt;"",C67&amp;"--"&amp;D67,C67),"")</f>
        <v/>
      </c>
    </row>
    <row r="68" spans="1:8" ht="30">
      <c r="A68" s="83" t="s">
        <v>176</v>
      </c>
      <c r="B68" s="82" t="s">
        <v>174</v>
      </c>
      <c r="C68" s="166"/>
      <c r="D68" s="155"/>
      <c r="E68" s="155"/>
      <c r="F68" s="73"/>
      <c r="G68" s="74" t="str">
        <f>IF(OR(Table1[[#This Row],[English]]&lt;&gt;"",Table1[[#This Row],[Français]]&lt;&gt;""),Table1[[#This Row],[Français]]&amp;"//"&amp;Table1[[#This Row],[English]],"")</f>
        <v>Autre - [le nom de catégorie]//Other - [Name of Category]</v>
      </c>
      <c r="H68" s="70" t="str">
        <f t="shared" si="0"/>
        <v/>
      </c>
    </row>
    <row r="69" spans="1:8">
      <c r="A69" s="24"/>
      <c r="B69" s="24"/>
      <c r="C69" s="182"/>
      <c r="D69" s="194"/>
      <c r="E69" s="194"/>
      <c r="F69" s="15"/>
      <c r="G69" s="16" t="str">
        <f>IF(OR(Table1[[#This Row],[English]]&lt;&gt;"",Table1[[#This Row],[Français]]&lt;&gt;""),Table1[[#This Row],[Français]]&amp;"//"&amp;Table1[[#This Row],[English]],"")</f>
        <v/>
      </c>
      <c r="H69" s="25" t="str">
        <f t="shared" si="0"/>
        <v/>
      </c>
    </row>
    <row r="70" spans="1:8" ht="29" customHeight="1">
      <c r="A70" s="62" t="s">
        <v>68</v>
      </c>
      <c r="B70" s="26" t="s">
        <v>69</v>
      </c>
      <c r="C70" s="168"/>
      <c r="D70" s="157"/>
      <c r="E70" s="157"/>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c r="D71" s="151"/>
      <c r="E71" s="151"/>
      <c r="F71" s="86"/>
      <c r="G71" s="87" t="str">
        <f>IF(OR(Table1[[#This Row],[English]]&lt;&gt;"",Table1[[#This Row],[Français]]&lt;&gt;""),Table1[[#This Row],[Français]]&amp;"//"&amp;Table1[[#This Row],[English]],"")</f>
        <v>Taxe minière / redevance//Mining tax / royalty tax</v>
      </c>
      <c r="H71" s="88" t="str">
        <f t="shared" si="0"/>
        <v/>
      </c>
    </row>
    <row r="72" spans="1:8" ht="36" customHeight="1">
      <c r="A72" s="84" t="s">
        <v>72</v>
      </c>
      <c r="B72" s="85" t="s">
        <v>73</v>
      </c>
      <c r="C72" s="176" t="s">
        <v>874</v>
      </c>
      <c r="D72" s="151" t="s">
        <v>872</v>
      </c>
      <c r="E72" s="151" t="s">
        <v>873</v>
      </c>
      <c r="F72" s="86"/>
      <c r="G72" s="87" t="str">
        <f>IF(OR(Table1[[#This Row],[English]]&lt;&gt;"",Table1[[#This Row],[Français]]&lt;&gt;""),Table1[[#This Row],[Français]]&amp;"//"&amp;Table1[[#This Row],[English]],"")</f>
        <v>Impôt sur les bénéfices: taux//Income tax: rate</v>
      </c>
      <c r="H72" s="88" t="str">
        <f t="shared" si="0"/>
        <v>A rate pursuant to the Laws of Liberia but not more than 30% of its net taxable income--Art. 16.1(a)</v>
      </c>
    </row>
    <row r="73" spans="1:8" ht="150">
      <c r="A73" s="85" t="s">
        <v>223</v>
      </c>
      <c r="B73" s="85" t="s">
        <v>74</v>
      </c>
      <c r="C73" s="176" t="s">
        <v>923</v>
      </c>
      <c r="D73" s="160" t="s">
        <v>924</v>
      </c>
      <c r="E73" s="160" t="s">
        <v>925</v>
      </c>
      <c r="F73" s="86"/>
      <c r="G73" s="87" t="str">
        <f>IF(OR(Table1[[#This Row],[English]]&lt;&gt;"",Table1[[#This Row],[Français]]&lt;&gt;""),Table1[[#This Row],[Français]]&amp;"//"&amp;Table1[[#This Row],[English]],"")</f>
        <v>Impôt sur les bénéfices: exonération//Income tax: exemptions</v>
      </c>
      <c r="H73" s="88" t="str">
        <f t="shared" si="0"/>
        <v>No income taxes payable on the direct sale of electricity by Buchanan Renewables (Monrovia) Power to Liberia Electric Corporation--Art. 16.4(a)(ii)</v>
      </c>
    </row>
    <row r="74" spans="1:8" ht="132" customHeight="1">
      <c r="A74" s="85" t="s">
        <v>224</v>
      </c>
      <c r="B74" s="85" t="s">
        <v>75</v>
      </c>
      <c r="C74" s="176" t="s">
        <v>934</v>
      </c>
      <c r="D74" s="160" t="s">
        <v>875</v>
      </c>
      <c r="E74" s="160" t="s">
        <v>876</v>
      </c>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In computing Buchanan Renewables (Monrovia) Power's net taxable income, those deductions permitted by the Laws of Liberia and an allowance for depreciation of items of plant, equipment and infrastructure comprising the Complex in an amount equal to 30% per year of the remaining balance of the un-depreciated capital cost of those items are allowed as an annual deduction from its gross income--Art. 16.1(b)</v>
      </c>
    </row>
    <row r="75" spans="1:8" ht="45.75" customHeight="1">
      <c r="A75" s="106" t="s">
        <v>199</v>
      </c>
      <c r="B75" s="106" t="s">
        <v>76</v>
      </c>
      <c r="C75" s="178"/>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200</v>
      </c>
      <c r="B76" s="106" t="s">
        <v>77</v>
      </c>
      <c r="C76" s="178"/>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30">
      <c r="A77" s="106" t="s">
        <v>233</v>
      </c>
      <c r="B77" s="106" t="s">
        <v>78</v>
      </c>
      <c r="C77" s="178"/>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 customHeight="1">
      <c r="A78" s="89" t="s">
        <v>236</v>
      </c>
      <c r="B78" s="89" t="s">
        <v>79</v>
      </c>
      <c r="C78" s="174"/>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160.5" customHeight="1">
      <c r="A79" s="128" t="s">
        <v>202</v>
      </c>
      <c r="B79" s="128" t="s">
        <v>209</v>
      </c>
      <c r="C79" s="181" t="s">
        <v>935</v>
      </c>
      <c r="D79" s="27" t="s">
        <v>877</v>
      </c>
      <c r="E79" s="27" t="s">
        <v>876</v>
      </c>
      <c r="F79" s="129"/>
      <c r="G79" s="130" t="str">
        <f>IF(OR(Table1[[#This Row],[English]]&lt;&gt;"",Table1[[#This Row],[Français]]&lt;&gt;""),Table1[[#This Row],[Français]]&amp;"//"&amp;Table1[[#This Row],[English]],"")</f>
        <v>Retenue à la source sur les intérêts et/ou dividendes//Withholding tax on payment of interest and/or dividends</v>
      </c>
      <c r="H79" s="131" t="str">
        <f>IF(C79&lt;&gt;"",IF(D79&lt;&gt;"",C79&amp;"--"&amp;D79,C79),"")</f>
        <v>Subject to Art. 16.2 on taxation of Lenders, Buchanan Renewables (Monrovia) Power is to withhold from interest paid to non-resident Persons (excluding Lenders) the amount of Taxes required by the Laws of Liberia, but not to exceed 10% of such payments. Buchanan Renewables (Monrovia) Power is to withhold dividends paid to its shareholders or owners the amount of Taxes required by the Laws of Liberia to be withheld, but not to exceed 10% of such payments.--Arts. 16.1(c), (d)</v>
      </c>
    </row>
    <row r="80" spans="1:8">
      <c r="A80" s="27" t="s">
        <v>80</v>
      </c>
      <c r="B80" s="27" t="s">
        <v>81</v>
      </c>
      <c r="C80" s="173"/>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82</v>
      </c>
      <c r="B81" s="27" t="s">
        <v>83</v>
      </c>
      <c r="C81" s="191"/>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84</v>
      </c>
      <c r="B82" s="27" t="s">
        <v>85</v>
      </c>
      <c r="C82" s="191"/>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8" t="s">
        <v>86</v>
      </c>
      <c r="B83" s="27" t="s">
        <v>87</v>
      </c>
      <c r="C83" s="191"/>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79"/>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79"/>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92</v>
      </c>
      <c r="B86" s="27" t="s">
        <v>93</v>
      </c>
      <c r="C86" s="179"/>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79"/>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80"/>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98</v>
      </c>
      <c r="B89" s="27" t="s">
        <v>99</v>
      </c>
      <c r="C89" s="179"/>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100</v>
      </c>
      <c r="B90" s="27" t="s">
        <v>926</v>
      </c>
      <c r="C90" s="179"/>
      <c r="D90" s="27"/>
      <c r="E90" s="27"/>
      <c r="F90" s="29"/>
      <c r="G90" s="30" t="str">
        <f>IF(OR(Table1[[#This Row],[English]]&lt;&gt;"",Table1[[#This Row],[Français]]&lt;&gt;""),Table1[[#This Row],[Français]]&amp;"//"&amp;Table1[[#This Row],[English]],"")</f>
        <v>Droits de douane en phase d'exploitation//Custom duties during operation phase</v>
      </c>
      <c r="H90" s="31" t="str">
        <f t="shared" si="0"/>
        <v/>
      </c>
    </row>
    <row r="91" spans="1:8">
      <c r="A91" s="27" t="s">
        <v>101</v>
      </c>
      <c r="B91" s="27" t="s">
        <v>102</v>
      </c>
      <c r="C91" s="179"/>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c r="A92" s="27" t="s">
        <v>103</v>
      </c>
      <c r="B92" s="27" t="s">
        <v>104</v>
      </c>
      <c r="C92" s="179"/>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c r="A93" s="27" t="s">
        <v>105</v>
      </c>
      <c r="B93" s="27" t="s">
        <v>106</v>
      </c>
      <c r="C93" s="179"/>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79"/>
      <c r="D94" s="27"/>
      <c r="E94" s="27"/>
      <c r="F94" s="29"/>
      <c r="G94" s="30" t="str">
        <f>IF(OR(Table1[[#This Row],[English]]&lt;&gt;"",Table1[[#This Row],[Français]]&lt;&gt;""),Table1[[#This Row],[Français]]&amp;"//"&amp;Table1[[#This Row],[English]],"")</f>
        <v>TVA//VAT</v>
      </c>
      <c r="H94" s="31" t="str">
        <f t="shared" si="0"/>
        <v/>
      </c>
    </row>
    <row r="95" spans="1:8" ht="50" customHeight="1">
      <c r="A95" s="27" t="s">
        <v>109</v>
      </c>
      <c r="B95" s="27" t="s">
        <v>110</v>
      </c>
      <c r="C95" s="179"/>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111</v>
      </c>
      <c r="B96" s="27" t="s">
        <v>112</v>
      </c>
      <c r="C96" s="179"/>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8" customHeight="1">
      <c r="A97" s="128" t="s">
        <v>113</v>
      </c>
      <c r="B97" s="128" t="s">
        <v>114</v>
      </c>
      <c r="C97" s="170"/>
      <c r="D97" s="27"/>
      <c r="E97" s="27"/>
      <c r="F97" s="129"/>
      <c r="G97" s="130" t="str">
        <f>IF(OR(Table1[[#This Row],[English]]&lt;&gt;"",Table1[[#This Row],[Français]]&lt;&gt;""),Table1[[#This Row],[Français]]&amp;"//"&amp;Table1[[#This Row],[English]],"")</f>
        <v>Redevances superficiaires//Surface fees</v>
      </c>
      <c r="H97" s="131" t="str">
        <f t="shared" si="2"/>
        <v/>
      </c>
    </row>
    <row r="98" spans="1:8">
      <c r="A98" s="27" t="s">
        <v>115</v>
      </c>
      <c r="B98" s="27" t="s">
        <v>116</v>
      </c>
      <c r="C98" s="179"/>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164.25" customHeight="1">
      <c r="A99" s="27" t="s">
        <v>198</v>
      </c>
      <c r="B99" s="27" t="s">
        <v>170</v>
      </c>
      <c r="C99" s="181" t="s">
        <v>892</v>
      </c>
      <c r="D99" s="10" t="s">
        <v>893</v>
      </c>
      <c r="E99" s="27" t="s">
        <v>894</v>
      </c>
      <c r="F99" s="29"/>
      <c r="G99" s="52" t="str">
        <f>IF(OR(Table1[[#This Row],[English]]&lt;&gt;"",Table1[[#This Row],[Français]]&lt;&gt;""),Table1[[#This Row],[Français]]&amp;"//"&amp;Table1[[#This Row],[English]],"")</f>
        <v>Crédits de carbone//Carbon credits</v>
      </c>
      <c r="H99" s="53" t="str">
        <f>IF(C99&lt;&gt;"",IF(D99&lt;&gt;"",C99&amp;"--"&amp;D99,C99),"")</f>
        <v>Buchanan Renewables (Monrovia) Power intends to investigate and pursue the possibility of receiving and selling Certified Emission Reductions associated with the Complex through the Clean Development Mechanism of the Kyoto Protocol or any successor agreement. All carbon credits will be the property of Buchanan Renewables (Monrovia) Power. All revenues associated with the receipt and sale of certified emission reductions will constitute company income.--Art. 7.4</v>
      </c>
    </row>
    <row r="100" spans="1:8">
      <c r="A100" s="85" t="s">
        <v>117</v>
      </c>
      <c r="B100" s="89" t="s">
        <v>118</v>
      </c>
      <c r="C100" s="177"/>
      <c r="D100" s="160"/>
      <c r="E100" s="160"/>
      <c r="F100" s="86"/>
      <c r="G100" s="87" t="str">
        <f>IF(OR(Table1[[#This Row],[English]]&lt;&gt;"",Table1[[#This Row],[Français]]&lt;&gt;""),Table1[[#This Row],[Français]]&amp;"//"&amp;Table1[[#This Row],[English]],"")</f>
        <v>Primes//Bonuses</v>
      </c>
      <c r="H100" s="88" t="str">
        <f t="shared" si="2"/>
        <v/>
      </c>
    </row>
    <row r="101" spans="1:8" ht="31.5" customHeight="1">
      <c r="A101" s="85" t="s">
        <v>119</v>
      </c>
      <c r="B101" s="89" t="s">
        <v>120</v>
      </c>
      <c r="C101" s="176"/>
      <c r="D101" s="151"/>
      <c r="E101" s="151"/>
      <c r="F101" s="86"/>
      <c r="G101" s="87" t="str">
        <f>IF(OR(Table1[[#This Row],[English]]&lt;&gt;"",Table1[[#This Row],[Français]]&lt;&gt;""),Table1[[#This Row],[Français]]&amp;"//"&amp;Table1[[#This Row],[English]],"")</f>
        <v>Participation de l'Etat//State participation</v>
      </c>
      <c r="H101" s="88" t="str">
        <f t="shared" si="2"/>
        <v/>
      </c>
    </row>
    <row r="102" spans="1:8">
      <c r="A102" s="85" t="s">
        <v>121</v>
      </c>
      <c r="B102" s="85" t="s">
        <v>122</v>
      </c>
      <c r="C102" s="177"/>
      <c r="D102" s="160"/>
      <c r="E102" s="160"/>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196</v>
      </c>
      <c r="B103" s="104" t="s">
        <v>195</v>
      </c>
      <c r="C103" s="176"/>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21.75" customHeight="1">
      <c r="A104" s="85" t="s">
        <v>123</v>
      </c>
      <c r="B104" s="85" t="s">
        <v>124</v>
      </c>
      <c r="C104" s="203"/>
      <c r="D104" s="151"/>
      <c r="E104" s="151"/>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
      </c>
    </row>
    <row r="105" spans="1:8" ht="85.5" customHeight="1">
      <c r="A105" s="83" t="s">
        <v>176</v>
      </c>
      <c r="B105" s="82" t="s">
        <v>878</v>
      </c>
      <c r="C105" s="176" t="s">
        <v>879</v>
      </c>
      <c r="D105" s="89" t="s">
        <v>880</v>
      </c>
      <c r="E105" s="151" t="s">
        <v>881</v>
      </c>
      <c r="F105" s="86"/>
      <c r="G105" s="87" t="str">
        <f>IF(OR(Table1[[#This Row],[English]]&lt;&gt;"",Table1[[#This Row],[Français]]&lt;&gt;""),Table1[[#This Row],[Français]]&amp;"//"&amp;Table1[[#This Row],[English]],"")</f>
        <v>Autre - [le nom de catégorie]//Other - Foreign Investors</v>
      </c>
      <c r="H105" s="88" t="str">
        <f t="shared" si="2"/>
        <v>Foreign Investors will be governed by the bilateral tax treaties between their respective countries of residence and Liberia. If there is no bilateral tax treaty, they will be taxed in accordance with the Laws of Liberia.--Art. 16.3</v>
      </c>
    </row>
    <row r="106" spans="1:8">
      <c r="A106" s="153"/>
      <c r="B106" s="34"/>
      <c r="C106" s="196"/>
      <c r="D106" s="152"/>
      <c r="E106" s="152"/>
      <c r="F106" s="15"/>
      <c r="G106" s="16" t="str">
        <f>IF(OR(Table1[[#This Row],[English]]&lt;&gt;"",Table1[[#This Row],[Français]]&lt;&gt;""),Table1[[#This Row],[Français]]&amp;"//"&amp;Table1[[#This Row],[English]],"")</f>
        <v/>
      </c>
      <c r="H106" s="35" t="str">
        <f t="shared" si="2"/>
        <v/>
      </c>
    </row>
    <row r="107" spans="1:8" ht="30">
      <c r="A107" s="62" t="s">
        <v>191</v>
      </c>
      <c r="B107" s="63" t="s">
        <v>125</v>
      </c>
      <c r="C107" s="168"/>
      <c r="D107" s="157"/>
      <c r="E107" s="157"/>
      <c r="F107" s="18"/>
      <c r="G107" s="19" t="str">
        <f>IF(OR(Table1[[#This Row],[English]]&lt;&gt;"",Table1[[#This Row],[Français]]&lt;&gt;""),Table1[[#This Row],[Français]]&amp;"//"&amp;Table1[[#This Row],[English]],"")</f>
        <v>4. Dispositions environnementales //4. Environmental provisions</v>
      </c>
      <c r="H107" s="20" t="str">
        <f t="shared" si="2"/>
        <v/>
      </c>
    </row>
    <row r="108" spans="1:8" ht="280.5" customHeight="1">
      <c r="A108" s="93" t="s">
        <v>212</v>
      </c>
      <c r="B108" s="93" t="s">
        <v>219</v>
      </c>
      <c r="C108" s="164" t="s">
        <v>936</v>
      </c>
      <c r="D108" s="71" t="s">
        <v>898</v>
      </c>
      <c r="E108" s="71" t="s">
        <v>899</v>
      </c>
      <c r="F108" s="68"/>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Buchanan Renewables (Monrovia) Power's environmental obligations are as prescribed by Environmental Laws and the Standards. On or before the earlier to occur of the Tariff Agreement Date and Construction Start Date, Buchanan Renewables (Monrovia) Power is to have filed an Environmental &amp; Social Impact Statement and submitted an Environmental &amp; Social Management Plan in respect of the Project. Subject to Buchanan Renewables (Monrovia) Power's compliance with Art. 7.3, the Government will, on or before the earlier of the Tariff Agreement Date and the Construction Start Date, issue an Environmental Impact Assessment license and an approval of the Company's Environmental Management Plan for the Project.--Arts. 7.3(b), 7.13</v>
      </c>
    </row>
    <row r="109" spans="1:8" ht="99.75" customHeight="1">
      <c r="A109" s="124" t="s">
        <v>214</v>
      </c>
      <c r="B109" s="124" t="s">
        <v>213</v>
      </c>
      <c r="C109" s="165" t="s">
        <v>884</v>
      </c>
      <c r="D109" s="10" t="s">
        <v>882</v>
      </c>
      <c r="E109" s="10" t="s">
        <v>883</v>
      </c>
      <c r="F109" s="142"/>
      <c r="G109" s="143"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4" t="str">
        <f t="shared" si="2"/>
        <v>The Environmental &amp; Social Management Plan must, to the extent required by Environmental Laws, include provisions for environmental audits and review of proposed modifications by the Environmental Protection Agency of Liberia--Art. 7.3(b)</v>
      </c>
    </row>
    <row r="110" spans="1:8" ht="103.5" customHeight="1">
      <c r="A110" s="94" t="s">
        <v>225</v>
      </c>
      <c r="B110" s="95" t="s">
        <v>180</v>
      </c>
      <c r="C110" s="174" t="s">
        <v>885</v>
      </c>
      <c r="D110" s="82" t="s">
        <v>886</v>
      </c>
      <c r="E110" s="94" t="s">
        <v>887</v>
      </c>
      <c r="F110" s="96"/>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Buchanan Renewables (Monrovia) Power has the exclusive right on the Site to take and use, free of charge (but not to sell to any other Person without written governmental approval) such water as it considers necessary or useful for its operations under the contract--Art. 4.2(d)</v>
      </c>
    </row>
    <row r="111" spans="1:8" ht="45">
      <c r="A111" s="118" t="s">
        <v>211</v>
      </c>
      <c r="B111" s="118" t="s">
        <v>210</v>
      </c>
      <c r="C111" s="170"/>
      <c r="D111" s="56"/>
      <c r="E111" s="195"/>
      <c r="F111" s="120"/>
      <c r="G111" s="121"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2" t="str">
        <f>IF(C111&lt;&gt;"",IF(D111&lt;&gt;"",C111&amp;"--"&amp;D111,C111),"")</f>
        <v/>
      </c>
    </row>
    <row r="112" spans="1:8" ht="45" customHeight="1">
      <c r="A112" s="83" t="s">
        <v>238</v>
      </c>
      <c r="B112" s="82" t="s">
        <v>895</v>
      </c>
      <c r="C112" s="164" t="s">
        <v>913</v>
      </c>
      <c r="D112" s="76" t="s">
        <v>896</v>
      </c>
      <c r="E112" s="76" t="s">
        <v>897</v>
      </c>
      <c r="F112" s="68"/>
      <c r="G112" s="69" t="str">
        <f>IF(OR(Table1[[#This Row],[English]]&lt;&gt;"",Table1[[#This Row],[Français]]&lt;&gt;""),Table1[[#This Row],[Français]]&amp;"//"&amp;Table1[[#This Row],[English]],"")</f>
        <v>Autre - [Responsabilité environnementale]//Other - Replanting Wood</v>
      </c>
      <c r="H112" s="70" t="str">
        <f t="shared" si="2"/>
        <v>Buchanan Renewables (Monrovia) Power will replant, or cause its Contractors or their suppliers of Wood to replant, at least one tree for every tree harvested to supply fuel for the Project within a reasonable time period (not to exceed 1 year) following harvesting--Art. 7.10</v>
      </c>
    </row>
    <row r="113" spans="1:8">
      <c r="A113" s="37"/>
      <c r="B113" s="38"/>
      <c r="C113" s="183"/>
      <c r="D113" s="199"/>
      <c r="E113" s="199"/>
      <c r="F113" s="15"/>
      <c r="G113" s="16" t="str">
        <f>IF(OR(Table1[[#This Row],[English]]&lt;&gt;"",Table1[[#This Row],[Français]]&lt;&gt;""),Table1[[#This Row],[Français]]&amp;"//"&amp;Table1[[#This Row],[English]],"")</f>
        <v/>
      </c>
      <c r="H113" s="17" t="str">
        <f t="shared" si="2"/>
        <v/>
      </c>
    </row>
    <row r="114" spans="1:8" ht="45">
      <c r="A114" s="62" t="s">
        <v>183</v>
      </c>
      <c r="B114" s="18" t="s">
        <v>126</v>
      </c>
      <c r="C114" s="168"/>
      <c r="D114" s="157"/>
      <c r="E114" s="157"/>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45">
      <c r="A115" s="55" t="s">
        <v>181</v>
      </c>
      <c r="B115" s="64" t="s">
        <v>182</v>
      </c>
      <c r="C115" s="184"/>
      <c r="D115" s="65"/>
      <c r="E115" s="64"/>
      <c r="F115" s="64"/>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
      </c>
    </row>
    <row r="116" spans="1:8" ht="138" customHeight="1">
      <c r="A116" s="93" t="s">
        <v>127</v>
      </c>
      <c r="B116" s="99" t="s">
        <v>128</v>
      </c>
      <c r="C116" s="164" t="s">
        <v>937</v>
      </c>
      <c r="D116" s="76" t="s">
        <v>927</v>
      </c>
      <c r="E116" s="76" t="s">
        <v>928</v>
      </c>
      <c r="F116" s="68"/>
      <c r="G116" s="69" t="str">
        <f>IF(OR(Table1[[#This Row],[English]]&lt;&gt;"",Table1[[#This Row],[Français]]&lt;&gt;""),Table1[[#This Row],[Français]]&amp;"//"&amp;Table1[[#This Row],[English]],"")</f>
        <v>Obligations de travaux, d'investissements//Work and investment commitments</v>
      </c>
      <c r="H116" s="70" t="str">
        <f t="shared" si="2"/>
        <v>Buchanan Renewables (Monrovia) Power proposes to design, insure, finance, acquire, construct, commissions, complete, own, operate and maintain an electric power plant and associated facilities. It plans to design, engineer, finance, build, install, commission, and temporarily operate and maintain the Transmission Line.--Preamble (2), (3), Arts. 4.2(b), 7.1</v>
      </c>
    </row>
    <row r="117" spans="1:8">
      <c r="A117" s="36" t="s">
        <v>129</v>
      </c>
      <c r="B117" s="36" t="s">
        <v>130</v>
      </c>
      <c r="C117" s="185"/>
      <c r="D117" s="10"/>
      <c r="E117" s="10"/>
      <c r="F117" s="11"/>
      <c r="G117" s="12" t="str">
        <f>IF(OR(Table1[[#This Row],[English]]&lt;&gt;"",Table1[[#This Row],[Français]]&lt;&gt;""),Table1[[#This Row],[Français]]&amp;"//"&amp;Table1[[#This Row],[English]],"")</f>
        <v>Rétrocession//Transfer of risk</v>
      </c>
      <c r="H117" s="13" t="str">
        <f t="shared" si="2"/>
        <v/>
      </c>
    </row>
    <row r="118" spans="1:8" ht="284.25" customHeight="1">
      <c r="A118" s="67" t="s">
        <v>131</v>
      </c>
      <c r="B118" s="67" t="s">
        <v>132</v>
      </c>
      <c r="C118" s="164" t="s">
        <v>914</v>
      </c>
      <c r="D118" s="155" t="s">
        <v>890</v>
      </c>
      <c r="E118" s="155" t="s">
        <v>891</v>
      </c>
      <c r="F118" s="68"/>
      <c r="G118" s="69" t="str">
        <f>IF(OR(Table1[[#This Row],[English]]&lt;&gt;"",Table1[[#This Row],[Français]]&lt;&gt;""),Table1[[#This Row],[Français]]&amp;"//"&amp;Table1[[#This Row],[English]],"")</f>
        <v>Construction et entretien d'infrastructure//Construction and maintenance of infrastructure</v>
      </c>
      <c r="H118" s="70" t="str">
        <f t="shared" si="2"/>
        <v>Buchanan Renewables (Monrovia) Power has the exclusive right, at its own expense, to construct and establish such infrastructure on the Site as may be necessary or appropriate in connection with the development, construction, commissioning, completion, ownership, operation, and maintenance of the Complex, including (a) employee housing (b) processing, storage, and repair facilities (c) administrative, laboratory and research facilities (d) transportation facilities and (f) all other movable and non-movable facilities and equipment affixed to, used as an integral part of or used in relation to or in connection with the above items. Buchanan Renewables (Monrovia) Power is to finance, insure, design, construct, install, commission, operate and maintain the Complex and Transmission Line.--Arts. 4.2(b), 7.1</v>
      </c>
    </row>
    <row r="119" spans="1:8" ht="15" customHeight="1">
      <c r="A119" s="10" t="s">
        <v>203</v>
      </c>
      <c r="B119" s="10" t="s">
        <v>133</v>
      </c>
      <c r="C119" s="173"/>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c r="A120" s="113" t="s">
        <v>134</v>
      </c>
      <c r="B120" s="114" t="s">
        <v>135</v>
      </c>
      <c r="C120" s="186"/>
      <c r="D120" s="112"/>
      <c r="E120" s="112"/>
      <c r="F120" s="115"/>
      <c r="G120" s="116" t="str">
        <f>IF(OR(Table1[[#This Row],[English]]&lt;&gt;"",Table1[[#This Row],[Français]]&lt;&gt;""),Table1[[#This Row],[Français]]&amp;"//"&amp;Table1[[#This Row],[English]],"")</f>
        <v>Utilisation d’infrastructure par les tiers//Third party use of infrastructure</v>
      </c>
      <c r="H120" s="117" t="str">
        <f t="shared" si="2"/>
        <v/>
      </c>
    </row>
    <row r="121" spans="1:8">
      <c r="A121" s="39" t="s">
        <v>136</v>
      </c>
      <c r="B121" s="33" t="s">
        <v>137</v>
      </c>
      <c r="C121" s="165"/>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128.25" customHeight="1">
      <c r="A122" s="39" t="s">
        <v>138</v>
      </c>
      <c r="B122" s="33" t="s">
        <v>139</v>
      </c>
      <c r="C122" s="165" t="s">
        <v>941</v>
      </c>
      <c r="D122" s="10" t="s">
        <v>888</v>
      </c>
      <c r="E122" s="10" t="s">
        <v>889</v>
      </c>
      <c r="F122" s="11"/>
      <c r="G122" s="12" t="str">
        <f>IF(OR(Table1[[#This Row],[English]]&lt;&gt;"",Table1[[#This Row],[Français]]&lt;&gt;""),Table1[[#This Row],[Français]]&amp;"//"&amp;Table1[[#This Row],[English]],"")</f>
        <v>Propriété d’infrastructure//Ownership of infrastructure</v>
      </c>
      <c r="H122" s="13" t="str">
        <f t="shared" si="2"/>
        <v>At the end of the Term, Buchanan Renewables (Monrovia) Power will sell to the Government, and the Government will purchase from Buchanan Renewables (Monrovia) Power, the Complex for a purchase price of one Liberian Dollar and Buchanan Renewables (Monrovia) Power shall transfer the Complex to the Government--Art. 3.2</v>
      </c>
    </row>
    <row r="123" spans="1:8">
      <c r="A123" s="28" t="s">
        <v>197</v>
      </c>
      <c r="B123" s="27" t="s">
        <v>194</v>
      </c>
      <c r="C123" s="179"/>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179</v>
      </c>
      <c r="B124" s="55" t="s">
        <v>171</v>
      </c>
      <c r="C124" s="181"/>
      <c r="D124" s="56"/>
      <c r="E124" s="195"/>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30">
      <c r="A125" s="137" t="s">
        <v>226</v>
      </c>
      <c r="B125" s="138" t="s">
        <v>172</v>
      </c>
      <c r="C125" s="187"/>
      <c r="D125" s="136"/>
      <c r="E125" s="137"/>
      <c r="F125" s="139"/>
      <c r="G125" s="140"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41" t="str">
        <f>IF(C125&lt;&gt;"",IF(D125&lt;&gt;"",C125&amp;"--"&amp;D125,C125),"")</f>
        <v/>
      </c>
    </row>
    <row r="126" spans="1:8" ht="24.75" customHeight="1">
      <c r="A126" s="83" t="s">
        <v>176</v>
      </c>
      <c r="B126" s="204" t="s">
        <v>174</v>
      </c>
      <c r="C126" s="174"/>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200"/>
      <c r="B127" s="40"/>
      <c r="C127" s="201"/>
      <c r="D127" s="202"/>
      <c r="E127" s="202"/>
      <c r="F127" s="15"/>
      <c r="G127" s="16" t="str">
        <f>IF(OR(Table1[[#This Row],[English]]&lt;&gt;"",Table1[[#This Row],[Français]]&lt;&gt;""),Table1[[#This Row],[Français]]&amp;"//"&amp;Table1[[#This Row],[English]],"")</f>
        <v/>
      </c>
      <c r="H127" s="17" t="str">
        <f t="shared" si="2"/>
        <v/>
      </c>
    </row>
    <row r="128" spans="1:8" ht="30">
      <c r="A128" s="21" t="s">
        <v>140</v>
      </c>
      <c r="B128" s="21" t="s">
        <v>141</v>
      </c>
      <c r="C128" s="168"/>
      <c r="D128" s="157"/>
      <c r="E128" s="157"/>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142</v>
      </c>
      <c r="B129" s="93" t="s">
        <v>143</v>
      </c>
      <c r="C129" s="164" t="s">
        <v>906</v>
      </c>
      <c r="D129" s="71" t="s">
        <v>907</v>
      </c>
      <c r="E129" s="71" t="s">
        <v>908</v>
      </c>
      <c r="F129" s="68"/>
      <c r="G129" s="69" t="str">
        <f>IF(OR(Table1[[#This Row],[English]]&lt;&gt;"",Table1[[#This Row],[Français]]&lt;&gt;""),Table1[[#This Row],[Français]]&amp;"//"&amp;Table1[[#This Row],[English]],"")</f>
        <v>Loi applicable en cas des différends//Governing law in case of dispute</v>
      </c>
      <c r="H129" s="70" t="str">
        <f t="shared" si="2"/>
        <v>Laws of the state of New York, United States of America--Art. 19.1</v>
      </c>
    </row>
    <row r="130" spans="1:8" ht="199.5" customHeight="1">
      <c r="A130" s="99" t="s">
        <v>144</v>
      </c>
      <c r="B130" s="85" t="s">
        <v>145</v>
      </c>
      <c r="C130" s="164" t="s">
        <v>915</v>
      </c>
      <c r="D130" s="76" t="s">
        <v>909</v>
      </c>
      <c r="E130" s="71" t="s">
        <v>908</v>
      </c>
      <c r="F130" s="68"/>
      <c r="G130" s="69" t="str">
        <f>IF(OR(Table1[[#This Row],[English]]&lt;&gt;"",Table1[[#This Row],[Français]]&lt;&gt;""),Table1[[#This Row],[Français]]&amp;"//"&amp;Table1[[#This Row],[English]],"")</f>
        <v>Arbitrage et règlement des différends//Arbitration and dispute resolution</v>
      </c>
      <c r="H130" s="70" t="str">
        <f t="shared" si="2"/>
        <v>Any dispute or difference arising out of or in connection with the contract between the parties is to be settled by arbitration in accordance with the ICSID Rules of the Centre established by the Convention. The venue of the arbitration will be Washington, D.C. with a panel of three arbitrators; one appointed by the Government, another by Buchanan Renewables (Monrovia) Power, and the third by the Secretary-General of the Centre. The costs of the proceedings will be assessed between the parties by the tribunal.--Art. 19.2</v>
      </c>
    </row>
    <row r="131" spans="1:8" ht="41.25" customHeight="1">
      <c r="A131" s="99" t="s">
        <v>146</v>
      </c>
      <c r="B131" s="93" t="s">
        <v>147</v>
      </c>
      <c r="C131" s="176"/>
      <c r="D131" s="71"/>
      <c r="E131" s="71"/>
      <c r="F131" s="68"/>
      <c r="G131" s="69" t="str">
        <f>IF(OR(Table1[[#This Row],[English]]&lt;&gt;"",Table1[[#This Row],[Français]]&lt;&gt;""),Table1[[#This Row],[Français]]&amp;"//"&amp;Table1[[#This Row],[English]],"")</f>
        <v>Clause de stabilisation//Stabilization clause</v>
      </c>
      <c r="H131" s="70" t="str">
        <f t="shared" si="2"/>
        <v/>
      </c>
    </row>
    <row r="132" spans="1:8" ht="102.75" customHeight="1">
      <c r="A132" s="36" t="s">
        <v>148</v>
      </c>
      <c r="B132" s="10" t="s">
        <v>149</v>
      </c>
      <c r="C132" s="165" t="s">
        <v>938</v>
      </c>
      <c r="D132" s="10" t="s">
        <v>901</v>
      </c>
      <c r="E132" s="10" t="s">
        <v>900</v>
      </c>
      <c r="F132" s="11"/>
      <c r="G132" s="12" t="str">
        <f>IF(OR(Table1[[#This Row],[English]]&lt;&gt;"",Table1[[#This Row],[Français]]&lt;&gt;""),Table1[[#This Row],[Français]]&amp;"//"&amp;Table1[[#This Row],[English]],"")</f>
        <v>Cession / transfert//Assignment / transfer</v>
      </c>
      <c r="H132" s="13" t="str">
        <f t="shared" si="2"/>
        <v>The contract may not be assigned by either party other than by mutual agreement between the parties in writing. However, Buchanan Renewables (Monrovia) Power may, upon prior written notice to the Government, assign all or part of its right, title, and interest in the contract to the Lenders.--Art. 13.1</v>
      </c>
    </row>
    <row r="133" spans="1:8" ht="97.5" customHeight="1">
      <c r="A133" s="36" t="s">
        <v>227</v>
      </c>
      <c r="B133" s="10" t="s">
        <v>150</v>
      </c>
      <c r="C133" s="165" t="s">
        <v>939</v>
      </c>
      <c r="D133" s="10" t="s">
        <v>904</v>
      </c>
      <c r="E133" s="10" t="s">
        <v>905</v>
      </c>
      <c r="F133" s="11"/>
      <c r="G133" s="12" t="str">
        <f>IF(OR(Table1[[#This Row],[English]]&lt;&gt;"",Table1[[#This Row],[Français]]&lt;&gt;""),Table1[[#This Row],[Français]]&amp;"//"&amp;Table1[[#This Row],[English]],"")</f>
        <v>Annulation / Résiliation //Cancellation / termination</v>
      </c>
      <c r="H133" s="13" t="str">
        <f t="shared" si="2"/>
        <v>Termination may occur for non-financial closing, default by Buchanan Renewables (Monrovia) Power (including commencing proceedings or its bankruptcy), and by default by the Government (including expropriation, procurement, dissolution of LEC, and a Liberian Political Event)--Arts. 17.1 - 17.2</v>
      </c>
    </row>
    <row r="134" spans="1:8">
      <c r="A134" s="33" t="s">
        <v>151</v>
      </c>
      <c r="B134" s="33" t="s">
        <v>152</v>
      </c>
      <c r="C134" s="165"/>
      <c r="D134" s="10"/>
      <c r="E134" s="10"/>
      <c r="F134" s="11"/>
      <c r="G134" s="12" t="str">
        <f>IF(OR(Table1[[#This Row],[English]]&lt;&gt;"",Table1[[#This Row],[Français]]&lt;&gt;""),Table1[[#This Row],[Français]]&amp;"//"&amp;Table1[[#This Row],[English]],"")</f>
        <v>Indemnisation//Indemnification</v>
      </c>
      <c r="H134" s="13" t="str">
        <f t="shared" si="2"/>
        <v/>
      </c>
    </row>
    <row r="135" spans="1:8" ht="54" customHeight="1">
      <c r="A135" s="100" t="s">
        <v>153</v>
      </c>
      <c r="B135" s="76" t="s">
        <v>154</v>
      </c>
      <c r="C135" s="197"/>
      <c r="D135" s="71"/>
      <c r="E135" s="71"/>
      <c r="F135" s="68"/>
      <c r="G135" s="69" t="str">
        <f>IF(OR(Table1[[#This Row],[English]]&lt;&gt;"",Table1[[#This Row],[Français]]&lt;&gt;""),Table1[[#This Row],[Français]]&amp;"//"&amp;Table1[[#This Row],[English]],"")</f>
        <v>Confidentialité//Confidentiality</v>
      </c>
      <c r="H135" s="70" t="str">
        <f t="shared" si="2"/>
        <v/>
      </c>
    </row>
    <row r="136" spans="1:8">
      <c r="A136" s="100" t="s">
        <v>155</v>
      </c>
      <c r="B136" s="76" t="s">
        <v>156</v>
      </c>
      <c r="C136" s="176" t="s">
        <v>756</v>
      </c>
      <c r="D136" s="71"/>
      <c r="E136" s="71"/>
      <c r="F136" s="68"/>
      <c r="G136" s="69" t="str">
        <f>IF(OR(Table1[[#This Row],[English]]&lt;&gt;"",Table1[[#This Row],[Français]]&lt;&gt;""),Table1[[#This Row],[Français]]&amp;"//"&amp;Table1[[#This Row],[English]],"")</f>
        <v>Langue//Language</v>
      </c>
      <c r="H136" s="70" t="str">
        <f>IF(C136&lt;&gt;"",IF(D136&lt;&gt;"",C136&amp;"--"&amp;D136,C136),"")</f>
        <v>ENG</v>
      </c>
    </row>
    <row r="137" spans="1:8" ht="30">
      <c r="A137" s="10" t="s">
        <v>237</v>
      </c>
      <c r="B137" s="10" t="s">
        <v>188</v>
      </c>
      <c r="C137" s="165"/>
      <c r="D137" s="10"/>
      <c r="E137" s="10"/>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
      </c>
    </row>
    <row r="138" spans="1:8" ht="409.5" customHeight="1">
      <c r="A138" s="124" t="s">
        <v>221</v>
      </c>
      <c r="B138" s="124" t="s">
        <v>220</v>
      </c>
      <c r="C138" s="165" t="s">
        <v>940</v>
      </c>
      <c r="D138" s="10" t="s">
        <v>917</v>
      </c>
      <c r="E138" s="10" t="s">
        <v>918</v>
      </c>
      <c r="F138" s="41"/>
      <c r="G138" s="12" t="str">
        <f>IF(OR(Table1[[#This Row],[English]]&lt;&gt;"",Table1[[#This Row],[Français]]&lt;&gt;""),Table1[[#This Row],[Français]]&amp;"//"&amp;Table1[[#This Row],[English]],"")</f>
        <v>Clause de hardship ou force majeure//Hardship clause or force majeure</v>
      </c>
      <c r="H138" s="13" t="str">
        <f t="shared" si="2"/>
        <v>A "Force Majeure Event" is an event or circumstance (or combination of the two) that is beyond the reasonable control of a party and which materially adversely affects the performance by that party of its obligations under the contract, provided it could not be prevented, overcome, or remedied by the affected party through the exercise of diligence and reasonable care. The Government is to use all reasonable efforts to cause the Liberia Electric Corporation to comply with its payment obligations under Arts. 13.5(a) and 13.5(b) of the Power Purchase Agreement, provided that it will have no obligation under this contract to make any payment in respect of such obligations. If a casualty event results in material damage to the Complex, Buchanan Renewables (Monrovia) Power is to deliver a written statement to the Government within 60 days, estimating the cost of restoration and a preliminary schedule for the completion of the restoration, or otherwise stating that the restoration is not feasible.--Arts. 15.1, 20.1, 20.3</v>
      </c>
    </row>
    <row r="139" spans="1:8" ht="156.75" customHeight="1">
      <c r="A139" s="10" t="s">
        <v>175</v>
      </c>
      <c r="B139" s="124" t="s">
        <v>173</v>
      </c>
      <c r="C139" s="192" t="s">
        <v>916</v>
      </c>
      <c r="D139" s="224" t="s">
        <v>903</v>
      </c>
      <c r="E139" s="33" t="s">
        <v>902</v>
      </c>
      <c r="F139" s="41"/>
      <c r="G139" s="42" t="str">
        <f>IF(OR(Table1[[#This Row],[English]]&lt;&gt;"",Table1[[#This Row],[Français]]&lt;&gt;""),Table1[[#This Row],[Français]]&amp;"//"&amp;Table1[[#This Row],[English]],"")</f>
        <v>Expropriation//Expropriation / nationalization</v>
      </c>
      <c r="H139" s="43" t="str">
        <f>IF(C139&lt;&gt;"",IF(E139&lt;&gt;"",C139&amp;"--"&amp;E139,C139),"")</f>
        <v>The Government must not expropriate, compulsorily acquire (except pursuant to the contract), nationalize, or otherwise compulsorily procure any Ordinary Share Capital or any other asset of Buchanan Renewables (Monrovia) Power reasonably required for the Project or the performance of its obligations under the contract, the Power Purchase Agreement, or other documents comprising the Security Package--31 (middle)</v>
      </c>
    </row>
    <row r="140" spans="1:8">
      <c r="A140" s="83" t="s">
        <v>176</v>
      </c>
      <c r="B140" s="82" t="s">
        <v>174</v>
      </c>
      <c r="C140" s="188"/>
      <c r="D140" s="198"/>
      <c r="E140" s="161"/>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93"/>
      <c r="D141" s="156"/>
      <c r="E141" s="156"/>
      <c r="F141" s="15"/>
      <c r="G141" s="16" t="str">
        <f>IF(OR(Table1[[#This Row],[English]]&lt;&gt;"",Table1[[#This Row],[Français]]&lt;&gt;""),Table1[[#This Row],[Français]]&amp;"//"&amp;Table1[[#This Row],[English]],"")</f>
        <v/>
      </c>
      <c r="H141" s="17" t="str">
        <f t="shared" si="2"/>
        <v/>
      </c>
    </row>
    <row r="142" spans="1:8" ht="30">
      <c r="A142" s="21" t="s">
        <v>157</v>
      </c>
      <c r="B142" s="21" t="s">
        <v>158</v>
      </c>
      <c r="C142" s="189"/>
      <c r="D142" s="162"/>
      <c r="E142" s="162"/>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90"/>
      <c r="D143" s="33"/>
      <c r="E143" s="33"/>
      <c r="F143" s="41"/>
      <c r="G143" s="42" t="str">
        <f>IF(OR(Table1[[#This Row],[English]]&lt;&gt;"",Table1[[#This Row],[Français]]&lt;&gt;""),Table1[[#This Row],[Français]]&amp;"//"&amp;Table1[[#This Row],[English]],"")</f>
        <v>Pages Manquantes de la copie//Pages missing from  copy</v>
      </c>
      <c r="H143" s="43" t="str">
        <f t="shared" si="2"/>
        <v/>
      </c>
    </row>
    <row r="144" spans="1:8" ht="45">
      <c r="A144" s="10" t="s">
        <v>161</v>
      </c>
      <c r="B144" s="10" t="s">
        <v>162</v>
      </c>
      <c r="C144" s="165" t="s">
        <v>855</v>
      </c>
      <c r="D144" s="10" t="s">
        <v>856</v>
      </c>
      <c r="E144" s="10" t="s">
        <v>857</v>
      </c>
      <c r="F144" s="22"/>
      <c r="G144" s="23" t="str">
        <f>IF(OR(Table1[[#This Row],[English]]&lt;&gt;"",Table1[[#This Row],[Français]]&lt;&gt;""),Table1[[#This Row],[Français]]&amp;"//"&amp;Table1[[#This Row],[English]],"")</f>
        <v>Annexes Manquantes de la copie//Annexes missing from copy</v>
      </c>
      <c r="H144" s="13" t="str">
        <f t="shared" si="2"/>
        <v>Exhibit A is missing from copy--Table of contents</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6" type="noConversion"/>
  <dataValidations count="3">
    <dataValidation type="list" allowBlank="1" showInputMessage="1" showErrorMessage="1" sqref="C19">
      <formula1>countries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workbookViewId="0"/>
  </sheetViews>
  <sheetFormatPr baseColWidth="10" defaultColWidth="8.6640625" defaultRowHeight="16" x14ac:dyDescent="0"/>
  <cols>
    <col min="1" max="1" width="30.5" customWidth="1"/>
    <col min="2" max="2" width="31.83203125" style="215" customWidth="1"/>
    <col min="3" max="3" width="23" bestFit="1" customWidth="1"/>
  </cols>
  <sheetData>
    <row r="1" spans="1:2" ht="15">
      <c r="A1" s="49" t="s">
        <v>163</v>
      </c>
      <c r="B1" s="214" t="s">
        <v>164</v>
      </c>
    </row>
    <row r="2" spans="1:2">
      <c r="A2" s="212" t="s">
        <v>749</v>
      </c>
      <c r="B2" s="215" t="str">
        <f>IF(Categories!C136&lt;&gt;"",Categories!C136,"ENG")</f>
        <v>ENG</v>
      </c>
    </row>
    <row r="3" spans="1:2">
      <c r="A3" s="50" t="s">
        <v>243</v>
      </c>
      <c r="B3" s="216" t="str">
        <f>IF(Categories!C19&lt;&gt;"",Categories!C19,"")</f>
        <v>Liberia</v>
      </c>
    </row>
    <row r="4" spans="1:2">
      <c r="A4" s="50" t="s">
        <v>735</v>
      </c>
      <c r="B4" s="216" t="str">
        <f>IF(Categories!C19&lt;&gt;"",VLOOKUP(Categories!C19,picklists!A2:B248,2,FALSE), "")</f>
        <v>LBR</v>
      </c>
    </row>
    <row r="5" spans="1:2">
      <c r="A5" t="s">
        <v>737</v>
      </c>
      <c r="B5" s="215" t="str">
        <f>IF(Categories!C51&lt;&gt;"",Categories!C51,"")</f>
        <v>Power generation</v>
      </c>
    </row>
    <row r="6" spans="1:2">
      <c r="A6" s="50" t="s">
        <v>165</v>
      </c>
      <c r="B6" s="216" t="str">
        <f>IF(Categories!C27&lt;&gt;"",VLOOKUP(Categories!C27,picklists!I3:J26,IF(B2="ENG",1,IF(B2="FRE",2,1)),FALSE),"")</f>
        <v>Concession</v>
      </c>
    </row>
    <row r="7" spans="1:2">
      <c r="A7" s="50" t="s">
        <v>166</v>
      </c>
      <c r="B7" s="215" t="str">
        <f>IF(Categories!C47&lt;&gt;"",Categories!C47,"")</f>
        <v/>
      </c>
    </row>
    <row r="8" spans="1:2">
      <c r="A8" t="s">
        <v>167</v>
      </c>
      <c r="B8" s="215">
        <f>IF(Categories!C48&lt;&gt;"",Categories!C48,"")</f>
        <v>2009</v>
      </c>
    </row>
    <row r="9" spans="1:2">
      <c r="A9" t="s">
        <v>168</v>
      </c>
      <c r="B9" s="215" t="str">
        <f>IF(Categories!C49&lt;&gt;"",Categories!C49,"")</f>
        <v>25 years from the earliest to occur of (i) Commercial Operations Date, (ii) date on which Buchanan Renewables (Monrovia) Power ceases efforts to complete and Commission the second Unit and (iii) date falling 12 months after the Initial Commercial Operations Date plus any extension under Section 3.1(b) (Force Majeure Events and Restoration)</v>
      </c>
    </row>
    <row r="10" spans="1:2" ht="15">
      <c r="A10" s="231" t="s">
        <v>745</v>
      </c>
      <c r="B10" s="231"/>
    </row>
    <row r="11" spans="1:2">
      <c r="A11" s="210" t="s">
        <v>12</v>
      </c>
      <c r="B11" s="215" t="str">
        <f>IF(Categories!C20&lt;&gt;"",Categories!C20,"")</f>
        <v>Buchanan Renewables (Monrovia) Power Inc.</v>
      </c>
    </row>
    <row r="12" spans="1:2">
      <c r="A12" s="210" t="s">
        <v>240</v>
      </c>
      <c r="B12" s="215" t="str">
        <f>IF(Categories!C21&lt;&gt;"",Categories!C21,"")</f>
        <v/>
      </c>
    </row>
    <row r="13" spans="1:2">
      <c r="A13" s="210" t="s">
        <v>14</v>
      </c>
      <c r="B13" s="215" t="str">
        <f>IF(Categories!C22&lt;&gt;"",Categories!C22,"")</f>
        <v/>
      </c>
    </row>
    <row r="14" spans="1:2">
      <c r="A14" s="210" t="s">
        <v>16</v>
      </c>
      <c r="B14" s="215" t="str">
        <f>IF(Categories!C23&lt;&gt;"",Categories!C23,"")</f>
        <v/>
      </c>
    </row>
    <row r="15" spans="1:2">
      <c r="A15" s="210" t="s">
        <v>746</v>
      </c>
      <c r="B15" s="215" t="str">
        <f>IF(Categories!C24&lt;&gt;"",Categories!C24,"")</f>
        <v/>
      </c>
    </row>
    <row r="16" spans="1:2">
      <c r="A16" s="210" t="s">
        <v>240</v>
      </c>
      <c r="B16" s="215" t="str">
        <f>IF(Categories!C25&lt;&gt;"",Categories!C25,"")</f>
        <v/>
      </c>
    </row>
    <row r="17" spans="1:2">
      <c r="A17" s="210" t="s">
        <v>19</v>
      </c>
      <c r="B17" s="215" t="str">
        <f>IF(Categories!C26&lt;&gt;"",Categories!C26,"")</f>
        <v/>
      </c>
    </row>
    <row r="18" spans="1:2">
      <c r="A18" s="210" t="s">
        <v>22</v>
      </c>
      <c r="B18" s="215" t="str">
        <f>IF(Categories!C28&lt;&gt;"",Categories!C28,"")</f>
        <v>A power generation complex near Monrovia, Liberia</v>
      </c>
    </row>
    <row r="19" spans="1:2" ht="30">
      <c r="A19" s="210" t="s">
        <v>23</v>
      </c>
      <c r="B19" s="215" t="str">
        <f>IF(Categories!C29&lt;&gt;"",Categories!C29,"")</f>
        <v/>
      </c>
    </row>
    <row r="20" spans="1:2">
      <c r="A20" s="210" t="s">
        <v>747</v>
      </c>
      <c r="B20" s="215" t="str">
        <f>IF(Categories!C30&lt;&gt;"",Categories!C30,"")</f>
        <v>Kakata, Liberia</v>
      </c>
    </row>
    <row r="21" spans="1:2">
      <c r="A21" s="210" t="s">
        <v>25</v>
      </c>
      <c r="B21" s="215" t="str">
        <f>IF(Categories!C31&lt;&gt;"",Categories!C31,"")</f>
        <v/>
      </c>
    </row>
    <row r="22" spans="1:2">
      <c r="A22" s="210" t="s">
        <v>27</v>
      </c>
      <c r="B22" s="215" t="str">
        <f>IF(Categories!C32&lt;&gt;"",Categories!C32,"")</f>
        <v/>
      </c>
    </row>
    <row r="23" spans="1:2">
      <c r="A23" s="210" t="s">
        <v>29</v>
      </c>
      <c r="B23" s="215" t="str">
        <f>IF(Categories!C33&lt;&gt;"",Categories!C33,"")</f>
        <v/>
      </c>
    </row>
    <row r="24" spans="1:2">
      <c r="A24" s="210" t="s">
        <v>31</v>
      </c>
      <c r="B24" s="215" t="str">
        <f>IF(Categories!C34&lt;&gt;"",Categories!C34,"")</f>
        <v/>
      </c>
    </row>
    <row r="25" spans="1:2">
      <c r="A25" s="210" t="s">
        <v>748</v>
      </c>
      <c r="B25" s="215" t="str">
        <f>IF(B24&lt;&gt;"",YEAR(B24),"")</f>
        <v/>
      </c>
    </row>
    <row r="26" spans="1:2">
      <c r="A26" s="210" t="s">
        <v>33</v>
      </c>
      <c r="B26" s="215" t="str">
        <f>IF(Categories!C35&lt;&gt;"",Categories!C35,"")</f>
        <v/>
      </c>
    </row>
    <row r="27" spans="1:2">
      <c r="A27" s="210" t="s">
        <v>35</v>
      </c>
      <c r="B27" s="215" t="str">
        <f>IF(Categories!C36&lt;&gt;"",Categories!C36,"")</f>
        <v/>
      </c>
    </row>
    <row r="28" spans="1:2" ht="45">
      <c r="A28" s="210" t="s">
        <v>41</v>
      </c>
      <c r="B28" s="215" t="str">
        <f>IF(Categories!C40&lt;&gt;"",Categories!C40,"")</f>
        <v>Buchanan Renewables (Monrovia) Power Inc.</v>
      </c>
    </row>
    <row r="29" spans="1:2">
      <c r="A29" s="210" t="s">
        <v>240</v>
      </c>
      <c r="B29" s="215" t="str">
        <f>IF(Categories!C41&lt;&gt;"",Categories!C41,"")</f>
        <v/>
      </c>
    </row>
    <row r="30" spans="1:2">
      <c r="A30" s="210" t="s">
        <v>43</v>
      </c>
      <c r="B30" s="215" t="str">
        <f>IF(Categories!C42&lt;&gt;"",Categories!C42,"")</f>
        <v/>
      </c>
    </row>
    <row r="31" spans="1:2" ht="30">
      <c r="A31" s="210" t="s">
        <v>45</v>
      </c>
      <c r="B31" s="215" t="str">
        <f>IF(Categories!C43&lt;&gt;"",Categories!C43,"")</f>
        <v>The Republic of Liberia represented by the Minister of Lands, Mines and Energy; Minister of Finance; and Chairman of National Investment Commission</v>
      </c>
    </row>
    <row r="32" spans="1:2">
      <c r="A32" s="210" t="s">
        <v>47</v>
      </c>
      <c r="B32" s="215" t="str">
        <f>IF(Categories!C44&lt;&gt;"",Categories!C44,"")</f>
        <v/>
      </c>
    </row>
    <row r="33" spans="1:2" ht="30">
      <c r="A33" s="210" t="s">
        <v>49</v>
      </c>
      <c r="B33" s="215" t="str">
        <f>IF(Categories!C45&lt;&gt;"",Categories!C45,"")</f>
        <v/>
      </c>
    </row>
    <row r="34" spans="1:2" ht="30">
      <c r="A34" s="210" t="s">
        <v>169</v>
      </c>
      <c r="B34" s="215" t="str">
        <f>IF(Categories!C46&lt;&gt;"",Categories!C46,"")</f>
        <v/>
      </c>
    </row>
    <row r="35" spans="1:2">
      <c r="A35" s="210" t="s">
        <v>57</v>
      </c>
      <c r="B35" s="215" t="str">
        <f>IF(Categories!C50&lt;&gt;"",Categories!C50,"")</f>
        <v/>
      </c>
    </row>
    <row r="36" spans="1:2">
      <c r="A36" s="210" t="s">
        <v>217</v>
      </c>
      <c r="B36" s="215" t="str">
        <f>IF(Categories!C52&lt;&gt;"",Categories!C52,"")</f>
        <v>About 49 hectares</v>
      </c>
    </row>
    <row r="37" spans="1:2">
      <c r="A37" s="213" t="s">
        <v>160</v>
      </c>
      <c r="B37" s="215" t="str">
        <f>IF(Categories!C143&lt;&gt;"",Categories!C143,"")</f>
        <v/>
      </c>
    </row>
    <row r="38" spans="1:2">
      <c r="A38" s="213" t="s">
        <v>162</v>
      </c>
      <c r="B38" s="215" t="str">
        <f>IF(Categories!C144&lt;&gt;"",Categories!C144,"")</f>
        <v>Exhibit A is missing from copy</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243</v>
      </c>
      <c r="B1" t="s">
        <v>244</v>
      </c>
      <c r="D1" t="s">
        <v>736</v>
      </c>
      <c r="H1" t="s">
        <v>738</v>
      </c>
      <c r="I1" t="s">
        <v>738</v>
      </c>
      <c r="L1" t="s">
        <v>749</v>
      </c>
    </row>
    <row r="2" spans="1:13">
      <c r="A2" t="s">
        <v>245</v>
      </c>
      <c r="B2" t="s">
        <v>246</v>
      </c>
      <c r="D2" t="str">
        <f>IF(Metadata!B2="ENG",E2,F2)</f>
        <v>Aluminium</v>
      </c>
      <c r="E2" t="s">
        <v>819</v>
      </c>
      <c r="F2" t="s">
        <v>820</v>
      </c>
      <c r="H2" t="str">
        <f>IF(Metadata!B2="ENG",I2,J2)</f>
        <v>Amodiation contract</v>
      </c>
      <c r="I2" t="s">
        <v>814</v>
      </c>
      <c r="J2" t="s">
        <v>815</v>
      </c>
      <c r="L2" t="s">
        <v>756</v>
      </c>
      <c r="M2" t="s">
        <v>758</v>
      </c>
    </row>
    <row r="3" spans="1:13">
      <c r="A3" t="s">
        <v>247</v>
      </c>
      <c r="B3" t="s">
        <v>248</v>
      </c>
      <c r="D3" t="str">
        <f>IF(Metadata!B2="ENG",E3,F3)</f>
        <v>Base metals</v>
      </c>
      <c r="E3" t="s">
        <v>769</v>
      </c>
      <c r="F3" t="s">
        <v>838</v>
      </c>
      <c r="H3" t="str">
        <f>IF(Metadata!B2="ENG",I3,J3)</f>
        <v>Concession</v>
      </c>
      <c r="I3" s="209" t="s">
        <v>740</v>
      </c>
      <c r="J3" s="209" t="s">
        <v>740</v>
      </c>
      <c r="L3" t="s">
        <v>757</v>
      </c>
      <c r="M3" t="s">
        <v>755</v>
      </c>
    </row>
    <row r="4" spans="1:13">
      <c r="A4" t="s">
        <v>249</v>
      </c>
      <c r="B4" t="s">
        <v>250</v>
      </c>
      <c r="D4" t="str">
        <f>IF(Metadata!B2="ENG",E4,F4)</f>
        <v>Bauxite</v>
      </c>
      <c r="E4" s="217" t="s">
        <v>770</v>
      </c>
      <c r="F4" s="217" t="s">
        <v>770</v>
      </c>
      <c r="H4" t="str">
        <f>IF(Metadata!B2="ENG",I4,J4)</f>
        <v>Convention</v>
      </c>
      <c r="I4" t="s">
        <v>759</v>
      </c>
      <c r="J4" t="s">
        <v>759</v>
      </c>
    </row>
    <row r="5" spans="1:13">
      <c r="A5" t="s">
        <v>251</v>
      </c>
      <c r="B5" t="s">
        <v>252</v>
      </c>
      <c r="D5" t="str">
        <f>IF(Metadata!B2="ENG",E5,F5)</f>
        <v>Coal</v>
      </c>
      <c r="E5" t="s">
        <v>771</v>
      </c>
      <c r="F5" t="s">
        <v>772</v>
      </c>
      <c r="H5" t="str">
        <f>IF(Metadata!B2="ENG",I5,J5)</f>
        <v>Exploration Permit/License</v>
      </c>
      <c r="I5" s="209" t="s">
        <v>739</v>
      </c>
      <c r="J5" t="s">
        <v>750</v>
      </c>
    </row>
    <row r="6" spans="1:13" ht="30">
      <c r="A6" t="s">
        <v>253</v>
      </c>
      <c r="B6" t="s">
        <v>254</v>
      </c>
      <c r="D6" t="str">
        <f>IF(Metadata!B2="ENG",E6,F6)</f>
        <v>Cobalt</v>
      </c>
      <c r="E6" t="s">
        <v>773</v>
      </c>
      <c r="F6" t="s">
        <v>773</v>
      </c>
      <c r="H6" t="str">
        <f>IF(Metadata!B2="ENG",I6,J6)</f>
        <v>Exploitation Permit/License</v>
      </c>
      <c r="I6" s="209" t="s">
        <v>760</v>
      </c>
      <c r="J6" t="s">
        <v>761</v>
      </c>
    </row>
    <row r="7" spans="1:13" ht="30">
      <c r="A7" t="s">
        <v>255</v>
      </c>
      <c r="B7" t="s">
        <v>256</v>
      </c>
      <c r="D7" t="str">
        <f>IF(Metadata!B2="ENG",E7,F7)</f>
        <v>Copper</v>
      </c>
      <c r="E7" t="s">
        <v>774</v>
      </c>
      <c r="F7" t="s">
        <v>826</v>
      </c>
      <c r="H7" t="str">
        <f>IF(Metadata!B2="ENG",I7,J7)</f>
        <v>Forestry Concession Contract</v>
      </c>
      <c r="I7" s="209" t="s">
        <v>767</v>
      </c>
      <c r="J7" t="s">
        <v>768</v>
      </c>
    </row>
    <row r="8" spans="1:13">
      <c r="A8" t="s">
        <v>257</v>
      </c>
      <c r="B8" t="s">
        <v>258</v>
      </c>
      <c r="D8" t="str">
        <f>IF(Metadata!B2="ENG",E8,F8)</f>
        <v>Crude oil</v>
      </c>
      <c r="E8" t="s">
        <v>775</v>
      </c>
      <c r="F8" t="s">
        <v>776</v>
      </c>
      <c r="H8" t="str">
        <f>IF(Metadata!B2="ENG",I8,J8)</f>
        <v>Investment Agreement</v>
      </c>
      <c r="I8" s="209" t="s">
        <v>762</v>
      </c>
      <c r="J8" t="s">
        <v>809</v>
      </c>
    </row>
    <row r="9" spans="1:13" ht="30">
      <c r="A9" t="s">
        <v>259</v>
      </c>
      <c r="B9" t="s">
        <v>260</v>
      </c>
      <c r="D9" t="str">
        <f>IF(Metadata!B2="ENG",E9,F9)</f>
        <v>Diamonds</v>
      </c>
      <c r="E9" t="s">
        <v>777</v>
      </c>
      <c r="F9" t="s">
        <v>827</v>
      </c>
      <c r="H9" t="str">
        <f>IF(Metadata!B2="ENG",I9,J9)</f>
        <v>Investment Incentive Contract</v>
      </c>
      <c r="I9" s="209" t="s">
        <v>763</v>
      </c>
      <c r="J9" t="s">
        <v>810</v>
      </c>
    </row>
    <row r="10" spans="1:13">
      <c r="A10" t="s">
        <v>261</v>
      </c>
      <c r="B10" t="s">
        <v>262</v>
      </c>
      <c r="D10" t="str">
        <f>IF(Metadata!B2="ENG",E10,F10)</f>
        <v>Gas</v>
      </c>
      <c r="E10" t="s">
        <v>778</v>
      </c>
      <c r="F10" t="s">
        <v>779</v>
      </c>
      <c r="H10" t="str">
        <f>IF(Metadata!B2="ENG",I10,J10)</f>
        <v>Joint Venture Contract</v>
      </c>
      <c r="I10" t="s">
        <v>764</v>
      </c>
      <c r="J10" t="s">
        <v>811</v>
      </c>
      <c r="K10" s="220"/>
    </row>
    <row r="11" spans="1:13">
      <c r="A11" t="s">
        <v>263</v>
      </c>
      <c r="B11" t="s">
        <v>264</v>
      </c>
      <c r="D11" t="str">
        <f>IF(Metadata!B2="ENG",E11,F11)</f>
        <v>Gold</v>
      </c>
      <c r="E11" t="s">
        <v>780</v>
      </c>
      <c r="F11" t="s">
        <v>781</v>
      </c>
      <c r="H11" t="str">
        <f>IF(Metadata!B2="ENG",I11,J11)</f>
        <v>Lease</v>
      </c>
      <c r="I11" t="s">
        <v>743</v>
      </c>
      <c r="J11" t="s">
        <v>753</v>
      </c>
    </row>
    <row r="12" spans="1:13" ht="30">
      <c r="A12" t="s">
        <v>265</v>
      </c>
      <c r="B12" t="s">
        <v>266</v>
      </c>
      <c r="D12" t="str">
        <f>IF(Metadata!B2="ENG",E12,F12)</f>
        <v>Iron ore</v>
      </c>
      <c r="E12" t="s">
        <v>782</v>
      </c>
      <c r="F12" t="s">
        <v>818</v>
      </c>
      <c r="H12" t="str">
        <f>IF(Metadata!B2="ENG",I12,J12)</f>
        <v>Production Sharing Agreement</v>
      </c>
      <c r="I12" s="209" t="s">
        <v>744</v>
      </c>
      <c r="J12" t="s">
        <v>751</v>
      </c>
    </row>
    <row r="13" spans="1:13" ht="45">
      <c r="A13" t="s">
        <v>267</v>
      </c>
      <c r="B13" t="s">
        <v>268</v>
      </c>
      <c r="D13" t="str">
        <f>IF(Metadata!B2="ENG",E13,F13)</f>
        <v>Lapis lazuli</v>
      </c>
      <c r="E13" t="s">
        <v>783</v>
      </c>
      <c r="F13" t="s">
        <v>823</v>
      </c>
      <c r="H13" t="str">
        <f>IF(Metadata!B2="ENG",I13,J13)</f>
        <v>Operating Agreement between Private Companies</v>
      </c>
      <c r="I13" s="209" t="s">
        <v>765</v>
      </c>
      <c r="J13" t="s">
        <v>812</v>
      </c>
    </row>
    <row r="14" spans="1:13">
      <c r="A14" t="s">
        <v>269</v>
      </c>
      <c r="B14" t="s">
        <v>270</v>
      </c>
      <c r="D14" t="str">
        <f>IF(Metadata!B2="ENG",E14,F14)</f>
        <v>Lead</v>
      </c>
      <c r="E14" t="s">
        <v>784</v>
      </c>
      <c r="F14" t="s">
        <v>824</v>
      </c>
      <c r="H14" t="str">
        <f>IF(Metadata!B2="ENG",I14,J14)</f>
        <v>Options contract</v>
      </c>
      <c r="I14" s="209" t="s">
        <v>816</v>
      </c>
      <c r="J14" t="s">
        <v>817</v>
      </c>
    </row>
    <row r="15" spans="1:13">
      <c r="A15" t="s">
        <v>271</v>
      </c>
      <c r="B15" t="s">
        <v>272</v>
      </c>
      <c r="D15" t="str">
        <f>IF(Metadata!B2="ENG",E15,F15)</f>
        <v>Lithium</v>
      </c>
      <c r="E15" t="s">
        <v>785</v>
      </c>
      <c r="F15" t="s">
        <v>785</v>
      </c>
      <c r="H15" t="str">
        <f>IF(Metadata!B2="ENG",I15,J15)</f>
        <v>Profit Sharing Contract</v>
      </c>
      <c r="I15" s="209" t="s">
        <v>766</v>
      </c>
      <c r="J15" t="s">
        <v>813</v>
      </c>
    </row>
    <row r="16" spans="1:13">
      <c r="A16" t="s">
        <v>273</v>
      </c>
      <c r="B16" t="s">
        <v>274</v>
      </c>
      <c r="D16" t="str">
        <f>IF(Metadata!B2="ENG",E16,F16)</f>
        <v>Manganese</v>
      </c>
      <c r="E16" t="s">
        <v>786</v>
      </c>
      <c r="F16" t="s">
        <v>825</v>
      </c>
      <c r="H16" t="str">
        <f>IF(Metadata!B2="ENG",I16,J16)</f>
        <v>Service Contract</v>
      </c>
      <c r="I16" s="209" t="s">
        <v>741</v>
      </c>
      <c r="J16" t="s">
        <v>752</v>
      </c>
    </row>
    <row r="17" spans="1:10">
      <c r="A17" t="s">
        <v>275</v>
      </c>
      <c r="B17" t="s">
        <v>276</v>
      </c>
      <c r="D17" t="str">
        <f>IF(Metadata!B2="ENG",E17,F17)</f>
        <v>Molybdenum</v>
      </c>
      <c r="E17" t="s">
        <v>821</v>
      </c>
      <c r="F17" t="s">
        <v>822</v>
      </c>
      <c r="H17" t="str">
        <f>IF(Metadata!B2="ENG",I17,J17)</f>
        <v>Other</v>
      </c>
      <c r="I17" s="209" t="s">
        <v>742</v>
      </c>
      <c r="J17" t="s">
        <v>754</v>
      </c>
    </row>
    <row r="18" spans="1:10">
      <c r="A18" t="s">
        <v>277</v>
      </c>
      <c r="B18" t="s">
        <v>278</v>
      </c>
      <c r="D18" t="str">
        <f>IF(Metadata!B2="ENG",E18,F18)</f>
        <v>Nickel</v>
      </c>
      <c r="E18" t="s">
        <v>787</v>
      </c>
      <c r="F18" t="s">
        <v>787</v>
      </c>
      <c r="H18">
        <f>IF(Metadata!B2="ENG",I18,J18)</f>
        <v>0</v>
      </c>
    </row>
    <row r="19" spans="1:10">
      <c r="A19" t="s">
        <v>279</v>
      </c>
      <c r="B19" t="s">
        <v>280</v>
      </c>
      <c r="D19" t="str">
        <f>IF(Metadata!B2="ENG",E19,F19)</f>
        <v>Phosphate rock</v>
      </c>
      <c r="E19" t="s">
        <v>788</v>
      </c>
      <c r="F19" t="s">
        <v>828</v>
      </c>
      <c r="H19">
        <f>IF(Metadata!B2="ENG",I19,J19)</f>
        <v>0</v>
      </c>
    </row>
    <row r="20" spans="1:10">
      <c r="A20" t="s">
        <v>281</v>
      </c>
      <c r="B20" t="s">
        <v>282</v>
      </c>
      <c r="D20" t="str">
        <f>IF(Metadata!B2="ENG",E20,F20)</f>
        <v>Platinum Group Metals</v>
      </c>
      <c r="E20" t="s">
        <v>789</v>
      </c>
      <c r="F20" t="s">
        <v>829</v>
      </c>
      <c r="H20">
        <f>IF(Metadata!B2="ENG",I20,J20)</f>
        <v>0</v>
      </c>
    </row>
    <row r="21" spans="1:10">
      <c r="A21" t="s">
        <v>283</v>
      </c>
      <c r="B21" t="s">
        <v>284</v>
      </c>
      <c r="D21" t="str">
        <f>IF(Metadata!B2="ENG",E21,F21)</f>
        <v>Precious stones</v>
      </c>
      <c r="E21" t="s">
        <v>790</v>
      </c>
      <c r="F21" t="s">
        <v>830</v>
      </c>
      <c r="H21">
        <f>IF(Metadata!B2="ENG",I21,J21)</f>
        <v>0</v>
      </c>
    </row>
    <row r="22" spans="1:10">
      <c r="A22" t="s">
        <v>285</v>
      </c>
      <c r="B22" t="s">
        <v>286</v>
      </c>
      <c r="D22" t="str">
        <f>IF(Metadata!B2="ENG",E22,F22)</f>
        <v>Quartz</v>
      </c>
      <c r="E22" t="s">
        <v>791</v>
      </c>
      <c r="F22" t="s">
        <v>791</v>
      </c>
      <c r="H22">
        <f>IF(Metadata!B2="ENG",I22,J22)</f>
        <v>0</v>
      </c>
    </row>
    <row r="23" spans="1:10">
      <c r="A23" t="s">
        <v>287</v>
      </c>
      <c r="B23" t="s">
        <v>288</v>
      </c>
      <c r="D23" t="str">
        <f>IF(Metadata!B2="ENG",E23,F23)</f>
        <v>Semi-precious stones</v>
      </c>
      <c r="E23" t="s">
        <v>792</v>
      </c>
      <c r="F23" t="s">
        <v>831</v>
      </c>
      <c r="H23">
        <f>IF(Metadata!B2="ENG",I23,J23)</f>
        <v>0</v>
      </c>
    </row>
    <row r="24" spans="1:10">
      <c r="A24" t="s">
        <v>289</v>
      </c>
      <c r="B24" t="s">
        <v>290</v>
      </c>
      <c r="D24" t="str">
        <f>IF(Metadata!B2="ENG",E24,F24)</f>
        <v>Silver</v>
      </c>
      <c r="E24" t="s">
        <v>793</v>
      </c>
      <c r="F24" t="s">
        <v>832</v>
      </c>
      <c r="H24">
        <f>IF(Metadata!B2="ENG",I24,J24)</f>
        <v>0</v>
      </c>
    </row>
    <row r="25" spans="1:10">
      <c r="A25" t="s">
        <v>291</v>
      </c>
      <c r="B25" t="s">
        <v>292</v>
      </c>
      <c r="D25" t="str">
        <f>IF(Metadata!B2="ENG",E25,F25)</f>
        <v>Titanium</v>
      </c>
      <c r="E25" t="s">
        <v>794</v>
      </c>
      <c r="F25" t="s">
        <v>833</v>
      </c>
      <c r="H25">
        <f>IF(Metadata!B2="ENG",I25,J25)</f>
        <v>0</v>
      </c>
    </row>
    <row r="26" spans="1:10">
      <c r="A26" t="s">
        <v>293</v>
      </c>
      <c r="B26" t="s">
        <v>294</v>
      </c>
      <c r="D26" t="str">
        <f>IF(Metadata!B2="ENG",E26,F26)</f>
        <v>Uranium</v>
      </c>
      <c r="E26" t="s">
        <v>795</v>
      </c>
      <c r="F26" t="s">
        <v>795</v>
      </c>
      <c r="H26">
        <f>IF(Metadata!B2="ENG",I26,J26)</f>
        <v>0</v>
      </c>
    </row>
    <row r="27" spans="1:10">
      <c r="A27" t="s">
        <v>295</v>
      </c>
      <c r="B27" t="s">
        <v>296</v>
      </c>
      <c r="D27" t="str">
        <f>IF(Metadata!B2="ENG",E27,F27)</f>
        <v>Zinc</v>
      </c>
      <c r="E27" t="s">
        <v>796</v>
      </c>
      <c r="F27" t="s">
        <v>796</v>
      </c>
      <c r="H27">
        <f>IF(Metadata!B2="ENG",I27,J27)</f>
        <v>0</v>
      </c>
    </row>
    <row r="28" spans="1:10">
      <c r="A28" t="s">
        <v>297</v>
      </c>
      <c r="B28" t="s">
        <v>298</v>
      </c>
      <c r="D28" t="str">
        <f>IF(Metadata!B2="ENG",E28,F28)</f>
        <v>Citrus</v>
      </c>
      <c r="E28" t="s">
        <v>797</v>
      </c>
      <c r="F28" t="s">
        <v>797</v>
      </c>
      <c r="H28">
        <f>IF(Metadata!B2="ENG",I28,J28)</f>
        <v>0</v>
      </c>
    </row>
    <row r="29" spans="1:10">
      <c r="A29" t="s">
        <v>299</v>
      </c>
      <c r="B29" t="s">
        <v>300</v>
      </c>
      <c r="D29" t="str">
        <f>IF(Metadata!B2="ENG",E29,F29)</f>
        <v>Food crops</v>
      </c>
      <c r="E29" t="s">
        <v>798</v>
      </c>
      <c r="F29" t="s">
        <v>799</v>
      </c>
      <c r="H29">
        <f>IF(Metadata!B2="ENG",I29,J29)</f>
        <v>0</v>
      </c>
    </row>
    <row r="30" spans="1:10">
      <c r="A30" t="s">
        <v>301</v>
      </c>
      <c r="B30" t="s">
        <v>302</v>
      </c>
      <c r="D30" t="str">
        <f>IF(Metadata!B2="ENG",E30,F30)</f>
        <v>Hydrocarbons</v>
      </c>
      <c r="E30" t="s">
        <v>800</v>
      </c>
      <c r="F30" t="s">
        <v>834</v>
      </c>
      <c r="H30">
        <f>IF(Metadata!B2="ENG",I30,J30)</f>
        <v>0</v>
      </c>
    </row>
    <row r="31" spans="1:10">
      <c r="A31" t="s">
        <v>303</v>
      </c>
      <c r="B31" t="s">
        <v>304</v>
      </c>
      <c r="D31" t="str">
        <f>IF(Metadata!B2="ENG",E31,F31)</f>
        <v>Palm oil</v>
      </c>
      <c r="E31" t="s">
        <v>801</v>
      </c>
      <c r="F31" t="s">
        <v>802</v>
      </c>
      <c r="H31">
        <f>IF(Metadata!B2="ENG",I31,J31)</f>
        <v>0</v>
      </c>
    </row>
    <row r="32" spans="1:10">
      <c r="A32" t="s">
        <v>305</v>
      </c>
      <c r="B32" t="s">
        <v>306</v>
      </c>
      <c r="D32" t="str">
        <f>IF(Metadata!B2="ENG",E32,F32)</f>
        <v>Rubber</v>
      </c>
      <c r="E32" t="s">
        <v>803</v>
      </c>
      <c r="F32" t="s">
        <v>835</v>
      </c>
      <c r="H32">
        <f>IF(Metadata!B2="ENG",I32,J32)</f>
        <v>0</v>
      </c>
    </row>
    <row r="33" spans="1:8">
      <c r="A33" t="s">
        <v>307</v>
      </c>
      <c r="B33" t="s">
        <v>308</v>
      </c>
      <c r="D33" t="str">
        <f>IF(Metadata!B2="ENG",E33,F33)</f>
        <v>Soy</v>
      </c>
      <c r="E33" t="s">
        <v>804</v>
      </c>
      <c r="F33" t="s">
        <v>836</v>
      </c>
      <c r="H33">
        <f>IF(Metadata!B2="ENG",I33,J33)</f>
        <v>0</v>
      </c>
    </row>
    <row r="34" spans="1:8">
      <c r="A34" t="s">
        <v>309</v>
      </c>
      <c r="B34" t="s">
        <v>310</v>
      </c>
      <c r="D34" t="str">
        <f>IF(Metadata!B2="ENG",E34,F34)</f>
        <v>Sugar</v>
      </c>
      <c r="E34" t="s">
        <v>805</v>
      </c>
      <c r="F34" t="s">
        <v>806</v>
      </c>
      <c r="H34">
        <f>IF(Metadata!B2="ENG",I34,J34)</f>
        <v>0</v>
      </c>
    </row>
    <row r="35" spans="1:8">
      <c r="A35" t="s">
        <v>311</v>
      </c>
      <c r="B35" t="s">
        <v>312</v>
      </c>
      <c r="D35" t="str">
        <f>IF(Metadata!B2="ENG",E35,F35)</f>
        <v>Timber</v>
      </c>
      <c r="E35" t="s">
        <v>807</v>
      </c>
      <c r="F35" t="s">
        <v>808</v>
      </c>
      <c r="H35">
        <f>IF(Metadata!B2="ENG",I35,J35)</f>
        <v>0</v>
      </c>
    </row>
    <row r="36" spans="1:8">
      <c r="A36" t="s">
        <v>313</v>
      </c>
      <c r="B36" t="s">
        <v>314</v>
      </c>
      <c r="D36">
        <f>IF(Metadata!B2="ENG",E36,F36)</f>
        <v>0</v>
      </c>
      <c r="H36">
        <f>IF(Metadata!B2="ENG",I36,J36)</f>
        <v>0</v>
      </c>
    </row>
    <row r="37" spans="1:8">
      <c r="A37" t="s">
        <v>315</v>
      </c>
      <c r="B37" t="s">
        <v>316</v>
      </c>
      <c r="D37">
        <f>IF(Metadata!B2="ENG",E37,F37)</f>
        <v>0</v>
      </c>
      <c r="H37">
        <f>IF(Metadata!B2="ENG",I37,J37)</f>
        <v>0</v>
      </c>
    </row>
    <row r="38" spans="1:8">
      <c r="A38" t="s">
        <v>317</v>
      </c>
      <c r="B38" t="s">
        <v>318</v>
      </c>
      <c r="D38">
        <f>IF(Metadata!B2="ENG",E38,F38)</f>
        <v>0</v>
      </c>
      <c r="H38">
        <f>IF(Metadata!B2="ENG",I38,J38)</f>
        <v>0</v>
      </c>
    </row>
    <row r="39" spans="1:8">
      <c r="A39" t="s">
        <v>319</v>
      </c>
      <c r="B39" t="s">
        <v>320</v>
      </c>
      <c r="D39">
        <f>IF(Metadata!B2="ENG",E39,F39)</f>
        <v>0</v>
      </c>
      <c r="H39">
        <f>IF(Metadata!B2="ENG",I39,J39)</f>
        <v>0</v>
      </c>
    </row>
    <row r="40" spans="1:8">
      <c r="A40" t="s">
        <v>321</v>
      </c>
      <c r="B40" t="s">
        <v>322</v>
      </c>
      <c r="D40">
        <f>IF(Metadata!B2="ENG",E40,F40)</f>
        <v>0</v>
      </c>
      <c r="H40">
        <f>IF(Metadata!B2="ENG",I40,J40)</f>
        <v>0</v>
      </c>
    </row>
    <row r="41" spans="1:8">
      <c r="A41" t="s">
        <v>323</v>
      </c>
      <c r="B41" t="s">
        <v>324</v>
      </c>
      <c r="D41">
        <f>IF(Metadata!B2="ENG",E41,F41)</f>
        <v>0</v>
      </c>
      <c r="H41">
        <f>IF(Metadata!B2="ENG",I41,J41)</f>
        <v>0</v>
      </c>
    </row>
    <row r="42" spans="1:8">
      <c r="A42" t="s">
        <v>325</v>
      </c>
      <c r="B42" t="s">
        <v>326</v>
      </c>
      <c r="D42">
        <f>IF(Metadata!B2="ENG",E42,F42)</f>
        <v>0</v>
      </c>
      <c r="H42">
        <f>IF(Metadata!B2="ENG",I42,J42)</f>
        <v>0</v>
      </c>
    </row>
    <row r="43" spans="1:8">
      <c r="A43" t="s">
        <v>327</v>
      </c>
      <c r="B43" t="s">
        <v>328</v>
      </c>
      <c r="D43">
        <f>IF(Metadata!B2="ENG",E43,F43)</f>
        <v>0</v>
      </c>
      <c r="H43">
        <f>IF(Metadata!B2="ENG",I43,J43)</f>
        <v>0</v>
      </c>
    </row>
    <row r="44" spans="1:8">
      <c r="A44" t="s">
        <v>329</v>
      </c>
      <c r="B44" t="s">
        <v>330</v>
      </c>
      <c r="D44">
        <f>IF(Metadata!B2="ENG",E44,F44)</f>
        <v>0</v>
      </c>
      <c r="H44">
        <f>IF(Metadata!B2="ENG",I44,J44)</f>
        <v>0</v>
      </c>
    </row>
    <row r="45" spans="1:8">
      <c r="A45" t="s">
        <v>331</v>
      </c>
      <c r="B45" t="s">
        <v>332</v>
      </c>
      <c r="D45">
        <f>IF(Metadata!B2="ENG",E45,F45)</f>
        <v>0</v>
      </c>
      <c r="H45">
        <f>IF(Metadata!B2="ENG",I45,J45)</f>
        <v>0</v>
      </c>
    </row>
    <row r="46" spans="1:8">
      <c r="A46" t="s">
        <v>333</v>
      </c>
      <c r="B46" t="s">
        <v>334</v>
      </c>
      <c r="D46">
        <f>IF(Metadata!B2="ENG",E46,F46)</f>
        <v>0</v>
      </c>
      <c r="H46">
        <f>IF(Metadata!B2="ENG",I46,J46)</f>
        <v>0</v>
      </c>
    </row>
    <row r="47" spans="1:8">
      <c r="A47" t="s">
        <v>335</v>
      </c>
      <c r="B47" t="s">
        <v>336</v>
      </c>
      <c r="D47">
        <f>IF(Metadata!B2="ENG",E47,F47)</f>
        <v>0</v>
      </c>
      <c r="H47">
        <f>IF(Metadata!B2="ENG",I47,J47)</f>
        <v>0</v>
      </c>
    </row>
    <row r="48" spans="1:8">
      <c r="A48" t="s">
        <v>337</v>
      </c>
      <c r="B48" t="s">
        <v>338</v>
      </c>
      <c r="D48">
        <f>IF(Metadata!B2="ENG",E48,F48)</f>
        <v>0</v>
      </c>
      <c r="H48">
        <f>IF(Metadata!B2="ENG",I48,J48)</f>
        <v>0</v>
      </c>
    </row>
    <row r="49" spans="1:8">
      <c r="A49" t="s">
        <v>339</v>
      </c>
      <c r="B49" t="s">
        <v>340</v>
      </c>
      <c r="D49">
        <f>IF(Metadata!B2="ENG",E49,F49)</f>
        <v>0</v>
      </c>
      <c r="H49">
        <f>IF(Metadata!B2="ENG",I49,J49)</f>
        <v>0</v>
      </c>
    </row>
    <row r="50" spans="1:8">
      <c r="A50" t="s">
        <v>341</v>
      </c>
      <c r="B50" t="s">
        <v>342</v>
      </c>
      <c r="D50">
        <f>IF(Metadata!B2="ENG",E50,F50)</f>
        <v>0</v>
      </c>
      <c r="H50">
        <f>IF(Metadata!B2="ENG",I50,J50)</f>
        <v>0</v>
      </c>
    </row>
    <row r="51" spans="1:8">
      <c r="A51" t="s">
        <v>343</v>
      </c>
      <c r="B51" t="s">
        <v>344</v>
      </c>
      <c r="D51">
        <f>IF(Metadata!B2="ENG",E51,F51)</f>
        <v>0</v>
      </c>
      <c r="H51">
        <f>IF(Metadata!B2="ENG",I51,J51)</f>
        <v>0</v>
      </c>
    </row>
    <row r="52" spans="1:8">
      <c r="A52" t="s">
        <v>345</v>
      </c>
      <c r="B52" t="s">
        <v>346</v>
      </c>
      <c r="D52">
        <f>IF(Metadata!B2="ENG",E52,F52)</f>
        <v>0</v>
      </c>
      <c r="H52">
        <f>IF(Metadata!B2="ENG",I52,J52)</f>
        <v>0</v>
      </c>
    </row>
    <row r="53" spans="1:8">
      <c r="A53" t="s">
        <v>347</v>
      </c>
      <c r="B53" t="s">
        <v>348</v>
      </c>
      <c r="D53">
        <f>IF(Metadata!B2="ENG",E53,F53)</f>
        <v>0</v>
      </c>
      <c r="H53">
        <f>IF(Metadata!B2="ENG",I53,J53)</f>
        <v>0</v>
      </c>
    </row>
    <row r="54" spans="1:8">
      <c r="A54" t="s">
        <v>349</v>
      </c>
      <c r="B54" t="s">
        <v>350</v>
      </c>
      <c r="D54">
        <f>IF(Metadata!B2="ENG",E54,F54)</f>
        <v>0</v>
      </c>
      <c r="H54">
        <f>IF(Metadata!B2="ENG",I54,J54)</f>
        <v>0</v>
      </c>
    </row>
    <row r="55" spans="1:8">
      <c r="A55" t="s">
        <v>351</v>
      </c>
      <c r="B55" t="s">
        <v>352</v>
      </c>
      <c r="D55">
        <f>IF(Metadata!B2="ENG",E55,F55)</f>
        <v>0</v>
      </c>
      <c r="H55">
        <f>IF(Metadata!B2="ENG",I55,J55)</f>
        <v>0</v>
      </c>
    </row>
    <row r="56" spans="1:8">
      <c r="A56" t="s">
        <v>353</v>
      </c>
      <c r="B56" t="s">
        <v>354</v>
      </c>
      <c r="D56">
        <f>IF(Metadata!B2="ENG",E56,F56)</f>
        <v>0</v>
      </c>
      <c r="H56">
        <f>IF(Metadata!B2="ENG",I56,J56)</f>
        <v>0</v>
      </c>
    </row>
    <row r="57" spans="1:8">
      <c r="A57" t="s">
        <v>355</v>
      </c>
      <c r="B57" t="s">
        <v>356</v>
      </c>
      <c r="D57">
        <f>IF(Metadata!B2="ENG",E57,F57)</f>
        <v>0</v>
      </c>
      <c r="H57">
        <f>IF(Metadata!B2="ENG",I57,J57)</f>
        <v>0</v>
      </c>
    </row>
    <row r="58" spans="1:8">
      <c r="A58" t="s">
        <v>357</v>
      </c>
      <c r="B58" t="s">
        <v>358</v>
      </c>
      <c r="D58">
        <f>IF(Metadata!B2="ENG",E58,F58)</f>
        <v>0</v>
      </c>
      <c r="H58">
        <f>IF(Metadata!B2="ENG",I58,J58)</f>
        <v>0</v>
      </c>
    </row>
    <row r="59" spans="1:8">
      <c r="A59" t="s">
        <v>359</v>
      </c>
      <c r="B59" t="s">
        <v>360</v>
      </c>
      <c r="D59">
        <f>IF(Metadata!B2="ENG",E59,F59)</f>
        <v>0</v>
      </c>
      <c r="H59">
        <f>IF(Metadata!B2="ENG",I59,J59)</f>
        <v>0</v>
      </c>
    </row>
    <row r="60" spans="1:8">
      <c r="A60" t="s">
        <v>361</v>
      </c>
      <c r="B60" t="s">
        <v>362</v>
      </c>
      <c r="D60">
        <f>IF(Metadata!B2="ENG",E60,F60)</f>
        <v>0</v>
      </c>
      <c r="H60">
        <f>IF(Metadata!B2="ENG",I60,J60)</f>
        <v>0</v>
      </c>
    </row>
    <row r="61" spans="1:8">
      <c r="A61" t="s">
        <v>363</v>
      </c>
      <c r="B61" t="s">
        <v>364</v>
      </c>
      <c r="D61">
        <f>IF(Metadata!B2="ENG",E61,F61)</f>
        <v>0</v>
      </c>
      <c r="H61">
        <f>IF(Metadata!B2="ENG",I61,J61)</f>
        <v>0</v>
      </c>
    </row>
    <row r="62" spans="1:8">
      <c r="A62" t="s">
        <v>365</v>
      </c>
      <c r="B62" t="s">
        <v>366</v>
      </c>
    </row>
    <row r="63" spans="1:8">
      <c r="A63" t="s">
        <v>367</v>
      </c>
      <c r="B63" t="s">
        <v>368</v>
      </c>
    </row>
    <row r="64" spans="1:8">
      <c r="A64" t="s">
        <v>369</v>
      </c>
      <c r="B64" t="s">
        <v>370</v>
      </c>
    </row>
    <row r="65" spans="1:2">
      <c r="A65" t="s">
        <v>371</v>
      </c>
      <c r="B65" t="s">
        <v>372</v>
      </c>
    </row>
    <row r="66" spans="1:2">
      <c r="A66" t="s">
        <v>373</v>
      </c>
      <c r="B66" t="s">
        <v>374</v>
      </c>
    </row>
    <row r="67" spans="1:2">
      <c r="A67" t="s">
        <v>375</v>
      </c>
      <c r="B67" t="s">
        <v>376</v>
      </c>
    </row>
    <row r="68" spans="1:2">
      <c r="A68" t="s">
        <v>377</v>
      </c>
      <c r="B68" t="s">
        <v>378</v>
      </c>
    </row>
    <row r="69" spans="1:2">
      <c r="A69" t="s">
        <v>379</v>
      </c>
      <c r="B69" t="s">
        <v>380</v>
      </c>
    </row>
    <row r="70" spans="1:2">
      <c r="A70" t="s">
        <v>381</v>
      </c>
      <c r="B70" t="s">
        <v>382</v>
      </c>
    </row>
    <row r="71" spans="1:2">
      <c r="A71" t="s">
        <v>383</v>
      </c>
      <c r="B71" t="s">
        <v>384</v>
      </c>
    </row>
    <row r="72" spans="1:2">
      <c r="A72" t="s">
        <v>385</v>
      </c>
      <c r="B72" t="s">
        <v>386</v>
      </c>
    </row>
    <row r="73" spans="1:2">
      <c r="A73" t="s">
        <v>387</v>
      </c>
      <c r="B73" t="s">
        <v>388</v>
      </c>
    </row>
    <row r="74" spans="1:2">
      <c r="A74" t="s">
        <v>389</v>
      </c>
      <c r="B74" t="s">
        <v>390</v>
      </c>
    </row>
    <row r="75" spans="1:2">
      <c r="A75" t="s">
        <v>391</v>
      </c>
      <c r="B75" t="s">
        <v>392</v>
      </c>
    </row>
    <row r="76" spans="1:2">
      <c r="A76" t="s">
        <v>393</v>
      </c>
      <c r="B76" t="s">
        <v>394</v>
      </c>
    </row>
    <row r="77" spans="1:2">
      <c r="A77" t="s">
        <v>395</v>
      </c>
      <c r="B77" t="s">
        <v>396</v>
      </c>
    </row>
    <row r="78" spans="1:2">
      <c r="A78" t="s">
        <v>397</v>
      </c>
      <c r="B78" t="s">
        <v>398</v>
      </c>
    </row>
    <row r="79" spans="1:2">
      <c r="A79" t="s">
        <v>399</v>
      </c>
      <c r="B79" t="s">
        <v>400</v>
      </c>
    </row>
    <row r="80" spans="1:2">
      <c r="A80" t="s">
        <v>401</v>
      </c>
      <c r="B80" t="s">
        <v>402</v>
      </c>
    </row>
    <row r="81" spans="1:2">
      <c r="A81" t="s">
        <v>403</v>
      </c>
      <c r="B81" t="s">
        <v>404</v>
      </c>
    </row>
    <row r="82" spans="1:2">
      <c r="A82" t="s">
        <v>405</v>
      </c>
      <c r="B82" t="s">
        <v>406</v>
      </c>
    </row>
    <row r="83" spans="1:2">
      <c r="A83" t="s">
        <v>407</v>
      </c>
      <c r="B83" t="s">
        <v>408</v>
      </c>
    </row>
    <row r="84" spans="1:2">
      <c r="A84" t="s">
        <v>409</v>
      </c>
      <c r="B84" t="s">
        <v>410</v>
      </c>
    </row>
    <row r="85" spans="1:2">
      <c r="A85" t="s">
        <v>411</v>
      </c>
      <c r="B85" t="s">
        <v>412</v>
      </c>
    </row>
    <row r="86" spans="1:2">
      <c r="A86" t="s">
        <v>413</v>
      </c>
      <c r="B86" t="s">
        <v>414</v>
      </c>
    </row>
    <row r="87" spans="1:2">
      <c r="A87" t="s">
        <v>415</v>
      </c>
      <c r="B87" t="s">
        <v>416</v>
      </c>
    </row>
    <row r="88" spans="1:2">
      <c r="A88" t="s">
        <v>417</v>
      </c>
      <c r="B88" t="s">
        <v>418</v>
      </c>
    </row>
    <row r="89" spans="1:2">
      <c r="A89" t="s">
        <v>419</v>
      </c>
      <c r="B89" t="s">
        <v>420</v>
      </c>
    </row>
    <row r="90" spans="1:2">
      <c r="A90" t="s">
        <v>421</v>
      </c>
      <c r="B90" t="s">
        <v>422</v>
      </c>
    </row>
    <row r="91" spans="1:2">
      <c r="A91" t="s">
        <v>423</v>
      </c>
      <c r="B91" t="s">
        <v>424</v>
      </c>
    </row>
    <row r="92" spans="1:2">
      <c r="A92" t="s">
        <v>425</v>
      </c>
      <c r="B92" t="s">
        <v>426</v>
      </c>
    </row>
    <row r="93" spans="1:2">
      <c r="A93" t="s">
        <v>427</v>
      </c>
      <c r="B93" t="s">
        <v>428</v>
      </c>
    </row>
    <row r="94" spans="1:2">
      <c r="A94" t="s">
        <v>429</v>
      </c>
      <c r="B94" t="s">
        <v>430</v>
      </c>
    </row>
    <row r="95" spans="1:2">
      <c r="A95" t="s">
        <v>431</v>
      </c>
      <c r="B95" t="s">
        <v>432</v>
      </c>
    </row>
    <row r="96" spans="1:2">
      <c r="A96" t="s">
        <v>433</v>
      </c>
      <c r="B96" t="s">
        <v>108</v>
      </c>
    </row>
    <row r="97" spans="1:2">
      <c r="A97" t="s">
        <v>434</v>
      </c>
      <c r="B97" t="s">
        <v>435</v>
      </c>
    </row>
    <row r="98" spans="1:2">
      <c r="A98" t="s">
        <v>436</v>
      </c>
      <c r="B98" t="s">
        <v>437</v>
      </c>
    </row>
    <row r="99" spans="1:2">
      <c r="A99" t="s">
        <v>438</v>
      </c>
      <c r="B99" t="s">
        <v>439</v>
      </c>
    </row>
    <row r="100" spans="1:2">
      <c r="A100" t="s">
        <v>440</v>
      </c>
      <c r="B100" t="s">
        <v>441</v>
      </c>
    </row>
    <row r="101" spans="1:2">
      <c r="A101" t="s">
        <v>442</v>
      </c>
      <c r="B101" t="s">
        <v>443</v>
      </c>
    </row>
    <row r="102" spans="1:2">
      <c r="A102" t="s">
        <v>444</v>
      </c>
      <c r="B102" t="s">
        <v>445</v>
      </c>
    </row>
    <row r="103" spans="1:2">
      <c r="A103" t="s">
        <v>446</v>
      </c>
      <c r="B103" t="s">
        <v>447</v>
      </c>
    </row>
    <row r="104" spans="1:2">
      <c r="A104" t="s">
        <v>448</v>
      </c>
      <c r="B104" t="s">
        <v>449</v>
      </c>
    </row>
    <row r="105" spans="1:2">
      <c r="A105" t="s">
        <v>450</v>
      </c>
      <c r="B105" t="s">
        <v>451</v>
      </c>
    </row>
    <row r="106" spans="1:2">
      <c r="A106" t="s">
        <v>452</v>
      </c>
      <c r="B106" t="s">
        <v>453</v>
      </c>
    </row>
    <row r="107" spans="1:2">
      <c r="A107" t="s">
        <v>454</v>
      </c>
      <c r="B107" t="s">
        <v>455</v>
      </c>
    </row>
    <row r="108" spans="1:2">
      <c r="A108" t="s">
        <v>456</v>
      </c>
      <c r="B108" t="s">
        <v>457</v>
      </c>
    </row>
    <row r="109" spans="1:2">
      <c r="A109" t="s">
        <v>458</v>
      </c>
      <c r="B109" t="s">
        <v>459</v>
      </c>
    </row>
    <row r="110" spans="1:2">
      <c r="A110" t="s">
        <v>460</v>
      </c>
      <c r="B110" t="s">
        <v>461</v>
      </c>
    </row>
    <row r="111" spans="1:2">
      <c r="A111" t="s">
        <v>462</v>
      </c>
      <c r="B111" t="s">
        <v>463</v>
      </c>
    </row>
    <row r="112" spans="1:2">
      <c r="A112" t="s">
        <v>464</v>
      </c>
      <c r="B112" t="s">
        <v>465</v>
      </c>
    </row>
    <row r="113" spans="1:2">
      <c r="A113" t="s">
        <v>466</v>
      </c>
      <c r="B113" t="s">
        <v>467</v>
      </c>
    </row>
    <row r="114" spans="1:2">
      <c r="A114" t="s">
        <v>468</v>
      </c>
      <c r="B114" t="s">
        <v>469</v>
      </c>
    </row>
    <row r="115" spans="1:2">
      <c r="A115" t="s">
        <v>470</v>
      </c>
      <c r="B115" t="s">
        <v>471</v>
      </c>
    </row>
    <row r="116" spans="1:2">
      <c r="A116" t="s">
        <v>472</v>
      </c>
      <c r="B116" t="s">
        <v>473</v>
      </c>
    </row>
    <row r="117" spans="1:2">
      <c r="A117" t="s">
        <v>474</v>
      </c>
      <c r="B117" t="s">
        <v>475</v>
      </c>
    </row>
    <row r="118" spans="1:2">
      <c r="A118" t="s">
        <v>476</v>
      </c>
      <c r="B118" t="s">
        <v>477</v>
      </c>
    </row>
    <row r="119" spans="1:2">
      <c r="A119" t="s">
        <v>478</v>
      </c>
      <c r="B119" t="s">
        <v>479</v>
      </c>
    </row>
    <row r="120" spans="1:2">
      <c r="A120" t="s">
        <v>480</v>
      </c>
      <c r="B120" t="s">
        <v>481</v>
      </c>
    </row>
    <row r="121" spans="1:2">
      <c r="A121" t="s">
        <v>482</v>
      </c>
      <c r="B121" t="s">
        <v>483</v>
      </c>
    </row>
    <row r="122" spans="1:2">
      <c r="A122" t="s">
        <v>484</v>
      </c>
      <c r="B122" t="s">
        <v>485</v>
      </c>
    </row>
    <row r="123" spans="1:2">
      <c r="A123" t="s">
        <v>486</v>
      </c>
      <c r="B123" t="s">
        <v>487</v>
      </c>
    </row>
    <row r="124" spans="1:2">
      <c r="A124" t="s">
        <v>488</v>
      </c>
      <c r="B124" t="s">
        <v>489</v>
      </c>
    </row>
    <row r="125" spans="1:2">
      <c r="A125" t="s">
        <v>490</v>
      </c>
      <c r="B125" t="s">
        <v>491</v>
      </c>
    </row>
    <row r="126" spans="1:2">
      <c r="A126" t="s">
        <v>492</v>
      </c>
      <c r="B126" t="s">
        <v>493</v>
      </c>
    </row>
    <row r="127" spans="1:2">
      <c r="A127" t="s">
        <v>494</v>
      </c>
      <c r="B127" t="s">
        <v>495</v>
      </c>
    </row>
    <row r="128" spans="1:2">
      <c r="A128" t="s">
        <v>496</v>
      </c>
      <c r="B128" t="s">
        <v>497</v>
      </c>
    </row>
    <row r="129" spans="1:2">
      <c r="A129" t="s">
        <v>498</v>
      </c>
      <c r="B129" t="s">
        <v>499</v>
      </c>
    </row>
    <row r="130" spans="1:2">
      <c r="A130" t="s">
        <v>500</v>
      </c>
      <c r="B130" t="s">
        <v>501</v>
      </c>
    </row>
    <row r="131" spans="1:2">
      <c r="A131" t="s">
        <v>502</v>
      </c>
      <c r="B131" t="s">
        <v>503</v>
      </c>
    </row>
    <row r="132" spans="1:2">
      <c r="A132" t="s">
        <v>504</v>
      </c>
      <c r="B132" t="s">
        <v>505</v>
      </c>
    </row>
    <row r="133" spans="1:2">
      <c r="A133" t="s">
        <v>506</v>
      </c>
      <c r="B133" t="s">
        <v>507</v>
      </c>
    </row>
    <row r="134" spans="1:2">
      <c r="A134" t="s">
        <v>508</v>
      </c>
      <c r="B134" t="s">
        <v>509</v>
      </c>
    </row>
    <row r="135" spans="1:2">
      <c r="A135" t="s">
        <v>510</v>
      </c>
      <c r="B135" t="s">
        <v>511</v>
      </c>
    </row>
    <row r="136" spans="1:2">
      <c r="A136" t="s">
        <v>512</v>
      </c>
      <c r="B136" t="s">
        <v>513</v>
      </c>
    </row>
    <row r="137" spans="1:2">
      <c r="A137" t="s">
        <v>514</v>
      </c>
      <c r="B137" t="s">
        <v>515</v>
      </c>
    </row>
    <row r="138" spans="1:2">
      <c r="A138" t="s">
        <v>516</v>
      </c>
      <c r="B138" t="s">
        <v>517</v>
      </c>
    </row>
    <row r="139" spans="1:2">
      <c r="A139" t="s">
        <v>518</v>
      </c>
      <c r="B139" t="s">
        <v>519</v>
      </c>
    </row>
    <row r="140" spans="1:2">
      <c r="A140" t="s">
        <v>520</v>
      </c>
      <c r="B140" t="s">
        <v>521</v>
      </c>
    </row>
    <row r="141" spans="1:2">
      <c r="A141" t="s">
        <v>522</v>
      </c>
      <c r="B141" t="s">
        <v>523</v>
      </c>
    </row>
    <row r="142" spans="1:2">
      <c r="A142" t="s">
        <v>524</v>
      </c>
      <c r="B142" t="s">
        <v>525</v>
      </c>
    </row>
    <row r="143" spans="1:2">
      <c r="A143" t="s">
        <v>526</v>
      </c>
      <c r="B143" t="s">
        <v>527</v>
      </c>
    </row>
    <row r="144" spans="1:2">
      <c r="A144" t="s">
        <v>528</v>
      </c>
      <c r="B144" t="s">
        <v>529</v>
      </c>
    </row>
    <row r="145" spans="1:2">
      <c r="A145" t="s">
        <v>530</v>
      </c>
      <c r="B145" t="s">
        <v>531</v>
      </c>
    </row>
    <row r="146" spans="1:2">
      <c r="A146" t="s">
        <v>532</v>
      </c>
      <c r="B146" t="s">
        <v>533</v>
      </c>
    </row>
    <row r="147" spans="1:2">
      <c r="A147" t="s">
        <v>534</v>
      </c>
      <c r="B147" t="s">
        <v>535</v>
      </c>
    </row>
    <row r="148" spans="1:2">
      <c r="A148" t="s">
        <v>536</v>
      </c>
      <c r="B148" t="s">
        <v>537</v>
      </c>
    </row>
    <row r="149" spans="1:2">
      <c r="A149" t="s">
        <v>538</v>
      </c>
      <c r="B149" t="s">
        <v>539</v>
      </c>
    </row>
    <row r="150" spans="1:2">
      <c r="A150" t="s">
        <v>540</v>
      </c>
      <c r="B150" t="s">
        <v>541</v>
      </c>
    </row>
    <row r="151" spans="1:2">
      <c r="A151" t="s">
        <v>542</v>
      </c>
      <c r="B151" t="s">
        <v>543</v>
      </c>
    </row>
    <row r="152" spans="1:2">
      <c r="A152" t="s">
        <v>544</v>
      </c>
      <c r="B152" t="s">
        <v>545</v>
      </c>
    </row>
    <row r="153" spans="1:2">
      <c r="A153" t="s">
        <v>546</v>
      </c>
      <c r="B153" t="s">
        <v>547</v>
      </c>
    </row>
    <row r="154" spans="1:2">
      <c r="A154" t="s">
        <v>548</v>
      </c>
      <c r="B154" t="s">
        <v>549</v>
      </c>
    </row>
    <row r="155" spans="1:2">
      <c r="A155" t="s">
        <v>550</v>
      </c>
      <c r="B155" t="s">
        <v>551</v>
      </c>
    </row>
    <row r="156" spans="1:2">
      <c r="A156" t="s">
        <v>552</v>
      </c>
      <c r="B156" t="s">
        <v>553</v>
      </c>
    </row>
    <row r="157" spans="1:2">
      <c r="A157" t="s">
        <v>554</v>
      </c>
      <c r="B157" t="s">
        <v>555</v>
      </c>
    </row>
    <row r="158" spans="1:2">
      <c r="A158" t="s">
        <v>556</v>
      </c>
      <c r="B158" t="s">
        <v>557</v>
      </c>
    </row>
    <row r="159" spans="1:2">
      <c r="A159" t="s">
        <v>558</v>
      </c>
      <c r="B159" t="s">
        <v>559</v>
      </c>
    </row>
    <row r="160" spans="1:2">
      <c r="A160" t="s">
        <v>560</v>
      </c>
      <c r="B160" t="s">
        <v>561</v>
      </c>
    </row>
    <row r="161" spans="1:2">
      <c r="A161" t="s">
        <v>562</v>
      </c>
      <c r="B161" t="s">
        <v>563</v>
      </c>
    </row>
    <row r="162" spans="1:2">
      <c r="A162" t="s">
        <v>564</v>
      </c>
      <c r="B162" t="s">
        <v>565</v>
      </c>
    </row>
    <row r="163" spans="1:2">
      <c r="A163" t="s">
        <v>566</v>
      </c>
      <c r="B163" t="s">
        <v>567</v>
      </c>
    </row>
    <row r="164" spans="1:2">
      <c r="A164" t="s">
        <v>568</v>
      </c>
      <c r="B164" t="s">
        <v>569</v>
      </c>
    </row>
    <row r="165" spans="1:2">
      <c r="A165" t="s">
        <v>570</v>
      </c>
      <c r="B165" t="s">
        <v>571</v>
      </c>
    </row>
    <row r="166" spans="1:2">
      <c r="A166" t="s">
        <v>572</v>
      </c>
      <c r="B166" t="s">
        <v>573</v>
      </c>
    </row>
    <row r="167" spans="1:2">
      <c r="A167" t="s">
        <v>574</v>
      </c>
      <c r="B167" t="s">
        <v>575</v>
      </c>
    </row>
    <row r="168" spans="1:2">
      <c r="A168" t="s">
        <v>576</v>
      </c>
      <c r="B168" t="s">
        <v>577</v>
      </c>
    </row>
    <row r="169" spans="1:2">
      <c r="A169" t="s">
        <v>578</v>
      </c>
      <c r="B169" t="s">
        <v>579</v>
      </c>
    </row>
    <row r="170" spans="1:2">
      <c r="A170" t="s">
        <v>580</v>
      </c>
      <c r="B170" t="s">
        <v>581</v>
      </c>
    </row>
    <row r="171" spans="1:2">
      <c r="A171" t="s">
        <v>582</v>
      </c>
      <c r="B171" t="s">
        <v>583</v>
      </c>
    </row>
    <row r="172" spans="1:2">
      <c r="A172" t="s">
        <v>584</v>
      </c>
      <c r="B172" t="s">
        <v>585</v>
      </c>
    </row>
    <row r="173" spans="1:2">
      <c r="A173" t="s">
        <v>586</v>
      </c>
      <c r="B173" t="s">
        <v>587</v>
      </c>
    </row>
    <row r="174" spans="1:2">
      <c r="A174" t="s">
        <v>588</v>
      </c>
      <c r="B174" t="s">
        <v>589</v>
      </c>
    </row>
    <row r="175" spans="1:2">
      <c r="A175" t="s">
        <v>590</v>
      </c>
      <c r="B175" t="s">
        <v>591</v>
      </c>
    </row>
    <row r="176" spans="1:2">
      <c r="A176" t="s">
        <v>592</v>
      </c>
      <c r="B176" t="s">
        <v>593</v>
      </c>
    </row>
    <row r="177" spans="1:2">
      <c r="A177" t="s">
        <v>594</v>
      </c>
      <c r="B177" t="s">
        <v>595</v>
      </c>
    </row>
    <row r="178" spans="1:2">
      <c r="A178" t="s">
        <v>596</v>
      </c>
      <c r="B178" t="s">
        <v>597</v>
      </c>
    </row>
    <row r="179" spans="1:2">
      <c r="A179" t="s">
        <v>598</v>
      </c>
      <c r="B179" t="s">
        <v>599</v>
      </c>
    </row>
    <row r="180" spans="1:2">
      <c r="A180" t="s">
        <v>600</v>
      </c>
      <c r="B180" t="s">
        <v>601</v>
      </c>
    </row>
    <row r="181" spans="1:2">
      <c r="A181" t="s">
        <v>602</v>
      </c>
      <c r="B181" t="s">
        <v>603</v>
      </c>
    </row>
    <row r="182" spans="1:2">
      <c r="A182" t="s">
        <v>604</v>
      </c>
      <c r="B182" t="s">
        <v>605</v>
      </c>
    </row>
    <row r="183" spans="1:2">
      <c r="A183" t="s">
        <v>606</v>
      </c>
      <c r="B183" t="s">
        <v>607</v>
      </c>
    </row>
    <row r="184" spans="1:2">
      <c r="A184" t="s">
        <v>608</v>
      </c>
      <c r="B184" t="s">
        <v>296</v>
      </c>
    </row>
    <row r="185" spans="1:2">
      <c r="A185" t="s">
        <v>609</v>
      </c>
      <c r="B185" t="s">
        <v>610</v>
      </c>
    </row>
    <row r="186" spans="1:2">
      <c r="A186" t="s">
        <v>611</v>
      </c>
      <c r="B186" t="s">
        <v>612</v>
      </c>
    </row>
    <row r="187" spans="1:2">
      <c r="A187" t="s">
        <v>613</v>
      </c>
      <c r="B187" t="s">
        <v>614</v>
      </c>
    </row>
    <row r="188" spans="1:2">
      <c r="A188" t="s">
        <v>615</v>
      </c>
      <c r="B188" t="s">
        <v>616</v>
      </c>
    </row>
    <row r="189" spans="1:2">
      <c r="A189" t="s">
        <v>617</v>
      </c>
      <c r="B189" t="s">
        <v>618</v>
      </c>
    </row>
    <row r="190" spans="1:2">
      <c r="A190" t="s">
        <v>619</v>
      </c>
      <c r="B190" t="s">
        <v>620</v>
      </c>
    </row>
    <row r="191" spans="1:2">
      <c r="A191" t="s">
        <v>621</v>
      </c>
      <c r="B191" t="s">
        <v>622</v>
      </c>
    </row>
    <row r="192" spans="1:2">
      <c r="A192" t="s">
        <v>623</v>
      </c>
      <c r="B192" t="s">
        <v>624</v>
      </c>
    </row>
    <row r="193" spans="1:2">
      <c r="A193" t="s">
        <v>625</v>
      </c>
      <c r="B193" t="s">
        <v>626</v>
      </c>
    </row>
    <row r="194" spans="1:2">
      <c r="A194" t="s">
        <v>627</v>
      </c>
      <c r="B194" t="s">
        <v>628</v>
      </c>
    </row>
    <row r="195" spans="1:2">
      <c r="A195" t="s">
        <v>629</v>
      </c>
      <c r="B195" t="s">
        <v>630</v>
      </c>
    </row>
    <row r="196" spans="1:2">
      <c r="A196" t="s">
        <v>631</v>
      </c>
      <c r="B196" t="s">
        <v>632</v>
      </c>
    </row>
    <row r="197" spans="1:2">
      <c r="A197" t="s">
        <v>633</v>
      </c>
      <c r="B197" t="s">
        <v>634</v>
      </c>
    </row>
    <row r="198" spans="1:2">
      <c r="A198" t="s">
        <v>635</v>
      </c>
      <c r="B198" t="s">
        <v>636</v>
      </c>
    </row>
    <row r="199" spans="1:2">
      <c r="A199" t="s">
        <v>637</v>
      </c>
      <c r="B199" t="s">
        <v>638</v>
      </c>
    </row>
    <row r="200" spans="1:2">
      <c r="A200" t="s">
        <v>639</v>
      </c>
      <c r="B200" t="s">
        <v>640</v>
      </c>
    </row>
    <row r="201" spans="1:2">
      <c r="A201" t="s">
        <v>641</v>
      </c>
      <c r="B201" t="s">
        <v>296</v>
      </c>
    </row>
    <row r="202" spans="1:2">
      <c r="A202" t="s">
        <v>642</v>
      </c>
      <c r="B202" t="s">
        <v>643</v>
      </c>
    </row>
    <row r="203" spans="1:2">
      <c r="A203" t="s">
        <v>644</v>
      </c>
      <c r="B203" t="s">
        <v>645</v>
      </c>
    </row>
    <row r="204" spans="1:2">
      <c r="A204" t="s">
        <v>646</v>
      </c>
      <c r="B204" t="s">
        <v>647</v>
      </c>
    </row>
    <row r="205" spans="1:2">
      <c r="A205" t="s">
        <v>648</v>
      </c>
      <c r="B205" t="s">
        <v>649</v>
      </c>
    </row>
    <row r="206" spans="1:2">
      <c r="A206" t="s">
        <v>650</v>
      </c>
      <c r="B206" t="s">
        <v>651</v>
      </c>
    </row>
    <row r="207" spans="1:2">
      <c r="A207" t="s">
        <v>652</v>
      </c>
      <c r="B207" t="s">
        <v>651</v>
      </c>
    </row>
    <row r="208" spans="1:2">
      <c r="A208" t="s">
        <v>653</v>
      </c>
      <c r="B208" t="s">
        <v>654</v>
      </c>
    </row>
    <row r="209" spans="1:2">
      <c r="A209" t="s">
        <v>655</v>
      </c>
      <c r="B209" t="s">
        <v>656</v>
      </c>
    </row>
    <row r="210" spans="1:2">
      <c r="A210" t="s">
        <v>657</v>
      </c>
      <c r="B210" t="s">
        <v>658</v>
      </c>
    </row>
    <row r="211" spans="1:2">
      <c r="A211" t="s">
        <v>659</v>
      </c>
      <c r="B211" t="s">
        <v>660</v>
      </c>
    </row>
    <row r="212" spans="1:2">
      <c r="A212" t="s">
        <v>661</v>
      </c>
      <c r="B212" t="s">
        <v>662</v>
      </c>
    </row>
    <row r="213" spans="1:2">
      <c r="A213" t="s">
        <v>663</v>
      </c>
      <c r="B213" t="s">
        <v>664</v>
      </c>
    </row>
    <row r="214" spans="1:2">
      <c r="A214" t="s">
        <v>665</v>
      </c>
      <c r="B214" t="s">
        <v>666</v>
      </c>
    </row>
    <row r="215" spans="1:2">
      <c r="A215" t="s">
        <v>667</v>
      </c>
      <c r="B215" t="s">
        <v>668</v>
      </c>
    </row>
    <row r="216" spans="1:2">
      <c r="A216" t="s">
        <v>669</v>
      </c>
      <c r="B216" t="s">
        <v>670</v>
      </c>
    </row>
    <row r="217" spans="1:2">
      <c r="A217" t="s">
        <v>671</v>
      </c>
      <c r="B217" t="s">
        <v>672</v>
      </c>
    </row>
    <row r="218" spans="1:2">
      <c r="A218" t="s">
        <v>673</v>
      </c>
      <c r="B218" t="s">
        <v>674</v>
      </c>
    </row>
    <row r="219" spans="1:2">
      <c r="A219" t="s">
        <v>675</v>
      </c>
      <c r="B219" t="s">
        <v>676</v>
      </c>
    </row>
    <row r="220" spans="1:2">
      <c r="A220" t="s">
        <v>677</v>
      </c>
      <c r="B220" t="s">
        <v>678</v>
      </c>
    </row>
    <row r="221" spans="1:2">
      <c r="A221" t="s">
        <v>679</v>
      </c>
      <c r="B221" t="s">
        <v>680</v>
      </c>
    </row>
    <row r="222" spans="1:2">
      <c r="A222" t="s">
        <v>681</v>
      </c>
      <c r="B222" t="s">
        <v>682</v>
      </c>
    </row>
    <row r="223" spans="1:2">
      <c r="A223" t="s">
        <v>683</v>
      </c>
      <c r="B223" t="s">
        <v>684</v>
      </c>
    </row>
    <row r="224" spans="1:2">
      <c r="A224" t="s">
        <v>685</v>
      </c>
      <c r="B224" t="s">
        <v>686</v>
      </c>
    </row>
    <row r="225" spans="1:2">
      <c r="A225" t="s">
        <v>687</v>
      </c>
      <c r="B225" t="s">
        <v>688</v>
      </c>
    </row>
    <row r="226" spans="1:2">
      <c r="A226" t="s">
        <v>689</v>
      </c>
      <c r="B226" t="s">
        <v>690</v>
      </c>
    </row>
    <row r="227" spans="1:2">
      <c r="A227" t="s">
        <v>691</v>
      </c>
      <c r="B227" t="s">
        <v>692</v>
      </c>
    </row>
    <row r="228" spans="1:2">
      <c r="A228" t="s">
        <v>693</v>
      </c>
      <c r="B228" t="s">
        <v>694</v>
      </c>
    </row>
    <row r="229" spans="1:2">
      <c r="A229" t="s">
        <v>695</v>
      </c>
      <c r="B229" t="s">
        <v>696</v>
      </c>
    </row>
    <row r="230" spans="1:2">
      <c r="A230" t="s">
        <v>697</v>
      </c>
      <c r="B230" t="s">
        <v>698</v>
      </c>
    </row>
    <row r="231" spans="1:2">
      <c r="A231" t="s">
        <v>699</v>
      </c>
      <c r="B231" t="s">
        <v>700</v>
      </c>
    </row>
    <row r="232" spans="1:2">
      <c r="A232" t="s">
        <v>701</v>
      </c>
      <c r="B232" t="s">
        <v>702</v>
      </c>
    </row>
    <row r="233" spans="1:2">
      <c r="A233" t="s">
        <v>703</v>
      </c>
      <c r="B233" t="s">
        <v>704</v>
      </c>
    </row>
    <row r="234" spans="1:2">
      <c r="A234" t="s">
        <v>705</v>
      </c>
      <c r="B234" t="s">
        <v>706</v>
      </c>
    </row>
    <row r="235" spans="1:2">
      <c r="A235" t="s">
        <v>707</v>
      </c>
      <c r="B235" t="s">
        <v>708</v>
      </c>
    </row>
    <row r="236" spans="1:2">
      <c r="A236" t="s">
        <v>709</v>
      </c>
      <c r="B236" t="s">
        <v>710</v>
      </c>
    </row>
    <row r="237" spans="1:2">
      <c r="A237" t="s">
        <v>711</v>
      </c>
      <c r="B237" t="s">
        <v>712</v>
      </c>
    </row>
    <row r="238" spans="1:2">
      <c r="A238" t="s">
        <v>713</v>
      </c>
      <c r="B238" t="s">
        <v>714</v>
      </c>
    </row>
    <row r="239" spans="1:2">
      <c r="A239" t="s">
        <v>715</v>
      </c>
      <c r="B239" t="s">
        <v>716</v>
      </c>
    </row>
    <row r="240" spans="1:2">
      <c r="A240" t="s">
        <v>717</v>
      </c>
      <c r="B240" t="s">
        <v>718</v>
      </c>
    </row>
    <row r="241" spans="1:2">
      <c r="A241" t="s">
        <v>719</v>
      </c>
      <c r="B241" t="s">
        <v>720</v>
      </c>
    </row>
    <row r="242" spans="1:2">
      <c r="A242" t="s">
        <v>721</v>
      </c>
      <c r="B242" t="s">
        <v>722</v>
      </c>
    </row>
    <row r="243" spans="1:2">
      <c r="A243" t="s">
        <v>723</v>
      </c>
      <c r="B243" t="s">
        <v>724</v>
      </c>
    </row>
    <row r="244" spans="1:2">
      <c r="A244" t="s">
        <v>725</v>
      </c>
      <c r="B244" t="s">
        <v>726</v>
      </c>
    </row>
    <row r="245" spans="1:2">
      <c r="A245" t="s">
        <v>727</v>
      </c>
      <c r="B245" t="s">
        <v>728</v>
      </c>
    </row>
    <row r="246" spans="1:2">
      <c r="A246" t="s">
        <v>729</v>
      </c>
      <c r="B246" t="s">
        <v>730</v>
      </c>
    </row>
    <row r="247" spans="1:2">
      <c r="A247" t="s">
        <v>731</v>
      </c>
      <c r="B247" t="s">
        <v>732</v>
      </c>
    </row>
    <row r="248" spans="1:2">
      <c r="A248" t="s">
        <v>733</v>
      </c>
      <c r="B248" t="s">
        <v>734</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2015-09-18T02:35:37Z</dcterms:modified>
</cp:coreProperties>
</file>