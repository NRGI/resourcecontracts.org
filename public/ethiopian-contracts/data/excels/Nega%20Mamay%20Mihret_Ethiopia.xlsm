
<file path=[Content_Types].xml><?xml version="1.0" encoding="utf-8"?>
<Types xmlns="http://schemas.openxmlformats.org/package/2006/content-types">
  <Default Extension="png" ContentType="image/png"/>
  <Default Extension="bin" ContentType="application/vnd.ms-office.vbaProject"/>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Ben\Dropbox\Land Contracts\Contract annotations\Ethiopian contracts\Ethiopian contracts - ready for upload\"/>
    </mc:Choice>
  </mc:AlternateContent>
  <bookViews>
    <workbookView xWindow="0" yWindow="0" windowWidth="25600" windowHeight="16000" tabRatio="500"/>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6" i="2"/>
  <c r="B7"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<sst xmlns="http://schemas.openxmlformats.org/spreadsheetml/2006/main" count="998" uniqueCount="915">
  <si>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</si>
  <si>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</si>
  <si>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</si>
  <si>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</si>
  <si>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</si>
  <si>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</si>
  <si>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</si>
  <si>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</si>
  <si>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</si>
  <si>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</si>
  <si>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</si>
  <si>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</si>
  <si>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</si>
  <si>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</si>
  <si>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</si>
  <si>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</si>
  <si>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</si>
  <si>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</si>
  <si>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</si>
  <si>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</si>
  <si>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</si>
  <si>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</si>
  <si>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</si>
  <si>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</si>
  <si>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</si>
  <si>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</si>
  <si>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</si>
  <si>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</si>
  <si>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</si>
  <si>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</si>
  <si>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</si>
  <si>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</si>
  <si>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</si>
  <si>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</si>
  <si>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</si>
  <si>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</si>
  <si>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</si>
  <si>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</si>
  <si>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</si>
  <si>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</si>
  <si>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</si>
  <si>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</si>
  <si>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</si>
  <si>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</si>
  <si>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</si>
  <si>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</si>
  <si>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</si>
  <si>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</si>
  <si>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</si>
  <si>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</si>
  <si>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</si>
  <si>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</si>
  <si>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</si>
  <si>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</si>
  <si>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</si>
  <si>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</si>
  <si>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</si>
  <si>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</si>
  <si>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</si>
  <si>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</si>
  <si>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</si>
  <si>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</si>
  <si>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</si>
  <si>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</si>
  <si>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</si>
  <si>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</si>
  <si>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</si>
  <si>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</si>
  <si>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</si>
  <si>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</si>
  <si>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</si>
  <si>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</si>
  <si>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</si>
  <si>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</si>
  <si>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</si>
  <si>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</si>
  <si>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</si>
  <si>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</si>
  <si>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</si>
  <si>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</si>
  <si>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</si>
  <si>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</si>
  <si>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</si>
  <si>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</si>
  <si>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</si>
  <si>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</si>
  <si>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</si>
  <si>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</si>
  <si>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</si>
  <si>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</si>
  <si>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</si>
  <si>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</si>
  <si>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</si>
  <si>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</si>
  <si>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</si>
  <si>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</si>
  <si>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</si>
  <si>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</si>
  <si>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</si>
  <si>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</si>
  <si>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</si>
  <si>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</si>
  <si>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</si>
  <si>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</si>
  <si>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</si>
  <si>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</si>
  <si>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</si>
  <si>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</si>
  <si>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</si>
  <si>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</si>
  <si>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</si>
  <si>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</si>
  <si>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</si>
  <si>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</si>
  <si>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</si>
  <si>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</si>
  <si>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</si>
  <si>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</si>
  <si>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</si>
  <si>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</si>
  <si>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</si>
  <si>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</si>
  <si>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</si>
  <si>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</si>
  <si>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</si>
  <si>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</si>
  <si>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</si>
  <si>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</si>
  <si>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</si>
  <si>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</si>
  <si>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</si>
  <si>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</si>
  <si>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</si>
  <si>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</si>
  <si>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</si>
  <si>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</si>
  <si>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</si>
  <si>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</si>
  <si>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</si>
  <si>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</si>
  <si>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</si>
  <si>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</si>
  <si>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</si>
  <si>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</si>
  <si>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</si>
  <si>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</si>
  <si>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</si>
  <si>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</si>
  <si>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</si>
  <si>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</si>
  <si>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</si>
  <si>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</si>
  <si>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</si>
  <si>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</si>
  <si>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</si>
  <si>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</si>
  <si>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</si>
  <si>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</si>
  <si>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</si>
  <si>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</si>
  <si>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</si>
  <si>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</si>
  <si>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</si>
  <si>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</si>
  <si>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</si>
  <si>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</si>
  <si>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</si>
  <si>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</si>
  <si>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</si>
  <si>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</si>
  <si>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</si>
  <si>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</si>
  <si>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</si>
  <si>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</si>
  <si>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</si>
  <si>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</si>
  <si>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</si>
  <si>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</si>
  <si>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</si>
  <si>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</si>
  <si>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</si>
  <si>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</si>
  <si>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</si>
  <si>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</si>
  <si>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</si>
  <si>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</si>
  <si>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</si>
  <si>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</si>
  <si>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</si>
  <si>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</si>
  <si>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</si>
  <si>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</si>
  <si>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</si>
  <si>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</si>
  <si>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</si>
  <si>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</si>
  <si>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</si>
  <si>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</si>
  <si>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</si>
  <si>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</si>
  <si>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</si>
  <si>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</si>
  <si>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</si>
  <si>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</si>
  <si>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</si>
  <si>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</si>
  <si>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</si>
  <si>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</si>
  <si>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</si>
  <si>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</si>
  <si>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</si>
  <si>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</si>
  <si>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</si>
  <si>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</si>
  <si>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</si>
  <si>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</si>
  <si>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</si>
  <si>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</si>
  <si>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</si>
  <si>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</si>
  <si>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</si>
  <si>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</si>
  <si>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</si>
  <si>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</si>
  <si>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</si>
  <si>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</si>
  <si>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</si>
  <si>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Obligations liées a l'approvisionnement en biens et services locaux</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</si>
  <si>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</si>
  <si>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</si>
  <si>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</si>
  <si>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</si>
  <si>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</si>
  <si>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</si>
  <si>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</si>
  <si>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</si>
  <si>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</si>
  <si>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</si>
  <si>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</si>
  <si>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</si>
  <si>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</si>
  <si>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</si>
  <si>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</si>
  <si>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</si>
  <si>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</si>
  <si>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</si>
  <si>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</si>
  <si>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</si>
  <si>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</si>
  <si>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</si>
  <si>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</si>
  <si>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</si>
  <si>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</si>
  <si>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</si>
  <si>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</si>
  <si>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</si>
  <si>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</si>
  <si>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</si>
  <si>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</si>
  <si>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</si>
  <si>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</si>
  <si>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</si>
  <si>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</si>
  <si>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</si>
  <si>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</si>
  <si>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</si>
  <si>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</si>
  <si>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</si>
  <si>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</si>
  <si>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</si>
  <si>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</si>
  <si>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</si>
  <si>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</si>
  <si>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</si>
  <si>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</si>
  <si>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</si>
  <si>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</si>
  <si>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</si>
  <si>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</si>
  <si>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</si>
  <si>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</si>
  <si>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</si>
  <si>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</si>
  <si>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</si>
  <si>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</si>
  <si>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</si>
  <si>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</si>
  <si>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</si>
  <si>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</si>
  <si>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</si>
  <si>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</si>
  <si>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</si>
  <si>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</si>
  <si>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</si>
  <si>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</si>
  <si>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</si>
  <si>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</si>
  <si>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</si>
  <si>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</si>
  <si>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</si>
  <si>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</si>
  <si>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</si>
  <si>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</si>
  <si>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</si>
  <si>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</si>
  <si>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</si>
  <si>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</si>
  <si>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</si>
  <si>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</si>
  <si>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</si>
  <si>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</si>
  <si>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</si>
  <si>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</si>
  <si>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</si>
  <si>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</si>
  <si>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</si>
  <si>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</si>
  <si>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</si>
  <si>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</si>
  <si>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</si>
  <si>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</si>
  <si>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</si>
  <si>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</si>
  <si>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</si>
  <si>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</si>
  <si>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</si>
  <si>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</si>
  <si>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</si>
  <si>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</si>
  <si>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</si>
  <si>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</si>
  <si>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</si>
  <si>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</si>
  <si>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</si>
  <si>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</si>
  <si>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</si>
  <si>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</si>
  <si>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</si>
  <si>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</si>
  <si>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</si>
  <si>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</si>
  <si>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</si>
  <si>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</si>
  <si>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</si>
  <si>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</si>
  <si>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</si>
  <si>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</si>
  <si>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</si>
  <si>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</si>
  <si>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</si>
  <si>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</si>
  <si>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</si>
  <si>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</si>
  <si>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</si>
  <si>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</si>
  <si>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</si>
  <si>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</si>
  <si>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</si>
  <si>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</si>
  <si>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</si>
  <si>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</si>
  <si>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</si>
  <si>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</si>
  <si>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</si>
  <si>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</si>
  <si>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</si>
  <si>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</si>
  <si>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</si>
  <si>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</si>
  <si>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</si>
  <si>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</si>
  <si>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</si>
  <si>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</si>
  <si>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</si>
  <si>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</si>
  <si>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</si>
  <si>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</si>
  <si>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</si>
  <si>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</si>
  <si>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</si>
  <si>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</si>
  <si>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</si>
  <si>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</si>
  <si>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</si>
  <si>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</si>
  <si>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</si>
  <si>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</si>
  <si>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</si>
  <si>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</si>
  <si>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</si>
  <si>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</si>
  <si>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</si>
  <si>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</si>
  <si>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</si>
  <si>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</si>
  <si>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</si>
  <si>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</si>
  <si>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</si>
  <si>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</si>
  <si>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</si>
  <si>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</si>
  <si>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</si>
  <si>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</si>
  <si>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</si>
  <si>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</si>
  <si>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</si>
  <si>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</si>
  <si>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</si>
  <si>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</si>
  <si>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</si>
  <si>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</si>
  <si>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</si>
  <si>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</si>
  <si>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</si>
  <si>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</si>
  <si>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</si>
  <si>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</si>
  <si>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</si>
  <si>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</si>
  <si>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</si>
  <si>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</si>
  <si>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</si>
  <si>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</si>
  <si>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</si>
  <si>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</si>
  <si>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</si>
  <si>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</si>
  <si>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</si>
  <si>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</si>
  <si>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</si>
  <si>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</si>
  <si>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</si>
  <si>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</si>
  <si>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</si>
  <si>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</si>
  <si>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</si>
  <si>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</si>
  <si>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</si>
  <si>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</si>
  <si>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</si>
  <si>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</si>
  <si>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</si>
  <si>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</si>
  <si>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</si>
  <si>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</si>
  <si>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</si>
  <si>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</si>
  <si>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</si>
  <si>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</si>
  <si>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</si>
  <si>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</si>
  <si>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</si>
  <si>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</si>
  <si>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</si>
  <si>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</si>
  <si>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</si>
  <si>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</si>
  <si>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</si>
  <si>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</si>
  <si>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</si>
  <si>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</si>
  <si>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</si>
  <si>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</si>
  <si>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</si>
  <si>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</si>
  <si>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</si>
  <si>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</si>
  <si>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</si>
  <si>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</si>
  <si>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</si>
  <si>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</si>
  <si>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</si>
  <si>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</si>
  <si>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</si>
  <si>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</si>
  <si>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</si>
  <si>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</si>
  <si>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</si>
  <si>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</si>
  <si>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</si>
  <si>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</si>
  <si>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</si>
  <si>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</si>
  <si>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</si>
  <si>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</si>
  <si>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</si>
  <si>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</si>
  <si>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</si>
  <si>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</si>
  <si>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</si>
  <si>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</si>
  <si>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</si>
  <si>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</si>
  <si>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</si>
  <si>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</si>
  <si>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</si>
  <si>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</si>
  <si>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</si>
  <si>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</si>
  <si>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</si>
  <si>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</si>
  <si>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</si>
  <si>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</si>
  <si>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</si>
  <si>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</si>
  <si>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</si>
  <si>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</si>
  <si>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</si>
  <si>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</si>
  <si>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</si>
  <si>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</si>
  <si>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</si>
  <si>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</si>
  <si>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</si>
  <si>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</si>
  <si>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</si>
  <si>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</si>
  <si>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</si>
  <si>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</si>
  <si>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</si>
  <si>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</si>
  <si>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</si>
  <si>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</si>
  <si>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</si>
  <si>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</si>
  <si>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</si>
  <si>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</si>
  <si>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</si>
  <si>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</si>
  <si>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</si>
  <si>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</si>
  <si>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</si>
  <si>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</si>
  <si>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</si>
  <si>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</si>
  <si>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</si>
  <si>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</si>
  <si>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</si>
  <si>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</si>
  <si>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</si>
  <si>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</si>
  <si>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</si>
  <si>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</si>
  <si>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</si>
  <si>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</si>
  <si>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</si>
  <si>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</si>
  <si>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</si>
  <si>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</si>
  <si>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</si>
  <si>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</si>
  <si>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</si>
  <si>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</si>
  <si>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</si>
  <si>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</si>
  <si>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</si>
  <si>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</si>
  <si>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</si>
  <si>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</si>
  <si>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</si>
  <si>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</si>
  <si>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</si>
  <si>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</si>
  <si>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</si>
  <si>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</si>
  <si>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</si>
  <si>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</si>
  <si>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</si>
  <si>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</si>
  <si>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</si>
  <si>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</si>
  <si>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</si>
  <si>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</si>
  <si>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</si>
  <si>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</si>
  <si>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</si>
  <si>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</si>
  <si>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</si>
  <si>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</si>
  <si>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</si>
  <si>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</si>
  <si>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</si>
  <si>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</si>
  <si>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</si>
  <si>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</si>
  <si>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</si>
  <si>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</si>
  <si>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</si>
  <si>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</si>
  <si>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</si>
  <si>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</si>
  <si>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</si>
  <si>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</si>
  <si>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</si>
  <si>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</si>
  <si>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</si>
  <si>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</si>
  <si>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</si>
  <si>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</si>
  <si>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</si>
  <si>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</si>
  <si>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</si>
  <si>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</si>
  <si>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</si>
  <si>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</si>
  <si>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</si>
  <si>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</si>
  <si>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</si>
  <si>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</si>
  <si>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</si>
  <si>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</si>
  <si>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</si>
  <si>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</si>
  <si>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</si>
  <si>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</si>
  <si>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</si>
  <si>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</si>
  <si>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</si>
  <si>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</si>
  <si>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</si>
  <si>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</si>
  <si>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</si>
  <si>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</si>
  <si>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</si>
  <si>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</si>
  <si>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</si>
  <si>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</si>
  <si>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</si>
  <si>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</si>
  <si>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</si>
  <si>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</si>
  <si>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</si>
  <si>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</si>
  <si>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</si>
  <si>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</si>
  <si>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</si>
  <si>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</si>
  <si>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</si>
  <si>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</si>
  <si>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</si>
  <si>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</si>
  <si>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</si>
  <si>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</si>
  <si>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</si>
  <si>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</si>
  <si>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</si>
  <si>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</si>
  <si>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</si>
  <si>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</si>
  <si>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</si>
  <si>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</si>
  <si>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</si>
  <si>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</si>
  <si>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</si>
  <si>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</si>
  <si>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</si>
  <si>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</si>
  <si>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</si>
  <si>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</si>
  <si>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</si>
  <si>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</si>
  <si>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</si>
  <si>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</si>
  <si>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</si>
  <si>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</si>
  <si>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</si>
  <si>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</si>
  <si>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</si>
  <si>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</si>
  <si>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</si>
  <si>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</si>
  <si>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</si>
  <si>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</si>
  <si>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</si>
  <si>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</si>
  <si>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</si>
  <si>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</si>
  <si>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</si>
  <si>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</si>
  <si>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</si>
  <si>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</si>
  <si>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</si>
  <si>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</si>
  <si>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</si>
  <si>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</si>
  <si>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</si>
  <si>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</si>
  <si>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</si>
  <si>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</si>
  <si>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</si>
  <si>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</si>
  <si>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</si>
  <si>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</si>
  <si>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</si>
  <si>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</si>
  <si>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</si>
  <si>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</si>
  <si>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</si>
  <si>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</si>
  <si>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</si>
  <si>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</si>
  <si>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</si>
  <si>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</si>
  <si>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</si>
  <si>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</si>
  <si>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</si>
  <si>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</si>
  <si>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</si>
  <si>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</si>
  <si>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</si>
  <si>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</si>
  <si>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</si>
  <si>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</si>
  <si>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</si>
  <si>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</si>
  <si>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</si>
  <si>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</si>
  <si>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</si>
  <si>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</si>
  <si>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</si>
  <si>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</si>
  <si>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</si>
  <si>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</si>
  <si>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</si>
  <si>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</si>
  <si>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</si>
  <si>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</si>
  <si>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</si>
  <si>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</si>
  <si>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</si>
  <si>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</si>
  <si>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</si>
  <si>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</si>
  <si>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</si>
  <si>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</si>
  <si>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</si>
  <si>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</si>
  <si>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</si>
  <si>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</si>
  <si>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</si>
  <si>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</si>
  <si>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</si>
  <si>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</si>
  <si>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</si>
  <si>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</si>
  <si>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</si>
  <si>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</si>
  <si>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</si>
  <si>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</si>
  <si>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</si>
  <si>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</si>
  <si>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</si>
  <si>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</si>
  <si>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</si>
  <si>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</si>
  <si>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</si>
  <si>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</si>
  <si>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</si>
  <si>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</si>
  <si>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</si>
  <si>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</si>
  <si>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</si>
  <si>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</si>
  <si>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</si>
  <si>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</si>
  <si>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</si>
  <si>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</si>
  <si>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</si>
  <si>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</si>
  <si>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</si>
  <si>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</si>
  <si>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</si>
  <si>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</si>
  <si>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</si>
  <si>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</si>
  <si>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</si>
  <si>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</si>
  <si>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</si>
  <si>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</si>
  <si>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</si>
  <si>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</si>
  <si>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</si>
  <si>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</si>
  <si>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</si>
  <si>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</si>
  <si>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</si>
  <si>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</si>
  <si>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</si>
  <si>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</si>
  <si>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</si>
  <si>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</si>
  <si>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</si>
  <si>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</si>
  <si>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</si>
  <si>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</si>
  <si>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</si>
  <si>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</si>
  <si>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</si>
  <si>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</si>
  <si>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</si>
  <si>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</si>
  <si>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</si>
  <si>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</si>
  <si>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</si>
  <si>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</si>
  <si>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</si>
  <si>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</si>
  <si>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</si>
  <si>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</si>
  <si>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</si>
  <si>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</si>
  <si>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</si>
  <si>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</si>
  <si>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</si>
  <si>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</si>
  <si>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</si>
  <si>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</si>
  <si>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</si>
  <si>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</si>
  <si>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</si>
  <si>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</si>
  <si>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</si>
  <si>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</si>
  <si>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</si>
  <si>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</si>
  <si>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</si>
  <si>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</si>
  <si>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</si>
  <si>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</si>
  <si>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</si>
  <si>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</si>
  <si>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Les metaux de base</t>
  </si>
  <si>
    <t>Preamble</t>
  </si>
  <si>
    <t>1 (top)</t>
  </si>
  <si>
    <t>Title</t>
  </si>
  <si>
    <t>Nega Mamay Mihret</t>
  </si>
  <si>
    <t>Signature page</t>
  </si>
  <si>
    <t>8 (middle)</t>
  </si>
  <si>
    <t>Tefera Derbew, Ministry of Agriculture</t>
  </si>
  <si>
    <t>Art. 19</t>
  </si>
  <si>
    <t xml:space="preserve">The land lease agreement can be renewed for another additional years mutually agreed between the parties. The land lease agreement shall be renewed on the same terms and conditions. If any of the parties wish to renew the agreement, it shall inform the other party at least 6 months before the expiration of the contract period. </t>
  </si>
  <si>
    <t>Arts. 2.1, 8</t>
  </si>
  <si>
    <t>2 (top), 5 (bottom)</t>
  </si>
  <si>
    <t>Art. 1.1</t>
  </si>
  <si>
    <t>1 (bottom)</t>
  </si>
  <si>
    <t>Art. 6.2</t>
  </si>
  <si>
    <t>5 (top)</t>
  </si>
  <si>
    <t>Art. 4.1(d)</t>
  </si>
  <si>
    <t>3 (top)</t>
  </si>
  <si>
    <t>Art. 4.1</t>
  </si>
  <si>
    <t>Art. 4.4</t>
  </si>
  <si>
    <t>3 (middle)</t>
  </si>
  <si>
    <t>Art. 3.2</t>
  </si>
  <si>
    <t>2 (middle)</t>
  </si>
  <si>
    <t>Arts. 1.1, 3.5</t>
  </si>
  <si>
    <t>1 (bottom), 2 (bottom)</t>
  </si>
  <si>
    <t>Arts. 2.2, 4.8</t>
  </si>
  <si>
    <t>2 (top), 3 (bottom)</t>
  </si>
  <si>
    <t>The governing law for operations under the agreement shall be the laws of Ethiopia</t>
  </si>
  <si>
    <t>Art. 12</t>
  </si>
  <si>
    <t>7 (top)</t>
  </si>
  <si>
    <t>Art. 17</t>
  </si>
  <si>
    <t>7 (bottom)</t>
  </si>
  <si>
    <t>Arts. 4.12-4.14</t>
  </si>
  <si>
    <t>4 (middle)</t>
  </si>
  <si>
    <t>Arts. 3.6, 5.4, 6.5, 9</t>
  </si>
  <si>
    <t>The site plan of the leased land and the environmental code of practice</t>
  </si>
  <si>
    <t>Art. 16</t>
  </si>
  <si>
    <t>Conditions of force majeure shall be governed by the Ethiopian Civil code</t>
  </si>
  <si>
    <t>Art. 13</t>
  </si>
  <si>
    <t>7 (middle)</t>
  </si>
  <si>
    <t xml:space="preserve">Benishangul Gumuz Regional State, Metekel Zone, Dangur District Abay dar kebele </t>
  </si>
  <si>
    <t>Arts. 4.7, 5.1</t>
  </si>
  <si>
    <t>3 (bottom), 4 (middle)</t>
  </si>
  <si>
    <t>3453 Kebele 03, Sebeta Town, Oromia Reginal State, Ethiopia</t>
  </si>
  <si>
    <t>Cotton principal investment and sesame and soy bean rotational crops</t>
  </si>
  <si>
    <t>Nega Mamay Mihret (a natural person) is to have a company or business organization incorporated to engage in cotton principal investment and sesame and soy bean rotational crops development for the purposes of this agreement</t>
  </si>
  <si>
    <t>TEMPLATE OIL/GAS/MINING/LAND -  RESOURCECONTRACTS.ORG and OPENLANDCONTRACTS.ORG</t>
  </si>
  <si>
    <t>Details - value</t>
  </si>
  <si>
    <t xml:space="preserve">Location, longitude and latitude / Onshore vs Offshore (shallow vs. deep) </t>
  </si>
  <si>
    <t>Type of resources (mineral type, crude oil, gas, timber, etc.) OR specific crops planned (ex: food crops, oil palm, etc.)</t>
  </si>
  <si>
    <t>Programme de sous-traitance avec les petits planteurs (détails, des terres supplémentaires fournis, etc)</t>
  </si>
  <si>
    <t>Production Share - "Cost Oil" features (basis of calculation, limits on cost recovery - e.g. as % of revenue or production, capex uplift, etc.)</t>
  </si>
  <si>
    <t>Production Share - "Profit Oil" features (triggers for variations in split - IRR, "r" factor, production, etc.)</t>
  </si>
  <si>
    <t>Contrat de Service - Frais du détenteur du titre défrayés (base de calcul)</t>
  </si>
  <si>
    <t xml:space="preserve">Fixed fee for grant and renewal of license </t>
  </si>
  <si>
    <t>Nega Mamay Mihret, or the company or business organization incorporated for the purposes of the agreement, bears an obligation to conduct environmental impact assessment and deliver the report within 3 months of execution of the agreement</t>
  </si>
  <si>
    <t xml:space="preserve">In the event of a dispute arising between the Ministry of Agriculture and Nega Mamay Mihret, or the company or business organization incorporated for the purposes of the agreement, out of or in connection with this agreement, both parties will do their utmost to resolve the dispute amicably and to their mutual satisfaction. If they are unable to achieve such a settlement, the dispute shall be referred to the Ethiopian Federal Court. </t>
  </si>
  <si>
    <t xml:space="preserve">Unless 75% of the project land is developed, Nega Mamay Mihret, or the company or business organization incorporated for the purposes of the agreement, has no right to transfer the land or properties developed on the land in favor of any other company or individual. Upon developing 75% of the land, Nega Mamay Mihret, or the company or business organization incorporated for the purposes of the agreement, can transfer the land or properties developed on the land in favor of any other company or individual only with the prior permit of the lessor. Nega Mamay Mihret, or the company or business organization incorporated for the purposes of the agreement, shall not have the right to transfer the remaining land which is not developed. </t>
  </si>
  <si>
    <t>Nega Mamay Mihret, or the company or business organization incorporated for the purposes of the agreement, shall provide correct data and investment activity reports upon request by the Ministry of Agriculture. The Ministry of Agriculture has the right to monitor and establish whether Nega Mamay Mihret, or the company or business organization incorporated for the purposes of the agreement, is discharging and accomplishing its obligations diligently.</t>
  </si>
  <si>
    <t>Pages missing from copy</t>
  </si>
  <si>
    <t>Art. 4.6</t>
  </si>
  <si>
    <t>Upon expiry or termination of the contract or revocation of the investment license, Nega Mamay Mihret, or the company or business organization incorporated for the purposes of the agreement, shall remove assets installed on the leased land in good order and hand over the leased land to the Ministry of Agriculture within 1 year</t>
  </si>
  <si>
    <t>3 (bottom)</t>
  </si>
  <si>
    <r>
      <t>There shall be a 3-year grace period for the land rent</t>
    </r>
    <r>
      <rPr>
        <sz val="12"/>
        <color rgb="FF008000"/>
        <rFont val="Calibri"/>
        <family val="2"/>
        <scheme val="minor"/>
      </rPr>
      <t>.</t>
    </r>
    <r>
      <rPr>
        <sz val="12"/>
        <color theme="0" tint="-0.34998626667073579"/>
        <rFont val="Calibri"/>
        <family val="2"/>
        <scheme val="minor"/>
      </rPr>
      <t xml:space="preserve"> The rent during this period will be prorated over the remaining years annually, commencing from the date of execution of the agreement. After 3 years, the annual lease rate per hectare for use of agricultural investment shall be birr 111 per hectare (making a total of birr 333,000 for all hectares). The total amount payment of contract will be birr 8,325,000. There shall be 1 year down payment for the land. The Ministry of Agriculture reserves the right to revise the lease payment rate as the need may arise. Once the annual land lease rent becomes payable upon completion of the grace period, Nega Mamay Mihret, or the company or business organization incorporated for the purposes of the agreement, has the obligation to settle the current annual land rent, including the prorated amount of the grace period, to the regions where the land is located during the months December up to June every year as per predetermined lease rate for rural lands.</t>
    </r>
  </si>
  <si>
    <t>Arts. 6.6, 14</t>
  </si>
  <si>
    <t>5 (middle), 7 (middle)</t>
  </si>
  <si>
    <t>Arts. 2.2.4, 4.2-4.5, 4.10</t>
  </si>
  <si>
    <t>2 (middle), 3 (middle), 4 (top)</t>
  </si>
  <si>
    <t>3 (top), 4 (bottom), 5 (middle), 6 (top), 4 (middle), 5 (middle)</t>
  </si>
  <si>
    <t>Ethiopia, Mihret, Land Rent Contractual Agreement, Cotton, Abay Dar, 30 September 2011</t>
  </si>
  <si>
    <t>Preamble, Art. 1.1</t>
  </si>
  <si>
    <t>Ministry of Agriculture of Federal Democratic Republic of Ethiopia (FDRE)</t>
  </si>
  <si>
    <t>25 years. The contract shall expire on 29 September 2036</t>
  </si>
  <si>
    <t>3,000 hectares. The company or business organization, once incorporated, has the right to get additional land based on its performance, accomplishment and need.</t>
  </si>
  <si>
    <t>The Government undertakes to provide special investment privileges such as exemptions from taxation and import duties of capital goods and repatriation of capital and profits granted under the investment laws of Ethiopia</t>
  </si>
  <si>
    <t xml:space="preserve">The Government shall ensure that during the period of the lease, Nega Mamay Mihret, or the company or business organization incorporated for the purposes of the agreement, shall enjoy peaceful and trouble-free possession of the premises and be provided with adequate security, on request and free of cost, for carrying out its activities in that premises, against any riot, disturbance or any other turbulent time, other than force majeure. The Government shall protect the right of Nega Mamay Mihret, or the company or business organization incorporated for the purposes of the agreement, to the peaceful possession, use and quiet enjoyment of the leased area. </t>
  </si>
  <si>
    <t>Nega Mamay Mihret, or the company or business organization incorporated for the purposes of the agreement, shall bear the obligation to provide good care and conservation of the leased land, with particular obligations to: (a) conserve tree plantations that have not been cleared for earth works, (b) apply appropriate working methods to prevent soil erosion in "slopping" areas, and (c) observe and implement all laws providing for natural resource conservation</t>
  </si>
  <si>
    <t xml:space="preserve">Nega Mamay Mihret, or the company or business organization incorporated for the purposes of the agreement, has to execute all development activities as per the agreed business plan. Any change or deviation from the business plan has to be reported with justification to the Ministry of Agriculture. </t>
  </si>
  <si>
    <t>There shall be a 1-year down payment for the land. Nega Mamay Mihret should take over the leased land within 30 days of execution of the agreement by making the down payment of 1 year's rent. Nega Mamay Mihret, or the company or business organization incorporated for the purposes of the agreement, is expected to start developing the land within 6 months of the date of execution of the agreement, or from the date that it receives final clearance from the Government, whichever is later. Nega Mamay Mihret, or the company or business organization incorporated for the purposes of the agreement, has to execute all development activities as per the agreed business plan. It shall develop 1/3 of the leased plot of land within the first year from the date of signing of the agreement or from the date of receipt of all clearances from the Government, whichever is later. It shall develop the entire plot of leased land within 3 years.</t>
  </si>
  <si>
    <t>Nega Mamay Mihret, or the company or business organization incorporated for the purposes of the agreement, has the right to build infrastructure such as dams, water boreholes, power houses, irrigation system, roads, bridges, offices, residential buildings, fuel/power supply stations/outlets, health/hospitals, dispensaries, education facilities at their discretion upon consultation and submission of a permit request with concerned offices, subject to the type and size of the investment project whenever it deems so appropriate</t>
  </si>
  <si>
    <t>Nega Mamay Mihret, or the company or business organization incorporated for the purposes of the agreement, has the right to terminate the land lease agreement subject to at least 6 months' prior written notice upon justified good cause. The Ministry of Agriculture has the right to terminate the land lease agreement subject to at least six months' prior written notice (i) upon justified good cause, (ii) on the grounds of failure to develop the land within the time limits in accordance the contract obligation, (iii) upon any damage on the natural resources, or (upon) non-performance of due payment of lease charge.In the case of (ii), (iii) or (iv) above, if Nega Mamy Mihret, or the company or business organization incorporated for the purposes of the agreement, does not address such issue, the Ministry of Agriculture may extended the time period for such compliance or terminate the agreement. The land lease agreement may be terminated for a number of reasons, including upon (9.2) failure of the Ministry of Agriculture to fulfill or observe any of its obligations or covenants in the lease after Nega Mamay Mihret, or the company or business organization incorporated for the purposes of the agreement, has given a written notice of 6 months and the Ministry fails to perform, (9.4) failure of Nega Mamay Mihret, or the company or business organization incorporated for the purposes of the agreement, to settle annual rental and other relevant tax payments for 2 consecutive years, (9.5) failure of Nega Mamay Mihret, or the company or business organization incorporated for the purposes of the agreement, to perform its obligations in the lease after the Ministry has given a 6 months' written notice calling upon them to observe and perform such obligations. The Government has the right to restore any land which is not developed with 6 months' advance notice and after Nega Mamay Mihret has not cured the failure within 1 year. The Government shall issue 6 months' advance notice prior to termination of the agreement on the grounds of (1) failure to develop the land within the time limits set by the agreement, (2) if there is any damage to the natural resources, or (3) non-performance of due payment of lease charge. If the issue is not addressed, the Government may extend the time period for such compliance or terminate the contract in accordance with the terms of the agreement.</t>
  </si>
  <si>
    <t>Dividing the leased land among shareholders to develop in an independent way or subleasing to any party is strictly forbidden and shall result in the termination of the agreement</t>
  </si>
  <si>
    <t>Art. 411</t>
  </si>
  <si>
    <t>4 (top)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</si>
</sst>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3">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rgb="FF008000"/>
      <name val="Calibri"/>
      <family val="2"/>
      <scheme val="minor"/>
    </font>
    <font>
      <b/>
      <sz val="16"/>
      <color theme="1"/>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81">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6">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6" fillId="4" borderId="9" xfId="0" applyFont="1" applyFill="1" applyBorder="1" applyAlignment="1">
      <alignment wrapText="1"/>
    </xf>
    <xf numFmtId="0" fontId="13"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4"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14"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3"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3" fillId="13" borderId="0" xfId="0" applyFont="1" applyFill="1" applyAlignment="1">
      <alignment wrapText="1"/>
    </xf>
    <xf numFmtId="0" fontId="17"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0" fontId="18" fillId="0" borderId="0" xfId="0" applyFont="1" applyFill="1" applyBorder="1" applyAlignment="1"/>
    <xf numFmtId="0" fontId="18" fillId="0" borderId="0" xfId="0" applyFont="1" applyFill="1" applyBorder="1" applyAlignment="1">
      <alignment wrapText="1"/>
    </xf>
    <xf numFmtId="0" fontId="19" fillId="0" borderId="0" xfId="0" applyFont="1"/>
    <xf numFmtId="0" fontId="18" fillId="0" borderId="0" xfId="0" applyFont="1"/>
    <xf numFmtId="0" fontId="18" fillId="0" borderId="0" xfId="0" applyFont="1" applyAlignment="1">
      <alignment wrapText="1"/>
    </xf>
    <xf numFmtId="0" fontId="4" fillId="0" borderId="0" xfId="0" applyFont="1"/>
    <xf numFmtId="0" fontId="0" fillId="0" borderId="0" xfId="0" applyFill="1" applyAlignment="1">
      <alignment wrapText="1"/>
    </xf>
    <xf numFmtId="0" fontId="11" fillId="0" borderId="0" xfId="0" applyFont="1" applyAlignment="1"/>
    <xf numFmtId="0" fontId="20" fillId="0" borderId="0" xfId="0" applyFont="1"/>
    <xf numFmtId="0" fontId="7" fillId="6" borderId="9" xfId="0" applyFont="1" applyFill="1" applyBorder="1" applyAlignment="1">
      <alignment wrapText="1"/>
    </xf>
    <xf numFmtId="0" fontId="16" fillId="6" borderId="5" xfId="0" applyFont="1" applyFill="1" applyBorder="1" applyAlignment="1">
      <alignment wrapText="1"/>
    </xf>
    <xf numFmtId="0" fontId="16" fillId="0" borderId="5" xfId="0" applyFont="1" applyFill="1" applyBorder="1"/>
    <xf numFmtId="0" fontId="16" fillId="0" borderId="5" xfId="0" applyFont="1" applyFill="1" applyBorder="1" applyAlignment="1">
      <alignment wrapText="1"/>
    </xf>
    <xf numFmtId="0" fontId="5" fillId="0" borderId="0" xfId="0" applyFont="1" applyFill="1" applyBorder="1" applyAlignment="1">
      <alignment wrapText="1"/>
    </xf>
    <xf numFmtId="0" fontId="16" fillId="2" borderId="5" xfId="0" applyFont="1" applyFill="1" applyBorder="1" applyAlignment="1">
      <alignment wrapText="1"/>
    </xf>
    <xf numFmtId="164" fontId="0" fillId="4" borderId="9" xfId="0" applyNumberFormat="1" applyFont="1" applyFill="1" applyBorder="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2"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2" fillId="0" borderId="0" xfId="0" applyNumberFormat="1" applyFont="1" applyAlignment="1">
      <alignment horizontal="right" wrapText="1"/>
    </xf>
    <xf numFmtId="0" fontId="12" fillId="0" borderId="0" xfId="0" applyFont="1" applyAlignment="1">
      <alignment horizontal="right" wrapText="1"/>
    </xf>
    <xf numFmtId="0" fontId="0" fillId="0" borderId="0" xfId="0" applyAlignment="1">
      <alignment horizontal="center"/>
    </xf>
  </cellXfs>
  <cellStyles count="28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2</xdr:col>
      <xdr:colOff>603403</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2:H151"/>
  <sheetViews>
    <sheetView showGridLines="0" tabSelected="1" topLeftCell="A100" zoomScale="70" zoomScaleNormal="70" zoomScalePageLayoutView="125" workbookViewId="0">
      <selection activeCell="E104" sqref="E104"/>
    </sheetView>
  </sheetViews>
  <sheetFormatPr defaultColWidth="8.5" defaultRowHeight="15.5"/>
  <cols>
    <col min="1" max="1" width="52.5" style="1" customWidth="1"/>
    <col min="2" max="2" width="37.58203125" style="1" customWidth="1"/>
    <col min="3" max="3" width="91.75" style="1" customWidth="1"/>
    <col min="4" max="4" width="13.5" style="1" customWidth="1"/>
    <col min="6" max="6" width="19.83203125" customWidth="1"/>
    <col min="7" max="7" width="31" style="47" customWidth="1"/>
    <col min="8" max="8" width="17.33203125" style="48" customWidth="1"/>
  </cols>
  <sheetData>
    <row r="2" spans="1:8" ht="30" customHeight="1"/>
    <row r="10" spans="1:8" ht="28" customHeight="1">
      <c r="A10" s="219" t="s">
        <v>877</v>
      </c>
      <c r="B10" s="219"/>
      <c r="C10" s="218"/>
    </row>
    <row r="12" spans="1:8" ht="26">
      <c r="C12" s="233">
        <v>42125</v>
      </c>
      <c r="D12" s="234"/>
    </row>
    <row r="16" spans="1:8" ht="30" customHeight="1">
      <c r="B16" s="230" t="s">
        <v>900</v>
      </c>
      <c r="C16" s="230"/>
      <c r="G16" s="231" t="s">
        <v>0</v>
      </c>
      <c r="H16" s="232"/>
    </row>
    <row r="17" spans="1:8" ht="31">
      <c r="A17" s="2" t="s">
        <v>1</v>
      </c>
      <c r="B17" s="2" t="s">
        <v>2</v>
      </c>
      <c r="C17" s="209" t="s">
        <v>878</v>
      </c>
      <c r="D17" s="3" t="s">
        <v>3</v>
      </c>
      <c r="E17" s="209" t="s">
        <v>236</v>
      </c>
      <c r="F17" s="2" t="s">
        <v>4</v>
      </c>
      <c r="G17" s="4" t="s">
        <v>5</v>
      </c>
      <c r="H17" s="5" t="s">
        <v>6</v>
      </c>
    </row>
    <row r="18" spans="1:8" ht="31">
      <c r="A18" s="6" t="s">
        <v>7</v>
      </c>
      <c r="B18" s="7" t="s">
        <v>8</v>
      </c>
      <c r="C18" s="163"/>
      <c r="D18" s="154"/>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64" t="s">
        <v>375</v>
      </c>
      <c r="D19" s="71" t="s">
        <v>832</v>
      </c>
      <c r="E19" s="71" t="s">
        <v>833</v>
      </c>
      <c r="F19" s="68"/>
      <c r="G19" s="69" t="str">
        <f>IF(OR(Table1[[#This Row],[English]]&lt;&gt;"",Table1[[#This Row],[Français]]&lt;&gt;""),Table1[[#This Row],[Français]]&amp;"//"&amp;Table1[[#This Row],[English]],"")</f>
        <v>Pays//Country</v>
      </c>
      <c r="H19" s="70" t="str">
        <f t="shared" si="0"/>
        <v>Ethiopia--Preamble</v>
      </c>
    </row>
    <row r="20" spans="1:8" ht="133.5" customHeight="1">
      <c r="A20" s="67" t="s">
        <v>11</v>
      </c>
      <c r="B20" s="71" t="s">
        <v>12</v>
      </c>
      <c r="C20" s="164" t="s">
        <v>876</v>
      </c>
      <c r="D20" s="71" t="s">
        <v>901</v>
      </c>
      <c r="E20" s="71" t="s">
        <v>833</v>
      </c>
      <c r="F20" s="222"/>
      <c r="G20" s="69" t="str">
        <f>IF(OR(Table1[[#This Row],[English]]&lt;&gt;"",Table1[[#This Row],[Français]]&lt;&gt;""),Table1[[#This Row],[Français]]&amp;"//"&amp;Table1[[#This Row],[English]],"")</f>
        <v>Nom de la société locale//Local company name</v>
      </c>
      <c r="H20" s="70" t="str">
        <f t="shared" si="0"/>
        <v>Nega Mamay Mihret (a natural person) is to have a company or business organization incorporated to engage in cotton principal investment and sesame and soy bean rotational crops development for the purposes of this agreement--Preamble, Art. 1.1</v>
      </c>
    </row>
    <row r="21" spans="1:8">
      <c r="A21" s="71" t="s">
        <v>234</v>
      </c>
      <c r="B21" s="71" t="s">
        <v>235</v>
      </c>
      <c r="C21" s="164"/>
      <c r="D21" s="71"/>
      <c r="E21" s="71"/>
      <c r="F21" s="206"/>
      <c r="G21" s="16" t="str">
        <f>IF(OR(Table1[[#This Row],[English]]&lt;&gt;"",Table1[[#This Row],[Français]]&lt;&gt;""),Table1[[#This Row],[Français]]&amp;"//"&amp;Table1[[#This Row],[English]],"")</f>
        <v>Numéro d'entreprise légal//Legal Enterprise Identifier</v>
      </c>
      <c r="H21" s="207" t="str">
        <f>IF(C21&lt;&gt;"",IF(D21&lt;&gt;"",C21&amp;"--"&amp;D21,C21),"")</f>
        <v/>
      </c>
    </row>
    <row r="22" spans="1:8" ht="77.5">
      <c r="A22" s="10" t="s">
        <v>13</v>
      </c>
      <c r="B22" s="10" t="s">
        <v>14</v>
      </c>
      <c r="C22" s="165" t="s">
        <v>874</v>
      </c>
      <c r="D22" s="10" t="s">
        <v>832</v>
      </c>
      <c r="E22" s="10" t="s">
        <v>833</v>
      </c>
      <c r="F22" s="224"/>
      <c r="G22" s="12" t="str">
        <f>IF(OR(Table1[[#This Row],[English]]&lt;&gt;"",Table1[[#This Row],[Français]]&lt;&gt;""),Table1[[#This Row],[Français]]&amp;"//"&amp;Table1[[#This Row],[English]],"")</f>
        <v xml:space="preserve">Siège social //Corporate headquarters </v>
      </c>
      <c r="H22" s="13" t="str">
        <f t="shared" si="0"/>
        <v>3453 Kebele 03, Sebeta Town, Oromia Reginal State, Ethiopia--Preamble</v>
      </c>
    </row>
    <row r="23" spans="1:8">
      <c r="A23" s="10" t="s">
        <v>15</v>
      </c>
      <c r="B23" s="10" t="s">
        <v>16</v>
      </c>
      <c r="C23" s="165"/>
      <c r="D23" s="10"/>
      <c r="E23" s="10"/>
      <c r="F23" s="223"/>
      <c r="G23" s="12" t="str">
        <f>IF(OR(Table1[[#This Row],[English]]&lt;&gt;"",Table1[[#This Row],[Français]]&lt;&gt;""),Table1[[#This Row],[Français]]&amp;"//"&amp;Table1[[#This Row],[English]],"")</f>
        <v>Structure du Capital//Company structure</v>
      </c>
      <c r="H23" s="13" t="str">
        <f t="shared" si="0"/>
        <v/>
      </c>
    </row>
    <row r="24" spans="1:8" ht="47.25" customHeight="1">
      <c r="A24" s="67" t="s">
        <v>17</v>
      </c>
      <c r="B24" s="71" t="s">
        <v>189</v>
      </c>
      <c r="C24" s="164"/>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234</v>
      </c>
      <c r="B25" s="71" t="s">
        <v>235</v>
      </c>
      <c r="C25" s="164"/>
      <c r="D25" s="71"/>
      <c r="E25" s="71"/>
      <c r="F25" s="206"/>
      <c r="G25" s="16" t="str">
        <f>IF(OR(Table1[[#This Row],[English]]&lt;&gt;"",Table1[[#This Row],[Français]]&lt;&gt;""),Table1[[#This Row],[Français]]&amp;"//"&amp;Table1[[#This Row],[English]],"")</f>
        <v>Numéro d'entreprise légal//Legal Enterprise Identifier</v>
      </c>
      <c r="H25" s="207" t="str">
        <f>IF(C25&lt;&gt;"",IF(D25&lt;&gt;"",C25&amp;"--"&amp;D25,C25),"")</f>
        <v/>
      </c>
    </row>
    <row r="26" spans="1:8">
      <c r="A26" s="67" t="s">
        <v>18</v>
      </c>
      <c r="B26" s="67" t="s">
        <v>19</v>
      </c>
      <c r="C26" s="166"/>
      <c r="D26" s="155"/>
      <c r="E26" s="155"/>
      <c r="F26" s="68"/>
      <c r="G26" s="69" t="str">
        <f>IF(OR(Table1[[#This Row],[English]]&lt;&gt;"",Table1[[#This Row],[Français]]&lt;&gt;""),Table1[[#This Row],[Français]]&amp;"//"&amp;Table1[[#This Row],[English]],"")</f>
        <v>Site web de l’entreprise//Company website</v>
      </c>
      <c r="H26" s="70" t="str">
        <f t="shared" si="0"/>
        <v/>
      </c>
    </row>
    <row r="27" spans="1:8" ht="31">
      <c r="A27" s="71" t="s">
        <v>200</v>
      </c>
      <c r="B27" s="72" t="s">
        <v>20</v>
      </c>
      <c r="C27" s="164" t="s">
        <v>737</v>
      </c>
      <c r="D27" s="71" t="s">
        <v>834</v>
      </c>
      <c r="E27" s="71" t="s">
        <v>833</v>
      </c>
      <c r="F27" s="6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Lease--Title</v>
      </c>
    </row>
    <row r="28" spans="1:8">
      <c r="A28" s="67" t="s">
        <v>21</v>
      </c>
      <c r="B28" s="67" t="s">
        <v>22</v>
      </c>
      <c r="C28" s="166"/>
      <c r="D28" s="155"/>
      <c r="E28" s="155"/>
      <c r="F28" s="68"/>
      <c r="G28" s="69" t="str">
        <f>IF(OR(Table1[[#This Row],[English]]&lt;&gt;"",Table1[[#This Row],[Français]]&lt;&gt;""),Table1[[#This Row],[Français]]&amp;"//"&amp;Table1[[#This Row],[English]],"")</f>
        <v>Nom du projet//Project title</v>
      </c>
      <c r="H28" s="70" t="str">
        <f t="shared" si="0"/>
        <v/>
      </c>
    </row>
    <row r="29" spans="1:8">
      <c r="A29" s="71" t="s">
        <v>197</v>
      </c>
      <c r="B29" s="72" t="s">
        <v>23</v>
      </c>
      <c r="C29" s="164"/>
      <c r="D29" s="71"/>
      <c r="E29" s="71"/>
      <c r="F29" s="68"/>
      <c r="G29" s="69" t="str">
        <f>IF(OR(Table1[[#This Row],[English]]&lt;&gt;"",Table1[[#This Row],[Français]]&lt;&gt;""),Table1[[#This Row],[Français]]&amp;"//"&amp;Table1[[#This Row],[English]],"")</f>
        <v>Nom du gisement/ champ de pétrole/ gas//Name and/or number of field, block or deposit</v>
      </c>
      <c r="H29" s="70" t="str">
        <f t="shared" si="0"/>
        <v/>
      </c>
    </row>
    <row r="30" spans="1:8" ht="55" customHeight="1">
      <c r="A30" s="76" t="s">
        <v>201</v>
      </c>
      <c r="B30" s="111" t="s">
        <v>879</v>
      </c>
      <c r="C30" s="164" t="s">
        <v>871</v>
      </c>
      <c r="D30" s="76" t="s">
        <v>843</v>
      </c>
      <c r="E30" s="71" t="s">
        <v>844</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Benishangul Gumuz Regional State, Metekel Zone, Dangur District Abay dar kebele --Art. 1.1</v>
      </c>
    </row>
    <row r="31" spans="1:8">
      <c r="A31" s="67" t="s">
        <v>24</v>
      </c>
      <c r="B31" s="67" t="s">
        <v>25</v>
      </c>
      <c r="C31" s="166"/>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4"/>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6"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5"/>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5"/>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5"/>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7"/>
      <c r="D37" s="156"/>
      <c r="E37" s="156"/>
      <c r="F37" s="15"/>
      <c r="G37" s="16" t="str">
        <f>IF(OR(Table1[[#This Row],[English]]&lt;&gt;"",Table1[[#This Row],[Français]]&lt;&gt;""),Table1[[#This Row],[Français]]&amp;"//"&amp;Table1[[#This Row],[English]],"")</f>
        <v/>
      </c>
      <c r="H37" s="17" t="str">
        <f t="shared" si="0"/>
        <v/>
      </c>
    </row>
    <row r="38" spans="1:8" ht="31">
      <c r="A38" s="208" t="s">
        <v>36</v>
      </c>
      <c r="B38" s="208" t="s">
        <v>37</v>
      </c>
      <c r="C38" s="168"/>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1">
      <c r="A39" s="21" t="s">
        <v>38</v>
      </c>
      <c r="B39" s="18" t="s">
        <v>39</v>
      </c>
      <c r="C39" s="168"/>
      <c r="D39" s="157"/>
      <c r="E39" s="157"/>
      <c r="F39" s="18"/>
      <c r="G39" s="19" t="str">
        <f>IF(OR(Table1[[#This Row],[English]]&lt;&gt;"",Table1[[#This Row],[Français]]&lt;&gt;""),Table1[[#This Row],[Français]]&amp;"//"&amp;Table1[[#This Row],[English]],"")</f>
        <v>1. Dispositions du base//1. Fundamental provisions</v>
      </c>
      <c r="H39" s="20" t="str">
        <f t="shared" si="0"/>
        <v/>
      </c>
    </row>
    <row r="40" spans="1:8" ht="85.5" customHeight="1">
      <c r="A40" s="67" t="s">
        <v>40</v>
      </c>
      <c r="B40" s="67" t="s">
        <v>41</v>
      </c>
      <c r="C40" s="164" t="s">
        <v>876</v>
      </c>
      <c r="D40" s="71" t="s">
        <v>901</v>
      </c>
      <c r="E40" s="71" t="s">
        <v>833</v>
      </c>
      <c r="F40" s="222"/>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Nega Mamay Mihret (a natural person) is to have a company or business organization incorporated to engage in cotton principal investment and sesame and soy bean rotational crops development for the purposes of this agreement--Preamble, Art. 1.1</v>
      </c>
    </row>
    <row r="41" spans="1:8">
      <c r="A41" s="71" t="s">
        <v>234</v>
      </c>
      <c r="B41" s="71" t="s">
        <v>235</v>
      </c>
      <c r="C41" s="164"/>
      <c r="D41" s="71"/>
      <c r="E41" s="71"/>
      <c r="F41" s="206"/>
      <c r="G41" s="16" t="str">
        <f>IF(OR(Table1[[#This Row],[English]]&lt;&gt;"",Table1[[#This Row],[Français]]&lt;&gt;""),Table1[[#This Row],[Français]]&amp;"//"&amp;Table1[[#This Row],[English]],"")</f>
        <v>Numéro d'entreprise légal//Legal Enterprise Identifier</v>
      </c>
      <c r="H41" s="207" t="str">
        <f>IF(C41&lt;&gt;"",IF(D41&lt;&gt;"",C41&amp;"--"&amp;D41,C41),"")</f>
        <v/>
      </c>
    </row>
    <row r="42" spans="1:8" ht="46.5">
      <c r="A42" s="10" t="s">
        <v>42</v>
      </c>
      <c r="B42" s="10" t="s">
        <v>43</v>
      </c>
      <c r="C42" s="165" t="s">
        <v>835</v>
      </c>
      <c r="D42" s="105" t="s">
        <v>836</v>
      </c>
      <c r="E42" s="105" t="s">
        <v>837</v>
      </c>
      <c r="F42" s="22"/>
      <c r="G42" s="23" t="str">
        <f>IF(OR(Table1[[#This Row],[English]]&lt;&gt;"",Table1[[#This Row],[Français]]&lt;&gt;""),Table1[[#This Row],[Français]]&amp;"//"&amp;Table1[[#This Row],[English]],"")</f>
        <v>Signataire(s), société //Signatories, company</v>
      </c>
      <c r="H42" s="13" t="str">
        <f t="shared" si="0"/>
        <v>Nega Mamay Mihret--Signature page</v>
      </c>
    </row>
    <row r="43" spans="1:8" ht="42" customHeight="1">
      <c r="A43" s="67" t="s">
        <v>44</v>
      </c>
      <c r="B43" s="67" t="s">
        <v>45</v>
      </c>
      <c r="C43" s="164" t="s">
        <v>902</v>
      </c>
      <c r="D43" s="76" t="s">
        <v>836</v>
      </c>
      <c r="E43" s="76" t="s">
        <v>837</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Ministry of Agriculture of Federal Democratic Republic of Ethiopia (FDRE)--Signature page</v>
      </c>
    </row>
    <row r="44" spans="1:8" ht="62">
      <c r="A44" s="10" t="s">
        <v>46</v>
      </c>
      <c r="B44" s="10" t="s">
        <v>47</v>
      </c>
      <c r="C44" s="165" t="s">
        <v>838</v>
      </c>
      <c r="D44" s="10" t="s">
        <v>836</v>
      </c>
      <c r="E44" s="10" t="s">
        <v>837</v>
      </c>
      <c r="F44" s="22"/>
      <c r="G44" s="23" t="str">
        <f>IF(OR(Table1[[#This Row],[English]]&lt;&gt;"",Table1[[#This Row],[Français]]&lt;&gt;""),Table1[[#This Row],[Français]]&amp;"//"&amp;Table1[[#This Row],[English]],"")</f>
        <v>Signataire(s), Etat//Signatories, State</v>
      </c>
      <c r="H44" s="13" t="str">
        <f t="shared" si="0"/>
        <v>Tefera Derbew, Ministry of Agriculture--Signature page</v>
      </c>
    </row>
    <row r="45" spans="1:8" ht="47.25" customHeight="1">
      <c r="A45" s="67" t="s">
        <v>48</v>
      </c>
      <c r="B45" s="67" t="s">
        <v>49</v>
      </c>
      <c r="C45" s="166"/>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6.5">
      <c r="A46" s="10" t="s">
        <v>174</v>
      </c>
      <c r="B46" s="61" t="s">
        <v>166</v>
      </c>
      <c r="C46" s="169"/>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1">
      <c r="A47" s="67" t="s">
        <v>50</v>
      </c>
      <c r="B47" s="67" t="s">
        <v>51</v>
      </c>
      <c r="C47" s="227">
        <v>40816</v>
      </c>
      <c r="D47" s="221" t="s">
        <v>839</v>
      </c>
      <c r="E47" s="221" t="s">
        <v>837</v>
      </c>
      <c r="F47" s="73"/>
      <c r="G47" s="74" t="str">
        <f>IF(OR(Table1[[#This Row],[English]]&lt;&gt;"",Table1[[#This Row],[Français]]&lt;&gt;""),Table1[[#This Row],[Français]]&amp;"//"&amp;Table1[[#This Row],[English]],"")</f>
        <v>Date de signature du contrat//Date of contract signature</v>
      </c>
      <c r="H47" s="70" t="str">
        <f t="shared" si="0"/>
        <v>40816--Art. 19</v>
      </c>
    </row>
    <row r="48" spans="1:8" ht="31">
      <c r="A48" s="71" t="s">
        <v>52</v>
      </c>
      <c r="B48" s="67" t="s">
        <v>53</v>
      </c>
      <c r="C48" s="166">
        <f>IF(C47&lt;&gt;"",YEAR(C47),"")</f>
        <v>2011</v>
      </c>
      <c r="D48" s="221" t="s">
        <v>839</v>
      </c>
      <c r="E48" s="221" t="s">
        <v>837</v>
      </c>
      <c r="F48" s="73"/>
      <c r="G48" s="74" t="str">
        <f>IF(OR(Table1[[#This Row],[English]]&lt;&gt;"",Table1[[#This Row],[Français]]&lt;&gt;""),Table1[[#This Row],[Français]]&amp;"//"&amp;Table1[[#This Row],[English]],"")</f>
        <v>Année de signature du contrat//Year of contract signature</v>
      </c>
      <c r="H48" s="70" t="str">
        <f t="shared" si="0"/>
        <v>2011--Art. 19</v>
      </c>
    </row>
    <row r="49" spans="1:8" ht="27" customHeight="1">
      <c r="A49" s="67" t="s">
        <v>54</v>
      </c>
      <c r="B49" s="67" t="s">
        <v>55</v>
      </c>
      <c r="C49" s="164" t="s">
        <v>903</v>
      </c>
      <c r="D49" s="221" t="s">
        <v>839</v>
      </c>
      <c r="E49" s="221" t="s">
        <v>837</v>
      </c>
      <c r="F49" s="73"/>
      <c r="G49" s="74" t="str">
        <f>IF(OR(Table1[[#This Row],[English]]&lt;&gt;"",Table1[[#This Row],[Français]]&lt;&gt;""),Table1[[#This Row],[Français]]&amp;"//"&amp;Table1[[#This Row],[English]],"")</f>
        <v>Durée//Term</v>
      </c>
      <c r="H49" s="70" t="str">
        <f t="shared" si="0"/>
        <v>25 years. The contract shall expire on 29 September 2036--Art. 19</v>
      </c>
    </row>
    <row r="50" spans="1:8" ht="118.5" customHeight="1">
      <c r="A50" s="10" t="s">
        <v>56</v>
      </c>
      <c r="B50" s="10" t="s">
        <v>57</v>
      </c>
      <c r="C50" s="165" t="s">
        <v>840</v>
      </c>
      <c r="D50" s="10" t="s">
        <v>841</v>
      </c>
      <c r="E50" s="10" t="s">
        <v>842</v>
      </c>
      <c r="F50" s="22"/>
      <c r="G50" s="23" t="str">
        <f>IF(OR(Table1[[#This Row],[English]]&lt;&gt;"",Table1[[#This Row],[Français]]&lt;&gt;""),Table1[[#This Row],[Français]]&amp;"//"&amp;Table1[[#This Row],[English]],"")</f>
        <v xml:space="preserve">Conditions de renouvellement//Conditions for renewal </v>
      </c>
      <c r="H50" s="13" t="str">
        <f t="shared" si="0"/>
        <v>The land lease agreement can be renewed for another additional years mutually agreed between the parties. The land lease agreement shall be renewed on the same terms and conditions. If any of the parties wish to renew the agreement, it shall inform the other party at least 6 months before the expiration of the contract period. --Arts. 2.1, 8</v>
      </c>
    </row>
    <row r="51" spans="1:8" ht="42" customHeight="1">
      <c r="A51" s="71" t="s">
        <v>224</v>
      </c>
      <c r="B51" s="72" t="s">
        <v>880</v>
      </c>
      <c r="C51" s="164" t="s">
        <v>875</v>
      </c>
      <c r="D51" s="71" t="s">
        <v>843</v>
      </c>
      <c r="E51" s="71" t="s">
        <v>844</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Cotton principal investment and sesame and soy bean rotational crops--Art. 1.1</v>
      </c>
    </row>
    <row r="52" spans="1:8" ht="103" customHeight="1">
      <c r="A52" s="119" t="s">
        <v>213</v>
      </c>
      <c r="B52" s="119" t="s">
        <v>212</v>
      </c>
      <c r="C52" s="181" t="s">
        <v>904</v>
      </c>
      <c r="D52" s="56" t="s">
        <v>854</v>
      </c>
      <c r="E52" s="56" t="s">
        <v>855</v>
      </c>
      <c r="F52" s="225"/>
      <c r="G52" s="126" t="str">
        <f>IF(OR(Table1[[#This Row],[English]]&lt;&gt;"",Table1[[#This Row],[Français]]&lt;&gt;""),Table1[[#This Row],[Français]]&amp;"//"&amp;Table1[[#This Row],[English]],"")</f>
        <v>Superficie de la concession//Size of the concession area</v>
      </c>
      <c r="H52" s="127" t="str">
        <f>IF(C52&lt;&gt;"",IF(D52&lt;&gt;"",C52&amp;"--"&amp;D52,C52),"")</f>
        <v>3,000 hectares. The company or business organization, once incorporated, has the right to get additional land based on its performance, accomplishment and need.--Arts. 1.1, 3.5</v>
      </c>
    </row>
    <row r="53" spans="1:8">
      <c r="A53" s="14"/>
      <c r="B53" s="14"/>
      <c r="C53" s="167"/>
      <c r="D53" s="156"/>
      <c r="E53" s="156"/>
      <c r="F53" s="15"/>
      <c r="G53" s="16" t="str">
        <f>IF(OR(Table1[[#This Row],[English]]&lt;&gt;"",Table1[[#This Row],[Français]]&lt;&gt;""),Table1[[#This Row],[Français]]&amp;"//"&amp;Table1[[#This Row],[English]],"")</f>
        <v/>
      </c>
      <c r="H53" s="17" t="str">
        <f t="shared" si="0"/>
        <v/>
      </c>
    </row>
    <row r="54" spans="1:8" ht="49.5" customHeight="1">
      <c r="A54" s="62" t="s">
        <v>58</v>
      </c>
      <c r="B54" s="63" t="s">
        <v>188</v>
      </c>
      <c r="C54" s="168"/>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c r="A55" s="75" t="s">
        <v>59</v>
      </c>
      <c r="B55" s="67" t="s">
        <v>60</v>
      </c>
      <c r="C55" s="166"/>
      <c r="D55" s="155"/>
      <c r="E55" s="155"/>
      <c r="F55" s="68"/>
      <c r="G55" s="69" t="str">
        <f>IF(OR(Table1[[#This Row],[English]]&lt;&gt;"",Table1[[#This Row],[Français]]&lt;&gt;""),Table1[[#This Row],[Français]]&amp;"//"&amp;Table1[[#This Row],[English]],"")</f>
        <v>Convention de développement local//Local development agreement</v>
      </c>
      <c r="H55" s="70" t="str">
        <f t="shared" si="0"/>
        <v/>
      </c>
    </row>
    <row r="56" spans="1:8">
      <c r="A56" s="10" t="s">
        <v>225</v>
      </c>
      <c r="B56" s="10" t="s">
        <v>61</v>
      </c>
      <c r="C56" s="165"/>
      <c r="D56" s="10"/>
      <c r="E56" s="10"/>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
      </c>
    </row>
    <row r="57" spans="1:8" ht="46.5">
      <c r="A57" s="71" t="s">
        <v>228</v>
      </c>
      <c r="B57" s="67" t="s">
        <v>62</v>
      </c>
      <c r="C57" s="166"/>
      <c r="D57" s="155"/>
      <c r="E57" s="155"/>
      <c r="F57" s="73"/>
      <c r="G57" s="74" t="str">
        <f>IF(OR(Table1[[#This Row],[English]]&lt;&gt;"",Table1[[#This Row],[Français]]&lt;&gt;""),Table1[[#This Row],[Français]]&amp;"//"&amp;Table1[[#This Row],[English]],"")</f>
        <v xml:space="preserve">Consultations communautaires requises//Requirements for community consultation </v>
      </c>
      <c r="H57" s="70" t="str">
        <f t="shared" si="0"/>
        <v/>
      </c>
    </row>
    <row r="58" spans="1:8" ht="24" customHeight="1">
      <c r="A58" s="10" t="s">
        <v>229</v>
      </c>
      <c r="B58" s="10" t="s">
        <v>63</v>
      </c>
      <c r="C58" s="165"/>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87" customHeight="1">
      <c r="A59" s="71" t="s">
        <v>226</v>
      </c>
      <c r="B59" s="67" t="s">
        <v>64</v>
      </c>
      <c r="C59" s="171"/>
      <c r="D59" s="71"/>
      <c r="E59" s="71"/>
      <c r="F59" s="73"/>
      <c r="G59" s="74" t="str">
        <f>IF(OR(Table1[[#This Row],[English]]&lt;&gt;"",Table1[[#This Row],[Français]]&lt;&gt;""),Table1[[#This Row],[Français]]&amp;"//"&amp;Table1[[#This Row],[English]],"")</f>
        <v>Obligations liées à l'emploi du personnel local//Local employment requirements</v>
      </c>
      <c r="H59" s="70" t="str">
        <f t="shared" si="0"/>
        <v/>
      </c>
    </row>
    <row r="60" spans="1:8" ht="164.25" customHeight="1">
      <c r="A60" s="71" t="s">
        <v>227</v>
      </c>
      <c r="B60" s="67" t="s">
        <v>65</v>
      </c>
      <c r="C60" s="166"/>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5"/>
      <c r="D61" s="10"/>
      <c r="E61" s="10"/>
      <c r="F61" s="22"/>
      <c r="G61" s="23" t="str">
        <f>IF(OR(Table1[[#This Row],[English]]&lt;&gt;"",Table1[[#This Row],[Français]]&lt;&gt;""),Table1[[#This Row],[Français]]&amp;"//"&amp;Table1[[#This Row],[English]],"")</f>
        <v>Assurance//Insurance</v>
      </c>
      <c r="H61" s="13" t="str">
        <f t="shared" si="0"/>
        <v/>
      </c>
    </row>
    <row r="62" spans="1:8" ht="20.25" customHeight="1">
      <c r="A62" s="76" t="s">
        <v>202</v>
      </c>
      <c r="B62" s="76" t="s">
        <v>203</v>
      </c>
      <c r="C62" s="171"/>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2" t="s">
        <v>881</v>
      </c>
      <c r="B63" s="132" t="s">
        <v>218</v>
      </c>
      <c r="C63" s="172"/>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64" customHeight="1">
      <c r="A64" s="124" t="s">
        <v>181</v>
      </c>
      <c r="B64" s="10" t="s">
        <v>180</v>
      </c>
      <c r="C64" s="173"/>
      <c r="D64" s="10"/>
      <c r="E64" s="10"/>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
      </c>
    </row>
    <row r="65" spans="1:8" ht="161.25" customHeight="1">
      <c r="A65" s="83" t="s">
        <v>183</v>
      </c>
      <c r="B65" s="82" t="s">
        <v>182</v>
      </c>
      <c r="C65" s="174" t="s">
        <v>906</v>
      </c>
      <c r="D65" s="76" t="s">
        <v>895</v>
      </c>
      <c r="E65" s="76" t="s">
        <v>896</v>
      </c>
      <c r="F65" s="73"/>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The Government shall ensure that during the period of the lease, Nega Mamay Mihret, or the company or business organization incorporated for the purposes of the agreement, shall enjoy peaceful and trouble-free possession of the premises and be provided with adequate security, on request and free of cost, for carrying out its activities in that premises, against any riot, disturbance or any other turbulent time, other than force majeure. The Government shall protect the right of Nega Mamay Mihret, or the company or business organization incorporated for the purposes of the agreement, to the peaceful possession, use and quiet enjoyment of the leased area. --Arts. 6.6, 14</v>
      </c>
    </row>
    <row r="66" spans="1:8" ht="34" customHeight="1">
      <c r="A66" s="145" t="s">
        <v>185</v>
      </c>
      <c r="B66" s="146" t="s">
        <v>186</v>
      </c>
      <c r="C66" s="175"/>
      <c r="D66" s="159"/>
      <c r="E66" s="147"/>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
      </c>
    </row>
    <row r="67" spans="1:8" ht="61.5" customHeight="1">
      <c r="A67" s="123" t="s">
        <v>211</v>
      </c>
      <c r="B67" s="119" t="s">
        <v>210</v>
      </c>
      <c r="C67" s="170"/>
      <c r="D67" s="10"/>
      <c r="E67" s="10"/>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
      </c>
    </row>
    <row r="68" spans="1:8" ht="31">
      <c r="A68" s="83" t="s">
        <v>173</v>
      </c>
      <c r="B68" s="82" t="s">
        <v>171</v>
      </c>
      <c r="C68" s="166"/>
      <c r="D68" s="155"/>
      <c r="E68" s="155"/>
      <c r="F68" s="73"/>
      <c r="G68" s="74" t="str">
        <f>IF(OR(Table1[[#This Row],[English]]&lt;&gt;"",Table1[[#This Row],[Français]]&lt;&gt;""),Table1[[#This Row],[Français]]&amp;"//"&amp;Table1[[#This Row],[English]],"")</f>
        <v>Autre - [le nom de catégorie]//Other - [Name of Category]</v>
      </c>
      <c r="H68" s="70" t="str">
        <f t="shared" si="0"/>
        <v/>
      </c>
    </row>
    <row r="69" spans="1:8">
      <c r="A69" s="24"/>
      <c r="B69" s="24"/>
      <c r="C69" s="182"/>
      <c r="D69" s="195"/>
      <c r="E69" s="195"/>
      <c r="F69" s="15"/>
      <c r="G69" s="16" t="str">
        <f>IF(OR(Table1[[#This Row],[English]]&lt;&gt;"",Table1[[#This Row],[Français]]&lt;&gt;""),Table1[[#This Row],[Français]]&amp;"//"&amp;Table1[[#This Row],[English]],"")</f>
        <v/>
      </c>
      <c r="H69" s="25" t="str">
        <f t="shared" si="0"/>
        <v/>
      </c>
    </row>
    <row r="70" spans="1:8" ht="29.25" customHeight="1">
      <c r="A70" s="62" t="s">
        <v>68</v>
      </c>
      <c r="B70" s="26" t="s">
        <v>69</v>
      </c>
      <c r="C70" s="168"/>
      <c r="D70" s="157"/>
      <c r="E70" s="157"/>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4" t="s">
        <v>70</v>
      </c>
      <c r="B71" s="85" t="s">
        <v>71</v>
      </c>
      <c r="C71" s="85"/>
      <c r="D71" s="151"/>
      <c r="E71" s="151"/>
      <c r="F71" s="86"/>
      <c r="G71" s="87" t="str">
        <f>IF(OR(Table1[[#This Row],[English]]&lt;&gt;"",Table1[[#This Row],[Français]]&lt;&gt;""),Table1[[#This Row],[Français]]&amp;"//"&amp;Table1[[#This Row],[English]],"")</f>
        <v>Taxe minière / redevance//Mining tax / royalty tax</v>
      </c>
      <c r="H71" s="88" t="str">
        <f t="shared" si="0"/>
        <v/>
      </c>
    </row>
    <row r="72" spans="1:8" ht="36" customHeight="1">
      <c r="A72" s="84" t="s">
        <v>72</v>
      </c>
      <c r="B72" s="85" t="s">
        <v>73</v>
      </c>
      <c r="C72" s="176"/>
      <c r="D72" s="151"/>
      <c r="E72" s="151"/>
      <c r="F72" s="86"/>
      <c r="G72" s="87" t="str">
        <f>IF(OR(Table1[[#This Row],[English]]&lt;&gt;"",Table1[[#This Row],[Français]]&lt;&gt;""),Table1[[#This Row],[Français]]&amp;"//"&amp;Table1[[#This Row],[English]],"")</f>
        <v>Impôt sur les bénéfices: taux//Income tax: rate</v>
      </c>
      <c r="H72" s="88" t="str">
        <f t="shared" si="0"/>
        <v/>
      </c>
    </row>
    <row r="73" spans="1:8" ht="99" customHeight="1">
      <c r="A73" s="85" t="s">
        <v>219</v>
      </c>
      <c r="B73" s="85" t="s">
        <v>74</v>
      </c>
      <c r="C73" s="176" t="s">
        <v>905</v>
      </c>
      <c r="D73" s="160" t="s">
        <v>845</v>
      </c>
      <c r="E73" s="160" t="s">
        <v>846</v>
      </c>
      <c r="F73" s="222"/>
      <c r="G73" s="87" t="str">
        <f>IF(OR(Table1[[#This Row],[English]]&lt;&gt;"",Table1[[#This Row],[Français]]&lt;&gt;""),Table1[[#This Row],[Français]]&amp;"//"&amp;Table1[[#This Row],[English]],"")</f>
        <v>Impôt sur les bénéfices: exonération//Income tax: exemptions</v>
      </c>
      <c r="H73" s="88" t="str">
        <f t="shared" si="0"/>
        <v>The Government undertakes to provide special investment privileges such as exemptions from taxation and import duties of capital goods and repatriation of capital and profits granted under the investment laws of Ethiopia--Art. 6.2</v>
      </c>
    </row>
    <row r="74" spans="1:8" ht="46.5">
      <c r="A74" s="85" t="s">
        <v>220</v>
      </c>
      <c r="B74" s="85" t="s">
        <v>75</v>
      </c>
      <c r="C74" s="177"/>
      <c r="D74" s="160"/>
      <c r="E74" s="160"/>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
      </c>
    </row>
    <row r="75" spans="1:8" ht="45.75" customHeight="1">
      <c r="A75" s="106" t="s">
        <v>195</v>
      </c>
      <c r="B75" s="106" t="s">
        <v>882</v>
      </c>
      <c r="C75" s="178"/>
      <c r="D75" s="106"/>
      <c r="E75" s="106"/>
      <c r="F75" s="107"/>
      <c r="G75"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9" t="str">
        <f>IF(C75&lt;&gt;"",IF(D75&lt;&gt;"",C75&amp;"--"&amp;D75,C75),"")</f>
        <v/>
      </c>
    </row>
    <row r="76" spans="1:8" ht="34.5" customHeight="1">
      <c r="A76" s="106" t="s">
        <v>196</v>
      </c>
      <c r="B76" s="106" t="s">
        <v>883</v>
      </c>
      <c r="C76" s="178"/>
      <c r="D76" s="106"/>
      <c r="E76" s="106"/>
      <c r="F76" s="107"/>
      <c r="G76"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9" t="str">
        <f>IF(C76&lt;&gt;"",IF(D76&lt;&gt;"",C76&amp;"--"&amp;D76,C76),"")</f>
        <v/>
      </c>
    </row>
    <row r="77" spans="1:8" ht="31">
      <c r="A77" s="106" t="s">
        <v>884</v>
      </c>
      <c r="B77" s="106" t="s">
        <v>76</v>
      </c>
      <c r="C77" s="178"/>
      <c r="D77" s="106"/>
      <c r="E77" s="106"/>
      <c r="F77" s="107"/>
      <c r="G77" s="108" t="str">
        <f>IF(OR(Table1[[#This Row],[English]]&lt;&gt;"",Table1[[#This Row],[Français]]&lt;&gt;""),Table1[[#This Row],[Français]]&amp;"//"&amp;Table1[[#This Row],[English]],"")</f>
        <v>Contrat de Service - Frais du détenteur du titre défrayés (base de calcul)//Service Agreement - Fee to developer / contractor (basis for calculation)</v>
      </c>
      <c r="H77" s="109" t="str">
        <f>IF(C77&lt;&gt;"",IF(D77&lt;&gt;"",C77&amp;"--"&amp;D77,C77),"")</f>
        <v/>
      </c>
    </row>
    <row r="78" spans="1:8" ht="26.25" customHeight="1">
      <c r="A78" s="89" t="s">
        <v>230</v>
      </c>
      <c r="B78" s="89" t="s">
        <v>77</v>
      </c>
      <c r="C78" s="174"/>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26.25" customHeight="1">
      <c r="A79" s="128" t="s">
        <v>198</v>
      </c>
      <c r="B79" s="128" t="s">
        <v>204</v>
      </c>
      <c r="C79" s="170"/>
      <c r="D79" s="27"/>
      <c r="E79" s="27"/>
      <c r="F79" s="129"/>
      <c r="G79" s="130" t="str">
        <f>IF(OR(Table1[[#This Row],[English]]&lt;&gt;"",Table1[[#This Row],[Français]]&lt;&gt;""),Table1[[#This Row],[Français]]&amp;"//"&amp;Table1[[#This Row],[English]],"")</f>
        <v>Retenue à la source sur les intérêts et/ou dividendes//Withholding tax on payment of interest and/or dividends</v>
      </c>
      <c r="H79" s="131" t="str">
        <f>IF(C79&lt;&gt;"",IF(D79&lt;&gt;"",C79&amp;"--"&amp;D79,C79),"")</f>
        <v/>
      </c>
    </row>
    <row r="80" spans="1:8">
      <c r="A80" s="27" t="s">
        <v>78</v>
      </c>
      <c r="B80" s="27" t="s">
        <v>79</v>
      </c>
      <c r="C80" s="173"/>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80</v>
      </c>
      <c r="B81" s="27" t="s">
        <v>81</v>
      </c>
      <c r="C81" s="192"/>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1">
      <c r="A82" s="27" t="s">
        <v>82</v>
      </c>
      <c r="B82" s="27" t="s">
        <v>83</v>
      </c>
      <c r="C82" s="192"/>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8" t="s">
        <v>84</v>
      </c>
      <c r="B83" s="27" t="s">
        <v>85</v>
      </c>
      <c r="C83" s="192"/>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86</v>
      </c>
      <c r="B84" s="27" t="s">
        <v>87</v>
      </c>
      <c r="C84" s="179"/>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88</v>
      </c>
      <c r="B85" s="27" t="s">
        <v>89</v>
      </c>
      <c r="C85" s="179"/>
      <c r="D85" s="27"/>
      <c r="E85" s="27"/>
      <c r="F85" s="29"/>
      <c r="G85" s="30" t="str">
        <f>IF(OR(Table1[[#This Row],[English]]&lt;&gt;"",Table1[[#This Row],[Français]]&lt;&gt;""),Table1[[#This Row],[Français]]&amp;"//"&amp;Table1[[#This Row],[English]],"")</f>
        <v>Méthode d’évaluation de prix //Method for evaluating price</v>
      </c>
      <c r="H85" s="31" t="str">
        <f t="shared" si="0"/>
        <v/>
      </c>
    </row>
    <row r="86" spans="1:8">
      <c r="A86" s="27" t="s">
        <v>90</v>
      </c>
      <c r="B86" s="27" t="s">
        <v>91</v>
      </c>
      <c r="C86" s="179"/>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92</v>
      </c>
      <c r="B87" s="27" t="s">
        <v>93</v>
      </c>
      <c r="C87" s="179"/>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94</v>
      </c>
      <c r="B88" s="27" t="s">
        <v>95</v>
      </c>
      <c r="C88" s="180"/>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96</v>
      </c>
      <c r="B89" s="27" t="s">
        <v>97</v>
      </c>
      <c r="C89" s="179"/>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98</v>
      </c>
      <c r="B90" s="27" t="s">
        <v>214</v>
      </c>
      <c r="C90" s="179"/>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ht="93" customHeight="1">
      <c r="A91" s="27" t="s">
        <v>99</v>
      </c>
      <c r="B91" s="27" t="s">
        <v>100</v>
      </c>
      <c r="C91" s="27" t="s">
        <v>905</v>
      </c>
      <c r="D91" s="27" t="s">
        <v>845</v>
      </c>
      <c r="E91" s="27" t="s">
        <v>846</v>
      </c>
      <c r="F91" s="29"/>
      <c r="G91" s="30" t="str">
        <f>IF(OR(Table1[[#This Row],[English]]&lt;&gt;"",Table1[[#This Row],[Français]]&lt;&gt;""),Table1[[#This Row],[Français]]&amp;"//"&amp;Table1[[#This Row],[English]],"")</f>
        <v>Droits de douane pour le matériel de traitement//Custom duties on processing equipment</v>
      </c>
      <c r="H91" s="31" t="str">
        <f t="shared" si="0"/>
        <v>The Government undertakes to provide special investment privileges such as exemptions from taxation and import duties of capital goods and repatriation of capital and profits granted under the investment laws of Ethiopia--Art. 6.2</v>
      </c>
    </row>
    <row r="92" spans="1:8" ht="98.25" customHeight="1">
      <c r="A92" s="27" t="s">
        <v>101</v>
      </c>
      <c r="B92" s="27" t="s">
        <v>102</v>
      </c>
      <c r="C92" s="27" t="s">
        <v>905</v>
      </c>
      <c r="D92" s="27" t="s">
        <v>845</v>
      </c>
      <c r="E92" s="27" t="s">
        <v>846</v>
      </c>
      <c r="F92" s="29"/>
      <c r="G92" s="30" t="str">
        <f>IF(OR(Table1[[#This Row],[English]]&lt;&gt;"",Table1[[#This Row],[Français]]&lt;&gt;""),Table1[[#This Row],[Français]]&amp;"//"&amp;Table1[[#This Row],[English]],"")</f>
        <v>Droits de douane pour le matériel de transformation//Custom duties on transformation equipment</v>
      </c>
      <c r="H92" s="31" t="str">
        <f t="shared" si="0"/>
        <v>The Government undertakes to provide special investment privileges such as exemptions from taxation and import duties of capital goods and repatriation of capital and profits granted under the investment laws of Ethiopia--Art. 6.2</v>
      </c>
    </row>
    <row r="93" spans="1:8" ht="113.25" customHeight="1">
      <c r="A93" s="27" t="s">
        <v>103</v>
      </c>
      <c r="B93" s="27" t="s">
        <v>104</v>
      </c>
      <c r="C93" s="27" t="s">
        <v>905</v>
      </c>
      <c r="D93" s="27" t="s">
        <v>845</v>
      </c>
      <c r="E93" s="27" t="s">
        <v>846</v>
      </c>
      <c r="F93" s="29"/>
      <c r="G93" s="30" t="str">
        <f>IF(OR(Table1[[#This Row],[English]]&lt;&gt;"",Table1[[#This Row],[Français]]&lt;&gt;""),Table1[[#This Row],[Français]]&amp;"//"&amp;Table1[[#This Row],[English]],"")</f>
        <v>Droits de douane pour le matériel de transport//Custom duties on transportation equipment</v>
      </c>
      <c r="H93" s="31" t="str">
        <f t="shared" si="0"/>
        <v>The Government undertakes to provide special investment privileges such as exemptions from taxation and import duties of capital goods and repatriation of capital and profits granted under the investment laws of Ethiopia--Art. 6.2</v>
      </c>
    </row>
    <row r="94" spans="1:8">
      <c r="A94" s="27" t="s">
        <v>105</v>
      </c>
      <c r="B94" s="27" t="s">
        <v>106</v>
      </c>
      <c r="C94" s="179"/>
      <c r="D94" s="27"/>
      <c r="E94" s="27"/>
      <c r="F94" s="29"/>
      <c r="G94" s="30" t="str">
        <f>IF(OR(Table1[[#This Row],[English]]&lt;&gt;"",Table1[[#This Row],[Français]]&lt;&gt;""),Table1[[#This Row],[Français]]&amp;"//"&amp;Table1[[#This Row],[English]],"")</f>
        <v>TVA//VAT</v>
      </c>
      <c r="H94" s="31" t="str">
        <f t="shared" si="0"/>
        <v/>
      </c>
    </row>
    <row r="95" spans="1:8" ht="50.25" customHeight="1">
      <c r="A95" s="27" t="s">
        <v>107</v>
      </c>
      <c r="B95" s="27" t="s">
        <v>885</v>
      </c>
      <c r="C95" s="179"/>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108</v>
      </c>
      <c r="B96" s="27" t="s">
        <v>109</v>
      </c>
      <c r="C96" s="179"/>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2" si="2">IF(C96&lt;&gt;"",IF(D96&lt;&gt;"",C96&amp;"--"&amp;D96,C96),"")</f>
        <v/>
      </c>
    </row>
    <row r="97" spans="1:8" ht="303.75" customHeight="1">
      <c r="A97" s="128" t="s">
        <v>110</v>
      </c>
      <c r="B97" s="128" t="s">
        <v>111</v>
      </c>
      <c r="C97" s="181" t="s">
        <v>894</v>
      </c>
      <c r="D97" s="27" t="s">
        <v>856</v>
      </c>
      <c r="E97" s="27" t="s">
        <v>857</v>
      </c>
      <c r="F97" s="226"/>
      <c r="G97" s="130" t="str">
        <f>IF(OR(Table1[[#This Row],[English]]&lt;&gt;"",Table1[[#This Row],[Français]]&lt;&gt;""),Table1[[#This Row],[Français]]&amp;"//"&amp;Table1[[#This Row],[English]],"")</f>
        <v>Redevances superficiaires//Surface fees</v>
      </c>
      <c r="H97" s="131" t="str">
        <f t="shared" si="2"/>
        <v>There shall be a 3-year grace period for the land rent. The rent during this period will be prorated over the remaining years annually, commencing from the date of execution of the agreement. After 3 years, the annual lease rate per hectare for use of agricultural investment shall be birr 111 per hectare (making a total of birr 333,000 for all hectares). The total amount payment of contract will be birr 8,325,000. There shall be 1 year down payment for the land. The Ministry of Agriculture reserves the right to revise the lease payment rate as the need may arise. Once the annual land lease rent becomes payable upon completion of the grace period, Nega Mamay Mihret, or the company or business organization incorporated for the purposes of the agreement, has the obligation to settle the current annual land rent, including the prorated amount of the grace period, to the regions where the land is located during the months December up to June every year as per predetermined lease rate for rural lands.--Arts. 2.2, 4.8</v>
      </c>
    </row>
    <row r="98" spans="1:8">
      <c r="A98" s="27" t="s">
        <v>112</v>
      </c>
      <c r="B98" s="27" t="s">
        <v>113</v>
      </c>
      <c r="C98" s="179"/>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25" customHeight="1">
      <c r="A99" s="27" t="s">
        <v>194</v>
      </c>
      <c r="B99" s="27" t="s">
        <v>167</v>
      </c>
      <c r="C99" s="181"/>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5" t="s">
        <v>114</v>
      </c>
      <c r="B100" s="89" t="s">
        <v>115</v>
      </c>
      <c r="C100" s="177"/>
      <c r="D100" s="160"/>
      <c r="E100" s="160"/>
      <c r="F100" s="86"/>
      <c r="G100" s="87" t="str">
        <f>IF(OR(Table1[[#This Row],[English]]&lt;&gt;"",Table1[[#This Row],[Français]]&lt;&gt;""),Table1[[#This Row],[Français]]&amp;"//"&amp;Table1[[#This Row],[English]],"")</f>
        <v>Primes//Bonuses</v>
      </c>
      <c r="H100" s="88" t="str">
        <f t="shared" si="2"/>
        <v/>
      </c>
    </row>
    <row r="101" spans="1:8" ht="31.5" customHeight="1">
      <c r="A101" s="85" t="s">
        <v>116</v>
      </c>
      <c r="B101" s="89" t="s">
        <v>117</v>
      </c>
      <c r="C101" s="176"/>
      <c r="D101" s="151"/>
      <c r="E101" s="151"/>
      <c r="F101" s="86"/>
      <c r="G101" s="87" t="str">
        <f>IF(OR(Table1[[#This Row],[English]]&lt;&gt;"",Table1[[#This Row],[Français]]&lt;&gt;""),Table1[[#This Row],[Français]]&amp;"//"&amp;Table1[[#This Row],[English]],"")</f>
        <v>Participation de l'Etat//State participation</v>
      </c>
      <c r="H101" s="88" t="str">
        <f t="shared" si="2"/>
        <v/>
      </c>
    </row>
    <row r="102" spans="1:8">
      <c r="A102" s="85" t="s">
        <v>118</v>
      </c>
      <c r="B102" s="85" t="s">
        <v>119</v>
      </c>
      <c r="C102" s="177"/>
      <c r="D102" s="160"/>
      <c r="E102" s="160"/>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4" t="s">
        <v>192</v>
      </c>
      <c r="B103" s="104" t="s">
        <v>191</v>
      </c>
      <c r="C103" s="176"/>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53" customHeight="1">
      <c r="A104" s="85" t="s">
        <v>120</v>
      </c>
      <c r="B104" s="85" t="s">
        <v>121</v>
      </c>
      <c r="C104" s="204" t="s">
        <v>912</v>
      </c>
      <c r="D104" s="151" t="s">
        <v>913</v>
      </c>
      <c r="E104" s="151" t="s">
        <v>914</v>
      </c>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Dividing the leased land among shareholders to develop in an independent way or subleasing to any party is strictly forbidden and shall result in the termination of the agreement--Art. 411</v>
      </c>
    </row>
    <row r="105" spans="1:8" ht="27.75" customHeight="1">
      <c r="A105" s="83" t="s">
        <v>173</v>
      </c>
      <c r="B105" s="82" t="s">
        <v>171</v>
      </c>
      <c r="C105" s="176"/>
      <c r="D105" s="89"/>
      <c r="E105" s="151"/>
      <c r="F105" s="86"/>
      <c r="G105" s="87" t="str">
        <f>IF(OR(Table1[[#This Row],[English]]&lt;&gt;"",Table1[[#This Row],[Français]]&lt;&gt;""),Table1[[#This Row],[Français]]&amp;"//"&amp;Table1[[#This Row],[English]],"")</f>
        <v>Autre - [le nom de catégorie]//Other - [Name of Category]</v>
      </c>
      <c r="H105" s="88" t="str">
        <f t="shared" si="2"/>
        <v/>
      </c>
    </row>
    <row r="106" spans="1:8">
      <c r="A106" s="153"/>
      <c r="B106" s="34"/>
      <c r="C106" s="197"/>
      <c r="D106" s="152"/>
      <c r="E106" s="152"/>
      <c r="F106" s="15"/>
      <c r="G106" s="16" t="str">
        <f>IF(OR(Table1[[#This Row],[English]]&lt;&gt;"",Table1[[#This Row],[Français]]&lt;&gt;""),Table1[[#This Row],[Français]]&amp;"//"&amp;Table1[[#This Row],[English]],"")</f>
        <v/>
      </c>
      <c r="H106" s="35" t="str">
        <f t="shared" si="2"/>
        <v/>
      </c>
    </row>
    <row r="107" spans="1:8" ht="31">
      <c r="A107" s="62" t="s">
        <v>187</v>
      </c>
      <c r="B107" s="63" t="s">
        <v>122</v>
      </c>
      <c r="C107" s="168"/>
      <c r="D107" s="157"/>
      <c r="E107" s="157"/>
      <c r="F107" s="18"/>
      <c r="G107" s="19" t="str">
        <f>IF(OR(Table1[[#This Row],[English]]&lt;&gt;"",Table1[[#This Row],[Français]]&lt;&gt;""),Table1[[#This Row],[Français]]&amp;"//"&amp;Table1[[#This Row],[English]],"")</f>
        <v>4. Dispositions environnementales //4. Environmental provisions</v>
      </c>
      <c r="H107" s="20" t="str">
        <f t="shared" si="2"/>
        <v/>
      </c>
    </row>
    <row r="108" spans="1:8" ht="71.25" customHeight="1">
      <c r="A108" s="93" t="s">
        <v>207</v>
      </c>
      <c r="B108" s="93" t="s">
        <v>215</v>
      </c>
      <c r="C108" s="164" t="s">
        <v>886</v>
      </c>
      <c r="D108" s="71" t="s">
        <v>847</v>
      </c>
      <c r="E108" s="71" t="s">
        <v>848</v>
      </c>
      <c r="F108" s="68"/>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Nega Mamay Mihret, or the company or business organization incorporated for the purposes of the agreement, bears an obligation to conduct environmental impact assessment and deliver the report within 3 months of execution of the agreement--Art. 4.1(d)</v>
      </c>
    </row>
    <row r="109" spans="1:8" ht="31">
      <c r="A109" s="124" t="s">
        <v>209</v>
      </c>
      <c r="B109" s="124" t="s">
        <v>208</v>
      </c>
      <c r="C109" s="183"/>
      <c r="D109" s="10"/>
      <c r="E109" s="10"/>
      <c r="F109" s="142"/>
      <c r="G109"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4" t="str">
        <f t="shared" si="2"/>
        <v/>
      </c>
    </row>
    <row r="110" spans="1:8" ht="46.5">
      <c r="A110" s="94" t="s">
        <v>221</v>
      </c>
      <c r="B110" s="95" t="s">
        <v>176</v>
      </c>
      <c r="C110" s="174"/>
      <c r="D110" s="82"/>
      <c r="E110" s="94"/>
      <c r="F110" s="96"/>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
      </c>
    </row>
    <row r="111" spans="1:8" ht="142.5" customHeight="1">
      <c r="A111" s="118" t="s">
        <v>206</v>
      </c>
      <c r="B111" s="118" t="s">
        <v>205</v>
      </c>
      <c r="C111" s="181" t="s">
        <v>907</v>
      </c>
      <c r="D111" s="56" t="s">
        <v>849</v>
      </c>
      <c r="E111" s="196" t="s">
        <v>848</v>
      </c>
      <c r="F111" s="120"/>
      <c r="G111"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22" t="str">
        <f>IF(C111&lt;&gt;"",IF(D111&lt;&gt;"",C111&amp;"--"&amp;D111,C111),"")</f>
        <v>Nega Mamay Mihret, or the company or business organization incorporated for the purposes of the agreement, shall bear the obligation to provide good care and conservation of the leased land, with particular obligations to: (a) conserve tree plantations that have not been cleared for earth works, (b) apply appropriate working methods to prevent soil erosion in "slopping" areas, and (c) observe and implement all laws providing for natural resource conservation--Art. 4.1</v>
      </c>
    </row>
    <row r="112" spans="1:8" ht="45" customHeight="1">
      <c r="A112" s="83" t="s">
        <v>233</v>
      </c>
      <c r="B112" s="82" t="s">
        <v>232</v>
      </c>
      <c r="C112" s="164"/>
      <c r="D112" s="76"/>
      <c r="E112" s="76"/>
      <c r="F112" s="68"/>
      <c r="G112" s="69" t="str">
        <f>IF(OR(Table1[[#This Row],[English]]&lt;&gt;"",Table1[[#This Row],[Français]]&lt;&gt;""),Table1[[#This Row],[Français]]&amp;"//"&amp;Table1[[#This Row],[English]],"")</f>
        <v>Autre - [Responsabilité environnementale]//Other - [Environmental liability]</v>
      </c>
      <c r="H112" s="70" t="str">
        <f t="shared" si="2"/>
        <v/>
      </c>
    </row>
    <row r="113" spans="1:8">
      <c r="A113" s="37"/>
      <c r="B113" s="38"/>
      <c r="C113" s="184"/>
      <c r="D113" s="200"/>
      <c r="E113" s="200"/>
      <c r="F113" s="15"/>
      <c r="G113" s="16" t="str">
        <f>IF(OR(Table1[[#This Row],[English]]&lt;&gt;"",Table1[[#This Row],[Français]]&lt;&gt;""),Table1[[#This Row],[Français]]&amp;"//"&amp;Table1[[#This Row],[English]],"")</f>
        <v/>
      </c>
      <c r="H113" s="17" t="str">
        <f t="shared" si="2"/>
        <v/>
      </c>
    </row>
    <row r="114" spans="1:8" ht="46.5">
      <c r="A114" s="62" t="s">
        <v>179</v>
      </c>
      <c r="B114" s="18" t="s">
        <v>123</v>
      </c>
      <c r="C114" s="168"/>
      <c r="D114" s="157"/>
      <c r="E114" s="157"/>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89.25" customHeight="1">
      <c r="A115" s="55" t="s">
        <v>177</v>
      </c>
      <c r="B115" s="64" t="s">
        <v>178</v>
      </c>
      <c r="C115" s="185" t="s">
        <v>908</v>
      </c>
      <c r="D115" s="65" t="s">
        <v>850</v>
      </c>
      <c r="E115" s="64" t="s">
        <v>851</v>
      </c>
      <c r="F115" s="64"/>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Nega Mamay Mihret, or the company or business organization incorporated for the purposes of the agreement, has to execute all development activities as per the agreed business plan. Any change or deviation from the business plan has to be reported with justification to the Ministry of Agriculture. --Art. 4.4</v>
      </c>
    </row>
    <row r="116" spans="1:8" ht="257.25" customHeight="1">
      <c r="A116" s="93" t="s">
        <v>124</v>
      </c>
      <c r="B116" s="99" t="s">
        <v>125</v>
      </c>
      <c r="C116" s="164" t="s">
        <v>909</v>
      </c>
      <c r="D116" s="76" t="s">
        <v>897</v>
      </c>
      <c r="E116" s="76" t="s">
        <v>898</v>
      </c>
      <c r="F116" s="68"/>
      <c r="G116" s="69" t="str">
        <f>IF(OR(Table1[[#This Row],[English]]&lt;&gt;"",Table1[[#This Row],[Français]]&lt;&gt;""),Table1[[#This Row],[Français]]&amp;"//"&amp;Table1[[#This Row],[English]],"")</f>
        <v>Obligations de travaux, d'investissements//Work and investment commitments</v>
      </c>
      <c r="H116" s="70" t="str">
        <f t="shared" si="2"/>
        <v>There shall be a 1-year down payment for the land. Nega Mamay Mihret should take over the leased land within 30 days of execution of the agreement by making the down payment of 1 year's rent. Nega Mamay Mihret, or the company or business organization incorporated for the purposes of the agreement, is expected to start developing the land within 6 months of the date of execution of the agreement, or from the date that it receives final clearance from the Government, whichever is later. Nega Mamay Mihret, or the company or business organization incorporated for the purposes of the agreement, has to execute all development activities as per the agreed business plan. It shall develop 1/3 of the leased plot of land within the first year from the date of signing of the agreement or from the date of receipt of all clearances from the Government, whichever is later. It shall develop the entire plot of leased land within 3 years.--Arts. 2.2.4, 4.2-4.5, 4.10</v>
      </c>
    </row>
    <row r="117" spans="1:8">
      <c r="A117" s="36" t="s">
        <v>126</v>
      </c>
      <c r="B117" s="36" t="s">
        <v>127</v>
      </c>
      <c r="C117" s="186"/>
      <c r="D117" s="10"/>
      <c r="E117" s="10"/>
      <c r="F117" s="11"/>
      <c r="G117" s="12" t="str">
        <f>IF(OR(Table1[[#This Row],[English]]&lt;&gt;"",Table1[[#This Row],[Français]]&lt;&gt;""),Table1[[#This Row],[Français]]&amp;"//"&amp;Table1[[#This Row],[English]],"")</f>
        <v>Rétrocession//Transfer of risk</v>
      </c>
      <c r="H117" s="13" t="str">
        <f t="shared" si="2"/>
        <v/>
      </c>
    </row>
    <row r="118" spans="1:8" ht="169.5" customHeight="1">
      <c r="A118" s="67" t="s">
        <v>128</v>
      </c>
      <c r="B118" s="67" t="s">
        <v>129</v>
      </c>
      <c r="C118" s="164" t="s">
        <v>910</v>
      </c>
      <c r="D118" s="155" t="s">
        <v>852</v>
      </c>
      <c r="E118" s="155" t="s">
        <v>853</v>
      </c>
      <c r="F118" s="68"/>
      <c r="G118" s="69" t="str">
        <f>IF(OR(Table1[[#This Row],[English]]&lt;&gt;"",Table1[[#This Row],[Français]]&lt;&gt;""),Table1[[#This Row],[Français]]&amp;"//"&amp;Table1[[#This Row],[English]],"")</f>
        <v>Construction et entretien d'infrastructure//Construction and maintenance of infrastructure</v>
      </c>
      <c r="H118" s="70" t="str">
        <f t="shared" si="2"/>
        <v>Nega Mamay Mihret, or the company or business organization incorporated for the purposes of the agreement, has the right to build infrastructure such as dams, water boreholes, power houses, irrigation system, roads, bridges, offices, residential buildings, fuel/power supply stations/outlets, health/hospitals, dispensaries, education facilities at their discretion upon consultation and submission of a permit request with concerned offices, subject to the type and size of the investment project whenever it deems so appropriate--Art. 3.2</v>
      </c>
    </row>
    <row r="119" spans="1:8" ht="15" customHeight="1">
      <c r="A119" s="10" t="s">
        <v>199</v>
      </c>
      <c r="B119" s="10" t="s">
        <v>130</v>
      </c>
      <c r="C119" s="173"/>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c r="A120" s="113" t="s">
        <v>131</v>
      </c>
      <c r="B120" s="114" t="s">
        <v>132</v>
      </c>
      <c r="C120" s="187"/>
      <c r="D120" s="112"/>
      <c r="E120" s="112"/>
      <c r="F120" s="115"/>
      <c r="G120" s="116" t="str">
        <f>IF(OR(Table1[[#This Row],[English]]&lt;&gt;"",Table1[[#This Row],[Français]]&lt;&gt;""),Table1[[#This Row],[Français]]&amp;"//"&amp;Table1[[#This Row],[English]],"")</f>
        <v>Utilisation d’infrastructure par les tiers//Third party use of infrastructure</v>
      </c>
      <c r="H120" s="117" t="str">
        <f t="shared" si="2"/>
        <v/>
      </c>
    </row>
    <row r="121" spans="1:8">
      <c r="A121" s="39" t="s">
        <v>133</v>
      </c>
      <c r="B121" s="33" t="s">
        <v>134</v>
      </c>
      <c r="C121" s="165"/>
      <c r="D121" s="10"/>
      <c r="E121" s="10"/>
      <c r="F121" s="11"/>
      <c r="G121" s="12" t="str">
        <f>IF(OR(Table1[[#This Row],[English]]&lt;&gt;"",Table1[[#This Row],[Français]]&lt;&gt;""),Table1[[#This Row],[Français]]&amp;"//"&amp;Table1[[#This Row],[English]],"")</f>
        <v>Financement d’infrastructure//Financing of infrastructure</v>
      </c>
      <c r="H121" s="13" t="str">
        <f t="shared" si="2"/>
        <v/>
      </c>
    </row>
    <row r="122" spans="1:8" ht="108.75" customHeight="1">
      <c r="A122" s="39" t="s">
        <v>135</v>
      </c>
      <c r="B122" s="33" t="s">
        <v>136</v>
      </c>
      <c r="C122" s="165" t="s">
        <v>892</v>
      </c>
      <c r="D122" s="10" t="s">
        <v>891</v>
      </c>
      <c r="E122" s="10" t="s">
        <v>893</v>
      </c>
      <c r="F122" s="11"/>
      <c r="G122" s="12" t="str">
        <f>IF(OR(Table1[[#This Row],[English]]&lt;&gt;"",Table1[[#This Row],[Français]]&lt;&gt;""),Table1[[#This Row],[Français]]&amp;"//"&amp;Table1[[#This Row],[English]],"")</f>
        <v>Propriété d’infrastructure//Ownership of infrastructure</v>
      </c>
      <c r="H122" s="13" t="str">
        <f t="shared" si="2"/>
        <v>Upon expiry or termination of the contract or revocation of the investment license, Nega Mamay Mihret, or the company or business organization incorporated for the purposes of the agreement, shall remove assets installed on the leased land in good order and hand over the leased land to the Ministry of Agriculture within 1 year--Art. 4.6</v>
      </c>
    </row>
    <row r="123" spans="1:8">
      <c r="A123" s="28" t="s">
        <v>193</v>
      </c>
      <c r="B123" s="27" t="s">
        <v>190</v>
      </c>
      <c r="C123" s="179"/>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175</v>
      </c>
      <c r="B124" s="55" t="s">
        <v>168</v>
      </c>
      <c r="C124" s="181"/>
      <c r="D124" s="56"/>
      <c r="E124" s="196"/>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31">
      <c r="A125" s="137" t="s">
        <v>222</v>
      </c>
      <c r="B125" s="138" t="s">
        <v>169</v>
      </c>
      <c r="C125" s="188"/>
      <c r="D125" s="136"/>
      <c r="E125" s="137"/>
      <c r="F125" s="139"/>
      <c r="G125"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41" t="str">
        <f>IF(C125&lt;&gt;"",IF(D125&lt;&gt;"",C125&amp;"--"&amp;D125,C125),"")</f>
        <v/>
      </c>
    </row>
    <row r="126" spans="1:8" ht="24.75" customHeight="1">
      <c r="A126" s="83" t="s">
        <v>173</v>
      </c>
      <c r="B126" s="205" t="s">
        <v>171</v>
      </c>
      <c r="C126" s="174"/>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201"/>
      <c r="B127" s="40"/>
      <c r="C127" s="202"/>
      <c r="D127" s="203"/>
      <c r="E127" s="203"/>
      <c r="F127" s="15"/>
      <c r="G127" s="16" t="str">
        <f>IF(OR(Table1[[#This Row],[English]]&lt;&gt;"",Table1[[#This Row],[Français]]&lt;&gt;""),Table1[[#This Row],[Français]]&amp;"//"&amp;Table1[[#This Row],[English]],"")</f>
        <v/>
      </c>
      <c r="H127" s="17" t="str">
        <f t="shared" si="2"/>
        <v/>
      </c>
    </row>
    <row r="128" spans="1:8" ht="31">
      <c r="A128" s="21" t="s">
        <v>137</v>
      </c>
      <c r="B128" s="21" t="s">
        <v>138</v>
      </c>
      <c r="C128" s="168"/>
      <c r="D128" s="157"/>
      <c r="E128" s="157"/>
      <c r="F128" s="18"/>
      <c r="G128" s="19" t="str">
        <f>IF(OR(Table1[[#This Row],[English]]&lt;&gt;"",Table1[[#This Row],[Français]]&lt;&gt;""),Table1[[#This Row],[Français]]&amp;"//"&amp;Table1[[#This Row],[English]],"")</f>
        <v>6. Dispositions diverses//6. Miscellaneous provisions</v>
      </c>
      <c r="H128" s="20" t="str">
        <f t="shared" si="2"/>
        <v/>
      </c>
    </row>
    <row r="129" spans="1:8" ht="37" customHeight="1">
      <c r="A129" s="99" t="s">
        <v>139</v>
      </c>
      <c r="B129" s="93" t="s">
        <v>140</v>
      </c>
      <c r="C129" s="164" t="s">
        <v>858</v>
      </c>
      <c r="D129" s="71" t="s">
        <v>859</v>
      </c>
      <c r="E129" s="71" t="s">
        <v>860</v>
      </c>
      <c r="F129" s="68"/>
      <c r="G129" s="69" t="str">
        <f>IF(OR(Table1[[#This Row],[English]]&lt;&gt;"",Table1[[#This Row],[Français]]&lt;&gt;""),Table1[[#This Row],[Français]]&amp;"//"&amp;Table1[[#This Row],[English]],"")</f>
        <v>Loi applicable en cas des différends//Governing law in case of dispute</v>
      </c>
      <c r="H129" s="70" t="str">
        <f t="shared" si="2"/>
        <v>The governing law for operations under the agreement shall be the laws of Ethiopia--Art. 12</v>
      </c>
    </row>
    <row r="130" spans="1:8" ht="151.5" customHeight="1">
      <c r="A130" s="99" t="s">
        <v>141</v>
      </c>
      <c r="B130" s="85" t="s">
        <v>142</v>
      </c>
      <c r="C130" s="164" t="s">
        <v>887</v>
      </c>
      <c r="D130" s="76" t="s">
        <v>861</v>
      </c>
      <c r="E130" s="76" t="s">
        <v>862</v>
      </c>
      <c r="F130" s="68"/>
      <c r="G130" s="69" t="str">
        <f>IF(OR(Table1[[#This Row],[English]]&lt;&gt;"",Table1[[#This Row],[Français]]&lt;&gt;""),Table1[[#This Row],[Français]]&amp;"//"&amp;Table1[[#This Row],[English]],"")</f>
        <v>Arbitrage et règlement des différends//Arbitration and dispute resolution</v>
      </c>
      <c r="H130" s="70" t="str">
        <f t="shared" si="2"/>
        <v>In the event of a dispute arising between the Ministry of Agriculture and Nega Mamay Mihret, or the company or business organization incorporated for the purposes of the agreement, out of or in connection with this agreement, both parties will do their utmost to resolve the dispute amicably and to their mutual satisfaction. If they are unable to achieve such a settlement, the dispute shall be referred to the Ethiopian Federal Court. --Art. 17</v>
      </c>
    </row>
    <row r="131" spans="1:8" ht="41.25" customHeight="1">
      <c r="A131" s="99" t="s">
        <v>143</v>
      </c>
      <c r="B131" s="93" t="s">
        <v>144</v>
      </c>
      <c r="C131" s="176"/>
      <c r="D131" s="71"/>
      <c r="E131" s="71"/>
      <c r="F131" s="68"/>
      <c r="G131" s="69" t="str">
        <f>IF(OR(Table1[[#This Row],[English]]&lt;&gt;"",Table1[[#This Row],[Français]]&lt;&gt;""),Table1[[#This Row],[Français]]&amp;"//"&amp;Table1[[#This Row],[English]],"")</f>
        <v>Clause de stabilisation//Stabilization clause</v>
      </c>
      <c r="H131" s="70" t="str">
        <f t="shared" si="2"/>
        <v/>
      </c>
    </row>
    <row r="132" spans="1:8" ht="244" customHeight="1">
      <c r="A132" s="36" t="s">
        <v>145</v>
      </c>
      <c r="B132" s="10" t="s">
        <v>146</v>
      </c>
      <c r="C132" s="165" t="s">
        <v>888</v>
      </c>
      <c r="D132" s="10" t="s">
        <v>863</v>
      </c>
      <c r="E132" s="10" t="s">
        <v>864</v>
      </c>
      <c r="F132" s="11"/>
      <c r="G132" s="12" t="str">
        <f>IF(OR(Table1[[#This Row],[English]]&lt;&gt;"",Table1[[#This Row],[Français]]&lt;&gt;""),Table1[[#This Row],[Français]]&amp;"//"&amp;Table1[[#This Row],[English]],"")</f>
        <v>Cession / transfert//Assignment / transfer</v>
      </c>
      <c r="H132" s="13" t="str">
        <f t="shared" si="2"/>
        <v>Unless 75% of the project land is developed, Nega Mamay Mihret, or the company or business organization incorporated for the purposes of the agreement, has no right to transfer the land or properties developed on the land in favor of any other company or individual. Upon developing 75% of the land, Nega Mamay Mihret, or the company or business organization incorporated for the purposes of the agreement, can transfer the land or properties developed on the land in favor of any other company or individual only with the prior permit of the lessor. Nega Mamay Mihret, or the company or business organization incorporated for the purposes of the agreement, shall not have the right to transfer the remaining land which is not developed. --Arts. 4.12-4.14</v>
      </c>
    </row>
    <row r="133" spans="1:8" ht="409" customHeight="1">
      <c r="A133" s="36" t="s">
        <v>223</v>
      </c>
      <c r="B133" s="10" t="s">
        <v>147</v>
      </c>
      <c r="C133" s="165" t="s">
        <v>911</v>
      </c>
      <c r="D133" s="10" t="s">
        <v>865</v>
      </c>
      <c r="E133" s="10" t="s">
        <v>899</v>
      </c>
      <c r="F133" s="11"/>
      <c r="G133" s="12" t="str">
        <f>IF(OR(Table1[[#This Row],[English]]&lt;&gt;"",Table1[[#This Row],[Français]]&lt;&gt;""),Table1[[#This Row],[Français]]&amp;"//"&amp;Table1[[#This Row],[English]],"")</f>
        <v>Annulation / Résiliation //Cancellation / termination</v>
      </c>
      <c r="H133" s="13" t="str">
        <f t="shared" si="2"/>
        <v>Nega Mamay Mihret, or the company or business organization incorporated for the purposes of the agreement, has the right to terminate the land lease agreement subject to at least 6 months' prior written notice upon justified good cause. The Ministry of Agriculture has the right to terminate the land lease agreement subject to at least six months' prior written notice (i) upon justified good cause, (ii) on the grounds of failure to develop the land within the time limits in accordance the contract obligation, (iii) upon any damage on the natural resources, or (upon) non-performance of due payment of lease charge.In the case of (ii), (iii) or (iv) above, if Nega Mamy Mihret, or the company or business organization incorporated for the purposes of the agreement, does not address such issue, the Ministry of Agriculture may extended the time period for such compliance or terminate the agreement. The land lease agreement may be terminated for a number of reasons, including upon (9.2) failure of the Ministry of Agriculture to fulfill or observe any of its obligations or covenants in the lease after Nega Mamay Mihret, or the company or business organization incorporated for the purposes of the agreement, has given a written notice of 6 months and the Ministry fails to perform, (9.4) failure of Nega Mamay Mihret, or the company or business organization incorporated for the purposes of the agreement, to settle annual rental and other relevant tax payments for 2 consecutive years, (9.5) failure of Nega Mamay Mihret, or the company or business organization incorporated for the purposes of the agreement, to perform its obligations in the lease after the Ministry has given a 6 months' written notice calling upon them to observe and perform such obligations. The Government has the right to restore any land which is not developed with 6 months' advance notice and after Nega Mamay Mihret has not cured the failure within 1 year. The Government shall issue 6 months' advance notice prior to termination of the agreement on the grounds of (1) failure to develop the land within the time limits set by the agreement, (2) if there is any damage to the natural resources, or (3) non-performance of due payment of lease charge. If the issue is not addressed, the Government may extend the time period for such compliance or terminate the contract in accordance with the terms of the agreement.--Arts. 3.6, 5.4, 6.5, 9</v>
      </c>
    </row>
    <row r="134" spans="1:8">
      <c r="A134" s="33" t="s">
        <v>148</v>
      </c>
      <c r="B134" s="33" t="s">
        <v>149</v>
      </c>
      <c r="C134" s="165"/>
      <c r="D134" s="10"/>
      <c r="E134" s="10"/>
      <c r="F134" s="11"/>
      <c r="G134" s="12" t="str">
        <f>IF(OR(Table1[[#This Row],[English]]&lt;&gt;"",Table1[[#This Row],[Français]]&lt;&gt;""),Table1[[#This Row],[Français]]&amp;"//"&amp;Table1[[#This Row],[English]],"")</f>
        <v>Indemnisation//Indemnification</v>
      </c>
      <c r="H134" s="13" t="str">
        <f t="shared" si="2"/>
        <v/>
      </c>
    </row>
    <row r="135" spans="1:8" ht="54" customHeight="1">
      <c r="A135" s="100" t="s">
        <v>150</v>
      </c>
      <c r="B135" s="76" t="s">
        <v>151</v>
      </c>
      <c r="C135" s="198"/>
      <c r="D135" s="71"/>
      <c r="E135" s="71"/>
      <c r="F135" s="68"/>
      <c r="G135" s="69" t="str">
        <f>IF(OR(Table1[[#This Row],[English]]&lt;&gt;"",Table1[[#This Row],[Français]]&lt;&gt;""),Table1[[#This Row],[Français]]&amp;"//"&amp;Table1[[#This Row],[English]],"")</f>
        <v>Confidentialité//Confidentiality</v>
      </c>
      <c r="H135" s="70" t="str">
        <f t="shared" si="2"/>
        <v/>
      </c>
    </row>
    <row r="136" spans="1:8">
      <c r="A136" s="100" t="s">
        <v>152</v>
      </c>
      <c r="B136" s="76" t="s">
        <v>153</v>
      </c>
      <c r="C136" s="176" t="s">
        <v>750</v>
      </c>
      <c r="D136" s="71"/>
      <c r="E136" s="71"/>
      <c r="F136" s="68"/>
      <c r="G136" s="69" t="str">
        <f>IF(OR(Table1[[#This Row],[English]]&lt;&gt;"",Table1[[#This Row],[Français]]&lt;&gt;""),Table1[[#This Row],[Français]]&amp;"//"&amp;Table1[[#This Row],[English]],"")</f>
        <v>Langue//Language</v>
      </c>
      <c r="H136" s="70" t="str">
        <f>IF(C136&lt;&gt;"",IF(D136&lt;&gt;"",C136&amp;"--"&amp;D136,C136),"")</f>
        <v>ENG</v>
      </c>
    </row>
    <row r="137" spans="1:8" ht="114" customHeight="1">
      <c r="A137" s="10" t="s">
        <v>231</v>
      </c>
      <c r="B137" s="10" t="s">
        <v>184</v>
      </c>
      <c r="C137" s="165" t="s">
        <v>889</v>
      </c>
      <c r="D137" s="10" t="s">
        <v>872</v>
      </c>
      <c r="E137" s="10" t="s">
        <v>873</v>
      </c>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Nega Mamay Mihret, or the company or business organization incorporated for the purposes of the agreement, shall provide correct data and investment activity reports upon request by the Ministry of Agriculture. The Ministry of Agriculture has the right to monitor and establish whether Nega Mamay Mihret, or the company or business organization incorporated for the purposes of the agreement, is discharging and accomplishing its obligations diligently.--Arts. 4.7, 5.1</v>
      </c>
    </row>
    <row r="138" spans="1:8" ht="77.5">
      <c r="A138" s="124" t="s">
        <v>217</v>
      </c>
      <c r="B138" s="124" t="s">
        <v>216</v>
      </c>
      <c r="C138" s="165" t="s">
        <v>868</v>
      </c>
      <c r="D138" s="10" t="s">
        <v>869</v>
      </c>
      <c r="E138" s="10" t="s">
        <v>870</v>
      </c>
      <c r="F138" s="11"/>
      <c r="G138" s="12" t="str">
        <f>IF(OR(Table1[[#This Row],[English]]&lt;&gt;"",Table1[[#This Row],[Français]]&lt;&gt;""),Table1[[#This Row],[Français]]&amp;"//"&amp;Table1[[#This Row],[English]],"")</f>
        <v>Clause de hardship ou force majeure//Hardship clause or force majeure</v>
      </c>
      <c r="H138" s="13" t="str">
        <f t="shared" si="2"/>
        <v>Conditions of force majeure shall be governed by the Ethiopian Civil code--Art. 13</v>
      </c>
    </row>
    <row r="139" spans="1:8">
      <c r="A139" s="10" t="s">
        <v>172</v>
      </c>
      <c r="B139" s="124" t="s">
        <v>170</v>
      </c>
      <c r="C139" s="193"/>
      <c r="D139" s="33"/>
      <c r="E139" s="33"/>
      <c r="F139" s="41"/>
      <c r="G139" s="42" t="str">
        <f>IF(OR(Table1[[#This Row],[English]]&lt;&gt;"",Table1[[#This Row],[Français]]&lt;&gt;""),Table1[[#This Row],[Français]]&amp;"//"&amp;Table1[[#This Row],[English]],"")</f>
        <v>Expropriation//Expropriation / nationalization</v>
      </c>
      <c r="H139" s="43" t="str">
        <f t="shared" si="2"/>
        <v/>
      </c>
    </row>
    <row r="140" spans="1:8">
      <c r="A140" s="83" t="s">
        <v>173</v>
      </c>
      <c r="B140" s="82" t="s">
        <v>171</v>
      </c>
      <c r="C140" s="189"/>
      <c r="D140" s="199"/>
      <c r="E140" s="161"/>
      <c r="F140" s="101"/>
      <c r="G140" s="102" t="str">
        <f>IF(OR(Table1[[#This Row],[English]]&lt;&gt;"",Table1[[#This Row],[Français]]&lt;&gt;""),Table1[[#This Row],[Français]]&amp;"//"&amp;Table1[[#This Row],[English]],"")</f>
        <v>Autre - [le nom de catégorie]//Other - [Name of Category]</v>
      </c>
      <c r="H140" s="103" t="str">
        <f>IF(C140&lt;&gt;"",IF(D140&lt;&gt;"",C140&amp;"--"&amp;D140,C140),"")</f>
        <v/>
      </c>
    </row>
    <row r="141" spans="1:8">
      <c r="A141" s="44"/>
      <c r="B141" s="14"/>
      <c r="C141" s="194"/>
      <c r="D141" s="156"/>
      <c r="E141" s="156"/>
      <c r="F141" s="15"/>
      <c r="G141" s="16" t="str">
        <f>IF(OR(Table1[[#This Row],[English]]&lt;&gt;"",Table1[[#This Row],[Français]]&lt;&gt;""),Table1[[#This Row],[Français]]&amp;"//"&amp;Table1[[#This Row],[English]],"")</f>
        <v/>
      </c>
      <c r="H141" s="17" t="str">
        <f t="shared" si="2"/>
        <v/>
      </c>
    </row>
    <row r="142" spans="1:8" ht="31">
      <c r="A142" s="21" t="s">
        <v>154</v>
      </c>
      <c r="B142" s="21" t="s">
        <v>155</v>
      </c>
      <c r="C142" s="190"/>
      <c r="D142" s="162"/>
      <c r="E142" s="162"/>
      <c r="F142" s="21"/>
      <c r="G142" s="45" t="str">
        <f>IF(OR(Table1[[#This Row],[English]]&lt;&gt;"",Table1[[#This Row],[Français]]&lt;&gt;""),Table1[[#This Row],[Français]]&amp;"//"&amp;Table1[[#This Row],[English]],"")</f>
        <v>III. Notes sur le document//III. Document notes</v>
      </c>
      <c r="H142" s="46" t="str">
        <f t="shared" si="2"/>
        <v/>
      </c>
    </row>
    <row r="143" spans="1:8" ht="77.5">
      <c r="A143" s="10" t="s">
        <v>156</v>
      </c>
      <c r="B143" s="10" t="s">
        <v>890</v>
      </c>
      <c r="C143" s="228"/>
      <c r="D143" s="229"/>
      <c r="E143" s="229"/>
      <c r="F143" s="41"/>
      <c r="G143" s="42" t="str">
        <f>IF(OR(Table1[[#This Row],[English]]&lt;&gt;"",Table1[[#This Row],[Français]]&lt;&gt;""),Table1[[#This Row],[Français]]&amp;"//"&amp;Table1[[#This Row],[English]],"")</f>
        <v>Pages Manquantes de la copie//Pages missing from copy</v>
      </c>
      <c r="H143" s="43" t="str">
        <f>IF(C144&lt;&gt;"",IF(D144&lt;&gt;"",C144&amp;"--"&amp;D144,C144),"")</f>
        <v>The site plan of the leased land and the environmental code of practice--Art. 16</v>
      </c>
    </row>
    <row r="144" spans="1:8" ht="31">
      <c r="A144" s="10" t="s">
        <v>158</v>
      </c>
      <c r="B144" s="10" t="s">
        <v>159</v>
      </c>
      <c r="C144" s="191" t="s">
        <v>866</v>
      </c>
      <c r="D144" s="33" t="s">
        <v>867</v>
      </c>
      <c r="E144" s="33" t="s">
        <v>862</v>
      </c>
      <c r="F144" s="22"/>
      <c r="G144" s="23" t="str">
        <f>IF(OR(Table1[[#This Row],[English]]&lt;&gt;"",Table1[[#This Row],[Français]]&lt;&gt;""),Table1[[#This Row],[Français]]&amp;"//"&amp;Table1[[#This Row],[English]],"")</f>
        <v>Annexes Manquantes de la copie//Annexes missing from copy</v>
      </c>
      <c r="H144" s="13" t="e">
        <f>IF(#REF!&lt;&gt;"",IF(#REF!&lt;&gt;"",#REF!&amp;"--"&amp;#REF!,#REF!),"")</f>
        <v>#REF!</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5" type="noConversion"/>
  <dataValidations count="3">
    <dataValidation type="list" allowBlank="1" showInputMessage="1" showErrorMessage="1" sqref="C19">
      <formula1>countries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38"/>
  <sheetViews>
    <sheetView workbookViewId="0">
      <selection activeCell="B2" sqref="B2"/>
    </sheetView>
  </sheetViews>
  <sheetFormatPr defaultColWidth="8.5" defaultRowHeight="15.5"/>
  <cols>
    <col min="1" max="1" width="30.5" customWidth="1"/>
    <col min="2" max="2" width="31.83203125" style="215" customWidth="1"/>
    <col min="3" max="3" width="23" bestFit="1" customWidth="1"/>
  </cols>
  <sheetData>
    <row r="1" spans="1:2">
      <c r="A1" s="49" t="s">
        <v>160</v>
      </c>
      <c r="B1" s="214" t="s">
        <v>161</v>
      </c>
    </row>
    <row r="2" spans="1:2">
      <c r="A2" s="212" t="s">
        <v>743</v>
      </c>
      <c r="B2" s="215" t="str">
        <f>IF(Categories!C136&lt;&gt;"",Categories!C136,"ENG")</f>
        <v>ENG</v>
      </c>
    </row>
    <row r="3" spans="1:2">
      <c r="A3" s="50" t="s">
        <v>237</v>
      </c>
      <c r="B3" s="216" t="str">
        <f>IF(Categories!C19&lt;&gt;"",Categories!C19,"")</f>
        <v>Ethiopia</v>
      </c>
    </row>
    <row r="4" spans="1:2">
      <c r="A4" s="50" t="s">
        <v>729</v>
      </c>
      <c r="B4" s="216" t="str">
        <f>IF(Categories!C19&lt;&gt;"",VLOOKUP(Categories!C19,picklists!A2:B248,2,FALSE), "")</f>
        <v>ETH</v>
      </c>
    </row>
    <row r="5" spans="1:2">
      <c r="A5" t="s">
        <v>731</v>
      </c>
      <c r="B5" s="215" t="str">
        <f>IF(Categories!C51&lt;&gt;"",Categories!C51,"")</f>
        <v>Cotton principal investment and sesame and soy bean rotational crops</v>
      </c>
    </row>
    <row r="6" spans="1:2">
      <c r="A6" s="50" t="s">
        <v>162</v>
      </c>
      <c r="B6" s="216" t="str">
        <f>IF(Categories!C27&lt;&gt;"",VLOOKUP(Categories!C27,picklists!I3:J26,IF(B2="ENG",1,IF(B2="FRE",2,1)),FALSE),"")</f>
        <v>Lease</v>
      </c>
    </row>
    <row r="7" spans="1:2">
      <c r="A7" s="50" t="s">
        <v>163</v>
      </c>
      <c r="B7" s="215">
        <f>IF(Categories!C47&lt;&gt;"",Categories!C47,"")</f>
        <v>40816</v>
      </c>
    </row>
    <row r="8" spans="1:2">
      <c r="A8" t="s">
        <v>164</v>
      </c>
      <c r="B8" s="215">
        <f>IF(Categories!C48&lt;&gt;"",Categories!C48,"")</f>
        <v>2011</v>
      </c>
    </row>
    <row r="9" spans="1:2">
      <c r="A9" t="s">
        <v>165</v>
      </c>
      <c r="B9" s="215" t="str">
        <f>IF(Categories!C49&lt;&gt;"",Categories!C49,"")</f>
        <v>25 years. The contract shall expire on 29 September 2036</v>
      </c>
    </row>
    <row r="10" spans="1:2">
      <c r="A10" s="235" t="s">
        <v>739</v>
      </c>
      <c r="B10" s="235"/>
    </row>
    <row r="11" spans="1:2">
      <c r="A11" s="211" t="s">
        <v>12</v>
      </c>
      <c r="B11" s="215" t="str">
        <f>IF(Categories!C20&lt;&gt;"",Categories!C20,"")</f>
        <v>Nega Mamay Mihret (a natural person) is to have a company or business organization incorporated to engage in cotton principal investment and sesame and soy bean rotational crops development for the purposes of this agreement</v>
      </c>
    </row>
    <row r="12" spans="1:2">
      <c r="A12" s="211" t="s">
        <v>235</v>
      </c>
      <c r="B12" s="215" t="str">
        <f>IF(Categories!C21&lt;&gt;"",Categories!C21,"")</f>
        <v/>
      </c>
    </row>
    <row r="13" spans="1:2">
      <c r="A13" s="211" t="s">
        <v>14</v>
      </c>
      <c r="B13" s="215" t="str">
        <f>IF(Categories!C22&lt;&gt;"",Categories!C22,"")</f>
        <v>3453 Kebele 03, Sebeta Town, Oromia Reginal State, Ethiopia</v>
      </c>
    </row>
    <row r="14" spans="1:2">
      <c r="A14" s="211" t="s">
        <v>16</v>
      </c>
      <c r="B14" s="215" t="str">
        <f>IF(Categories!C23&lt;&gt;"",Categories!C23,"")</f>
        <v/>
      </c>
    </row>
    <row r="15" spans="1:2">
      <c r="A15" s="211" t="s">
        <v>740</v>
      </c>
      <c r="B15" s="215" t="str">
        <f>IF(Categories!C24&lt;&gt;"",Categories!C24,"")</f>
        <v/>
      </c>
    </row>
    <row r="16" spans="1:2">
      <c r="A16" s="211" t="s">
        <v>235</v>
      </c>
      <c r="B16" s="215" t="str">
        <f>IF(Categories!C25&lt;&gt;"",Categories!C25,"")</f>
        <v/>
      </c>
    </row>
    <row r="17" spans="1:2">
      <c r="A17" s="211" t="s">
        <v>19</v>
      </c>
      <c r="B17" s="215" t="str">
        <f>IF(Categories!C26&lt;&gt;"",Categories!C26,"")</f>
        <v/>
      </c>
    </row>
    <row r="18" spans="1:2">
      <c r="A18" s="211" t="s">
        <v>22</v>
      </c>
      <c r="B18" s="215" t="str">
        <f>IF(Categories!C28&lt;&gt;"",Categories!C28,"")</f>
        <v/>
      </c>
    </row>
    <row r="19" spans="1:2" ht="31">
      <c r="A19" s="211" t="s">
        <v>23</v>
      </c>
      <c r="B19" s="215" t="str">
        <f>IF(Categories!C29&lt;&gt;"",Categories!C29,"")</f>
        <v/>
      </c>
    </row>
    <row r="20" spans="1:2">
      <c r="A20" s="211" t="s">
        <v>741</v>
      </c>
      <c r="B20" s="215" t="str">
        <f>IF(Categories!C30&lt;&gt;"",Categories!C30,"")</f>
        <v xml:space="preserve">Benishangul Gumuz Regional State, Metekel Zone, Dangur District Abay dar kebele </v>
      </c>
    </row>
    <row r="21" spans="1:2">
      <c r="A21" s="211" t="s">
        <v>25</v>
      </c>
      <c r="B21" s="215" t="str">
        <f>IF(Categories!C31&lt;&gt;"",Categories!C31,"")</f>
        <v/>
      </c>
    </row>
    <row r="22" spans="1:2">
      <c r="A22" s="211" t="s">
        <v>27</v>
      </c>
      <c r="B22" s="215" t="str">
        <f>IF(Categories!C32&lt;&gt;"",Categories!C32,"")</f>
        <v/>
      </c>
    </row>
    <row r="23" spans="1:2">
      <c r="A23" s="211" t="s">
        <v>29</v>
      </c>
      <c r="B23" s="215" t="str">
        <f>IF(Categories!C33&lt;&gt;"",Categories!C33,"")</f>
        <v/>
      </c>
    </row>
    <row r="24" spans="1:2">
      <c r="A24" s="211" t="s">
        <v>31</v>
      </c>
      <c r="B24" s="215" t="str">
        <f>IF(Categories!C34&lt;&gt;"",Categories!C34,"")</f>
        <v/>
      </c>
    </row>
    <row r="25" spans="1:2">
      <c r="A25" s="211" t="s">
        <v>742</v>
      </c>
      <c r="B25" s="215" t="str">
        <f>IF(B24&lt;&gt;"",YEAR(B24),"")</f>
        <v/>
      </c>
    </row>
    <row r="26" spans="1:2">
      <c r="A26" s="211" t="s">
        <v>33</v>
      </c>
      <c r="B26" s="215" t="str">
        <f>IF(Categories!C35&lt;&gt;"",Categories!C35,"")</f>
        <v/>
      </c>
    </row>
    <row r="27" spans="1:2">
      <c r="A27" s="211" t="s">
        <v>35</v>
      </c>
      <c r="B27" s="215" t="str">
        <f>IF(Categories!C36&lt;&gt;"",Categories!C36,"")</f>
        <v/>
      </c>
    </row>
    <row r="28" spans="1:2" ht="46.5">
      <c r="A28" s="211" t="s">
        <v>41</v>
      </c>
      <c r="B28" s="215" t="str">
        <f>IF(Categories!C40&lt;&gt;"",Categories!C40,"")</f>
        <v>Nega Mamay Mihret (a natural person) is to have a company or business organization incorporated to engage in cotton principal investment and sesame and soy bean rotational crops development for the purposes of this agreement</v>
      </c>
    </row>
    <row r="29" spans="1:2">
      <c r="A29" s="211" t="s">
        <v>235</v>
      </c>
      <c r="B29" s="215" t="str">
        <f>IF(Categories!C41&lt;&gt;"",Categories!C41,"")</f>
        <v/>
      </c>
    </row>
    <row r="30" spans="1:2">
      <c r="A30" s="211" t="s">
        <v>43</v>
      </c>
      <c r="B30" s="215" t="str">
        <f>IF(Categories!C42&lt;&gt;"",Categories!C42,"")</f>
        <v>Nega Mamay Mihret</v>
      </c>
    </row>
    <row r="31" spans="1:2" ht="31">
      <c r="A31" s="211" t="s">
        <v>45</v>
      </c>
      <c r="B31" s="215" t="str">
        <f>IF(Categories!C43&lt;&gt;"",Categories!C43,"")</f>
        <v>Ministry of Agriculture of Federal Democratic Republic of Ethiopia (FDRE)</v>
      </c>
    </row>
    <row r="32" spans="1:2">
      <c r="A32" s="211" t="s">
        <v>47</v>
      </c>
      <c r="B32" s="215" t="str">
        <f>IF(Categories!C44&lt;&gt;"",Categories!C44,"")</f>
        <v>Tefera Derbew, Ministry of Agriculture</v>
      </c>
    </row>
    <row r="33" spans="1:2" ht="31">
      <c r="A33" s="211" t="s">
        <v>49</v>
      </c>
      <c r="B33" s="215" t="str">
        <f>IF(Categories!C45&lt;&gt;"",Categories!C45,"")</f>
        <v/>
      </c>
    </row>
    <row r="34" spans="1:2" ht="31">
      <c r="A34" s="211" t="s">
        <v>166</v>
      </c>
      <c r="B34" s="215" t="str">
        <f>IF(Categories!C46&lt;&gt;"",Categories!C46,"")</f>
        <v/>
      </c>
    </row>
    <row r="35" spans="1:2">
      <c r="A35" s="211" t="s">
        <v>57</v>
      </c>
      <c r="B35" s="215" t="str">
        <f>IF(Categories!C50&lt;&gt;"",Categories!C50,"")</f>
        <v xml:space="preserve">The land lease agreement can be renewed for another additional years mutually agreed between the parties. The land lease agreement shall be renewed on the same terms and conditions. If any of the parties wish to renew the agreement, it shall inform the other party at least 6 months before the expiration of the contract period. </v>
      </c>
    </row>
    <row r="36" spans="1:2">
      <c r="A36" s="211" t="s">
        <v>212</v>
      </c>
      <c r="B36" s="215" t="str">
        <f>IF(Categories!C52&lt;&gt;"",Categories!C52,"")</f>
        <v>3,000 hectares. The company or business organization, once incorporated, has the right to get additional land based on its performance, accomplishment and need.</v>
      </c>
    </row>
    <row r="37" spans="1:2">
      <c r="A37" s="213" t="s">
        <v>157</v>
      </c>
      <c r="B37" s="215" t="str">
        <f>IF(Categories!C144&lt;&gt;"",Categories!C144,"")</f>
        <v>The site plan of the leased land and the environmental code of practice</v>
      </c>
    </row>
    <row r="38" spans="1:2">
      <c r="A38" s="213" t="s">
        <v>159</v>
      </c>
      <c r="B38" s="215" t="e">
        <f>IF(Categories!#REF!&lt;&gt;"",Categories!#REF!,"")</f>
        <v>#REF!</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48"/>
  <sheetViews>
    <sheetView workbookViewId="0">
      <selection activeCell="H25" sqref="H25"/>
    </sheetView>
  </sheetViews>
  <sheetFormatPr defaultColWidth="11" defaultRowHeight="15.5"/>
  <cols>
    <col min="8" max="8" width="35.5" customWidth="1"/>
    <col min="9" max="9" width="23.5" bestFit="1" customWidth="1"/>
    <col min="10" max="10" width="17.83203125" customWidth="1"/>
  </cols>
  <sheetData>
    <row r="1" spans="1:13">
      <c r="A1" t="s">
        <v>237</v>
      </c>
      <c r="B1" t="s">
        <v>238</v>
      </c>
      <c r="D1" t="s">
        <v>730</v>
      </c>
      <c r="H1" t="s">
        <v>732</v>
      </c>
      <c r="I1" t="s">
        <v>732</v>
      </c>
      <c r="L1" t="s">
        <v>743</v>
      </c>
    </row>
    <row r="2" spans="1:13">
      <c r="A2" t="s">
        <v>239</v>
      </c>
      <c r="B2" t="s">
        <v>240</v>
      </c>
      <c r="D2" t="str">
        <f>IF(Metadata!B2="ENG",E2,F2)</f>
        <v>Aluminium</v>
      </c>
      <c r="E2" t="s">
        <v>813</v>
      </c>
      <c r="F2" t="s">
        <v>814</v>
      </c>
      <c r="H2" t="str">
        <f>IF(Metadata!B2="ENG",I2,J2)</f>
        <v>Amodiation contract</v>
      </c>
      <c r="I2" t="s">
        <v>808</v>
      </c>
      <c r="J2" t="s">
        <v>809</v>
      </c>
      <c r="L2" t="s">
        <v>750</v>
      </c>
      <c r="M2" t="s">
        <v>752</v>
      </c>
    </row>
    <row r="3" spans="1:13">
      <c r="A3" t="s">
        <v>241</v>
      </c>
      <c r="B3" t="s">
        <v>242</v>
      </c>
      <c r="D3" t="str">
        <f>IF(Metadata!B2="ENG",E3,F3)</f>
        <v>Base metals</v>
      </c>
      <c r="E3" t="s">
        <v>763</v>
      </c>
      <c r="F3" t="s">
        <v>831</v>
      </c>
      <c r="H3" t="str">
        <f>IF(Metadata!B2="ENG",I3,J3)</f>
        <v>Concession</v>
      </c>
      <c r="I3" s="210" t="s">
        <v>734</v>
      </c>
      <c r="J3" s="210" t="s">
        <v>734</v>
      </c>
      <c r="L3" t="s">
        <v>751</v>
      </c>
      <c r="M3" t="s">
        <v>749</v>
      </c>
    </row>
    <row r="4" spans="1:13">
      <c r="A4" t="s">
        <v>243</v>
      </c>
      <c r="B4" t="s">
        <v>244</v>
      </c>
      <c r="D4" t="str">
        <f>IF(Metadata!B2="ENG",E4,F4)</f>
        <v>Bauxite</v>
      </c>
      <c r="E4" s="217" t="s">
        <v>764</v>
      </c>
      <c r="F4" s="217" t="s">
        <v>764</v>
      </c>
      <c r="H4" t="str">
        <f>IF(Metadata!B2="ENG",I4,J4)</f>
        <v>Convention</v>
      </c>
      <c r="I4" t="s">
        <v>753</v>
      </c>
      <c r="J4" t="s">
        <v>753</v>
      </c>
    </row>
    <row r="5" spans="1:13">
      <c r="A5" t="s">
        <v>245</v>
      </c>
      <c r="B5" t="s">
        <v>246</v>
      </c>
      <c r="D5" t="str">
        <f>IF(Metadata!B2="ENG",E5,F5)</f>
        <v>Coal</v>
      </c>
      <c r="E5" t="s">
        <v>765</v>
      </c>
      <c r="F5" t="s">
        <v>766</v>
      </c>
      <c r="H5" t="str">
        <f>IF(Metadata!B2="ENG",I5,J5)</f>
        <v>Exploration Permit/License</v>
      </c>
      <c r="I5" s="210" t="s">
        <v>733</v>
      </c>
      <c r="J5" t="s">
        <v>744</v>
      </c>
    </row>
    <row r="6" spans="1:13" ht="31">
      <c r="A6" t="s">
        <v>247</v>
      </c>
      <c r="B6" t="s">
        <v>248</v>
      </c>
      <c r="D6" t="str">
        <f>IF(Metadata!B2="ENG",E6,F6)</f>
        <v>Cobalt</v>
      </c>
      <c r="E6" t="s">
        <v>767</v>
      </c>
      <c r="F6" t="s">
        <v>767</v>
      </c>
      <c r="H6" t="str">
        <f>IF(Metadata!B2="ENG",I6,J6)</f>
        <v>Exploitation Permit/License</v>
      </c>
      <c r="I6" s="210" t="s">
        <v>754</v>
      </c>
      <c r="J6" t="s">
        <v>755</v>
      </c>
    </row>
    <row r="7" spans="1:13" ht="31">
      <c r="A7" t="s">
        <v>249</v>
      </c>
      <c r="B7" t="s">
        <v>250</v>
      </c>
      <c r="D7" t="str">
        <f>IF(Metadata!B2="ENG",E7,F7)</f>
        <v>Copper</v>
      </c>
      <c r="E7" t="s">
        <v>768</v>
      </c>
      <c r="F7" t="s">
        <v>820</v>
      </c>
      <c r="H7" t="str">
        <f>IF(Metadata!B2="ENG",I7,J7)</f>
        <v>Forestry Concession Contract</v>
      </c>
      <c r="I7" s="210" t="s">
        <v>761</v>
      </c>
      <c r="J7" t="s">
        <v>762</v>
      </c>
    </row>
    <row r="8" spans="1:13">
      <c r="A8" t="s">
        <v>251</v>
      </c>
      <c r="B8" t="s">
        <v>252</v>
      </c>
      <c r="D8" t="str">
        <f>IF(Metadata!B2="ENG",E8,F8)</f>
        <v>Crude oil</v>
      </c>
      <c r="E8" t="s">
        <v>769</v>
      </c>
      <c r="F8" t="s">
        <v>770</v>
      </c>
      <c r="H8" t="str">
        <f>IF(Metadata!B2="ENG",I8,J8)</f>
        <v>Investment Agreement</v>
      </c>
      <c r="I8" s="210" t="s">
        <v>756</v>
      </c>
      <c r="J8" t="s">
        <v>803</v>
      </c>
    </row>
    <row r="9" spans="1:13" ht="31">
      <c r="A9" t="s">
        <v>253</v>
      </c>
      <c r="B9" t="s">
        <v>254</v>
      </c>
      <c r="D9" t="str">
        <f>IF(Metadata!B2="ENG",E9,F9)</f>
        <v>Diamonds</v>
      </c>
      <c r="E9" t="s">
        <v>771</v>
      </c>
      <c r="F9" t="s">
        <v>821</v>
      </c>
      <c r="H9" t="str">
        <f>IF(Metadata!B2="ENG",I9,J9)</f>
        <v>Investment Incentive Contract</v>
      </c>
      <c r="I9" s="210" t="s">
        <v>757</v>
      </c>
      <c r="J9" t="s">
        <v>804</v>
      </c>
    </row>
    <row r="10" spans="1:13">
      <c r="A10" t="s">
        <v>255</v>
      </c>
      <c r="B10" t="s">
        <v>256</v>
      </c>
      <c r="D10" t="str">
        <f>IF(Metadata!B2="ENG",E10,F10)</f>
        <v>Gas</v>
      </c>
      <c r="E10" t="s">
        <v>772</v>
      </c>
      <c r="F10" t="s">
        <v>773</v>
      </c>
      <c r="H10" t="str">
        <f>IF(Metadata!B2="ENG",I10,J10)</f>
        <v>Joint Venture Contract</v>
      </c>
      <c r="I10" t="s">
        <v>758</v>
      </c>
      <c r="J10" t="s">
        <v>805</v>
      </c>
      <c r="K10" s="220"/>
    </row>
    <row r="11" spans="1:13">
      <c r="A11" t="s">
        <v>257</v>
      </c>
      <c r="B11" t="s">
        <v>258</v>
      </c>
      <c r="D11" t="str">
        <f>IF(Metadata!B2="ENG",E11,F11)</f>
        <v>Gold</v>
      </c>
      <c r="E11" t="s">
        <v>774</v>
      </c>
      <c r="F11" t="s">
        <v>775</v>
      </c>
      <c r="H11" t="str">
        <f>IF(Metadata!B2="ENG",I11,J11)</f>
        <v>Lease</v>
      </c>
      <c r="I11" t="s">
        <v>737</v>
      </c>
      <c r="J11" t="s">
        <v>747</v>
      </c>
    </row>
    <row r="12" spans="1:13" ht="31">
      <c r="A12" t="s">
        <v>259</v>
      </c>
      <c r="B12" t="s">
        <v>260</v>
      </c>
      <c r="D12" t="str">
        <f>IF(Metadata!B2="ENG",E12,F12)</f>
        <v>Iron ore</v>
      </c>
      <c r="E12" t="s">
        <v>776</v>
      </c>
      <c r="F12" t="s">
        <v>812</v>
      </c>
      <c r="H12" t="str">
        <f>IF(Metadata!B2="ENG",I12,J12)</f>
        <v>Production Sharing Agreement</v>
      </c>
      <c r="I12" s="210" t="s">
        <v>738</v>
      </c>
      <c r="J12" t="s">
        <v>745</v>
      </c>
    </row>
    <row r="13" spans="1:13" ht="46.5">
      <c r="A13" t="s">
        <v>261</v>
      </c>
      <c r="B13" t="s">
        <v>262</v>
      </c>
      <c r="D13" t="str">
        <f>IF(Metadata!B2="ENG",E13,F13)</f>
        <v>Lapis lazuli</v>
      </c>
      <c r="E13" t="s">
        <v>777</v>
      </c>
      <c r="F13" t="s">
        <v>817</v>
      </c>
      <c r="H13" t="str">
        <f>IF(Metadata!B2="ENG",I13,J13)</f>
        <v>Operating Agreement between Private Companies</v>
      </c>
      <c r="I13" s="210" t="s">
        <v>759</v>
      </c>
      <c r="J13" t="s">
        <v>806</v>
      </c>
    </row>
    <row r="14" spans="1:13">
      <c r="A14" t="s">
        <v>263</v>
      </c>
      <c r="B14" t="s">
        <v>264</v>
      </c>
      <c r="D14" t="str">
        <f>IF(Metadata!B2="ENG",E14,F14)</f>
        <v>Lead</v>
      </c>
      <c r="E14" t="s">
        <v>778</v>
      </c>
      <c r="F14" t="s">
        <v>818</v>
      </c>
      <c r="H14" t="str">
        <f>IF(Metadata!B2="ENG",I14,J14)</f>
        <v>Options contract</v>
      </c>
      <c r="I14" s="210" t="s">
        <v>810</v>
      </c>
      <c r="J14" t="s">
        <v>811</v>
      </c>
    </row>
    <row r="15" spans="1:13">
      <c r="A15" t="s">
        <v>265</v>
      </c>
      <c r="B15" t="s">
        <v>266</v>
      </c>
      <c r="D15" t="str">
        <f>IF(Metadata!B2="ENG",E15,F15)</f>
        <v>Lithium</v>
      </c>
      <c r="E15" t="s">
        <v>779</v>
      </c>
      <c r="F15" t="s">
        <v>779</v>
      </c>
      <c r="H15" t="str">
        <f>IF(Metadata!B2="ENG",I15,J15)</f>
        <v>Profit Sharing Contract</v>
      </c>
      <c r="I15" s="210" t="s">
        <v>760</v>
      </c>
      <c r="J15" t="s">
        <v>807</v>
      </c>
    </row>
    <row r="16" spans="1:13">
      <c r="A16" t="s">
        <v>267</v>
      </c>
      <c r="B16" t="s">
        <v>268</v>
      </c>
      <c r="D16" t="str">
        <f>IF(Metadata!B2="ENG",E16,F16)</f>
        <v>Manganese</v>
      </c>
      <c r="E16" t="s">
        <v>780</v>
      </c>
      <c r="F16" t="s">
        <v>819</v>
      </c>
      <c r="H16" t="str">
        <f>IF(Metadata!B2="ENG",I16,J16)</f>
        <v>Service Contract</v>
      </c>
      <c r="I16" s="210" t="s">
        <v>735</v>
      </c>
      <c r="J16" t="s">
        <v>746</v>
      </c>
    </row>
    <row r="17" spans="1:10">
      <c r="A17" t="s">
        <v>269</v>
      </c>
      <c r="B17" t="s">
        <v>270</v>
      </c>
      <c r="D17" t="str">
        <f>IF(Metadata!B2="ENG",E17,F17)</f>
        <v>Molybdenum</v>
      </c>
      <c r="E17" t="s">
        <v>815</v>
      </c>
      <c r="F17" t="s">
        <v>816</v>
      </c>
      <c r="H17" t="str">
        <f>IF(Metadata!B2="ENG",I17,J17)</f>
        <v>Other</v>
      </c>
      <c r="I17" s="210" t="s">
        <v>736</v>
      </c>
      <c r="J17" t="s">
        <v>748</v>
      </c>
    </row>
    <row r="18" spans="1:10">
      <c r="A18" t="s">
        <v>271</v>
      </c>
      <c r="B18" t="s">
        <v>272</v>
      </c>
      <c r="D18" t="str">
        <f>IF(Metadata!B2="ENG",E18,F18)</f>
        <v>Nickel</v>
      </c>
      <c r="E18" t="s">
        <v>781</v>
      </c>
      <c r="F18" t="s">
        <v>781</v>
      </c>
      <c r="H18">
        <f>IF(Metadata!B2="ENG",I18,J18)</f>
        <v>0</v>
      </c>
    </row>
    <row r="19" spans="1:10">
      <c r="A19" t="s">
        <v>273</v>
      </c>
      <c r="B19" t="s">
        <v>274</v>
      </c>
      <c r="D19" t="str">
        <f>IF(Metadata!B2="ENG",E19,F19)</f>
        <v>Phosphate rock</v>
      </c>
      <c r="E19" t="s">
        <v>782</v>
      </c>
      <c r="F19" t="s">
        <v>822</v>
      </c>
      <c r="H19">
        <f>IF(Metadata!B2="ENG",I19,J19)</f>
        <v>0</v>
      </c>
    </row>
    <row r="20" spans="1:10">
      <c r="A20" t="s">
        <v>275</v>
      </c>
      <c r="B20" t="s">
        <v>276</v>
      </c>
      <c r="D20" t="str">
        <f>IF(Metadata!B2="ENG",E20,F20)</f>
        <v>Platinum Group Metals</v>
      </c>
      <c r="E20" t="s">
        <v>783</v>
      </c>
      <c r="F20" t="s">
        <v>823</v>
      </c>
      <c r="H20">
        <f>IF(Metadata!B2="ENG",I20,J20)</f>
        <v>0</v>
      </c>
    </row>
    <row r="21" spans="1:10">
      <c r="A21" t="s">
        <v>277</v>
      </c>
      <c r="B21" t="s">
        <v>278</v>
      </c>
      <c r="D21" t="str">
        <f>IF(Metadata!B2="ENG",E21,F21)</f>
        <v>Precious stones</v>
      </c>
      <c r="E21" t="s">
        <v>784</v>
      </c>
      <c r="F21" t="s">
        <v>824</v>
      </c>
      <c r="H21">
        <f>IF(Metadata!B2="ENG",I21,J21)</f>
        <v>0</v>
      </c>
    </row>
    <row r="22" spans="1:10">
      <c r="A22" t="s">
        <v>279</v>
      </c>
      <c r="B22" t="s">
        <v>280</v>
      </c>
      <c r="D22" t="str">
        <f>IF(Metadata!B2="ENG",E22,F22)</f>
        <v>Quartz</v>
      </c>
      <c r="E22" t="s">
        <v>785</v>
      </c>
      <c r="F22" t="s">
        <v>785</v>
      </c>
      <c r="H22">
        <f>IF(Metadata!B2="ENG",I22,J22)</f>
        <v>0</v>
      </c>
    </row>
    <row r="23" spans="1:10">
      <c r="A23" t="s">
        <v>281</v>
      </c>
      <c r="B23" t="s">
        <v>282</v>
      </c>
      <c r="D23" t="str">
        <f>IF(Metadata!B2="ENG",E23,F23)</f>
        <v>Semi-precious stones</v>
      </c>
      <c r="E23" t="s">
        <v>786</v>
      </c>
      <c r="F23" t="s">
        <v>825</v>
      </c>
      <c r="H23">
        <f>IF(Metadata!B2="ENG",I23,J23)</f>
        <v>0</v>
      </c>
    </row>
    <row r="24" spans="1:10">
      <c r="A24" t="s">
        <v>283</v>
      </c>
      <c r="B24" t="s">
        <v>284</v>
      </c>
      <c r="D24" t="str">
        <f>IF(Metadata!B2="ENG",E24,F24)</f>
        <v>Silver</v>
      </c>
      <c r="E24" t="s">
        <v>787</v>
      </c>
      <c r="F24" t="s">
        <v>826</v>
      </c>
      <c r="H24">
        <f>IF(Metadata!B2="ENG",I24,J24)</f>
        <v>0</v>
      </c>
    </row>
    <row r="25" spans="1:10">
      <c r="A25" t="s">
        <v>285</v>
      </c>
      <c r="B25" t="s">
        <v>286</v>
      </c>
      <c r="D25" t="str">
        <f>IF(Metadata!B2="ENG",E25,F25)</f>
        <v>Titanium</v>
      </c>
      <c r="E25" t="s">
        <v>788</v>
      </c>
      <c r="F25" t="s">
        <v>827</v>
      </c>
      <c r="H25">
        <f>IF(Metadata!B2="ENG",I25,J25)</f>
        <v>0</v>
      </c>
    </row>
    <row r="26" spans="1:10">
      <c r="A26" t="s">
        <v>287</v>
      </c>
      <c r="B26" t="s">
        <v>288</v>
      </c>
      <c r="D26" t="str">
        <f>IF(Metadata!B2="ENG",E26,F26)</f>
        <v>Uranium</v>
      </c>
      <c r="E26" t="s">
        <v>789</v>
      </c>
      <c r="F26" t="s">
        <v>789</v>
      </c>
      <c r="H26">
        <f>IF(Metadata!B2="ENG",I26,J26)</f>
        <v>0</v>
      </c>
    </row>
    <row r="27" spans="1:10">
      <c r="A27" t="s">
        <v>289</v>
      </c>
      <c r="B27" t="s">
        <v>290</v>
      </c>
      <c r="D27" t="str">
        <f>IF(Metadata!B2="ENG",E27,F27)</f>
        <v>Zinc</v>
      </c>
      <c r="E27" t="s">
        <v>790</v>
      </c>
      <c r="F27" t="s">
        <v>790</v>
      </c>
      <c r="H27">
        <f>IF(Metadata!B2="ENG",I27,J27)</f>
        <v>0</v>
      </c>
    </row>
    <row r="28" spans="1:10">
      <c r="A28" t="s">
        <v>291</v>
      </c>
      <c r="B28" t="s">
        <v>292</v>
      </c>
      <c r="D28" t="str">
        <f>IF(Metadata!B2="ENG",E28,F28)</f>
        <v>Citrus</v>
      </c>
      <c r="E28" t="s">
        <v>791</v>
      </c>
      <c r="F28" t="s">
        <v>791</v>
      </c>
      <c r="H28">
        <f>IF(Metadata!B2="ENG",I28,J28)</f>
        <v>0</v>
      </c>
    </row>
    <row r="29" spans="1:10">
      <c r="A29" t="s">
        <v>293</v>
      </c>
      <c r="B29" t="s">
        <v>294</v>
      </c>
      <c r="D29" t="str">
        <f>IF(Metadata!B2="ENG",E29,F29)</f>
        <v>Food crops</v>
      </c>
      <c r="E29" t="s">
        <v>792</v>
      </c>
      <c r="F29" t="s">
        <v>793</v>
      </c>
      <c r="H29">
        <f>IF(Metadata!B2="ENG",I29,J29)</f>
        <v>0</v>
      </c>
    </row>
    <row r="30" spans="1:10">
      <c r="A30" t="s">
        <v>295</v>
      </c>
      <c r="B30" t="s">
        <v>296</v>
      </c>
      <c r="D30" t="str">
        <f>IF(Metadata!B2="ENG",E30,F30)</f>
        <v>Hydrocarbons</v>
      </c>
      <c r="E30" t="s">
        <v>794</v>
      </c>
      <c r="F30" t="s">
        <v>828</v>
      </c>
      <c r="H30">
        <f>IF(Metadata!B2="ENG",I30,J30)</f>
        <v>0</v>
      </c>
    </row>
    <row r="31" spans="1:10">
      <c r="A31" t="s">
        <v>297</v>
      </c>
      <c r="B31" t="s">
        <v>298</v>
      </c>
      <c r="D31" t="str">
        <f>IF(Metadata!B2="ENG",E31,F31)</f>
        <v>Palm oil</v>
      </c>
      <c r="E31" t="s">
        <v>795</v>
      </c>
      <c r="F31" t="s">
        <v>796</v>
      </c>
      <c r="H31">
        <f>IF(Metadata!B2="ENG",I31,J31)</f>
        <v>0</v>
      </c>
    </row>
    <row r="32" spans="1:10">
      <c r="A32" t="s">
        <v>299</v>
      </c>
      <c r="B32" t="s">
        <v>300</v>
      </c>
      <c r="D32" t="str">
        <f>IF(Metadata!B2="ENG",E32,F32)</f>
        <v>Rubber</v>
      </c>
      <c r="E32" t="s">
        <v>797</v>
      </c>
      <c r="F32" t="s">
        <v>829</v>
      </c>
      <c r="H32">
        <f>IF(Metadata!B2="ENG",I32,J32)</f>
        <v>0</v>
      </c>
    </row>
    <row r="33" spans="1:8">
      <c r="A33" t="s">
        <v>301</v>
      </c>
      <c r="B33" t="s">
        <v>302</v>
      </c>
      <c r="D33" t="str">
        <f>IF(Metadata!B2="ENG",E33,F33)</f>
        <v>Soy</v>
      </c>
      <c r="E33" t="s">
        <v>798</v>
      </c>
      <c r="F33" t="s">
        <v>830</v>
      </c>
      <c r="H33">
        <f>IF(Metadata!B2="ENG",I33,J33)</f>
        <v>0</v>
      </c>
    </row>
    <row r="34" spans="1:8">
      <c r="A34" t="s">
        <v>303</v>
      </c>
      <c r="B34" t="s">
        <v>304</v>
      </c>
      <c r="D34" t="str">
        <f>IF(Metadata!B2="ENG",E34,F34)</f>
        <v>Sugar</v>
      </c>
      <c r="E34" t="s">
        <v>799</v>
      </c>
      <c r="F34" t="s">
        <v>800</v>
      </c>
      <c r="H34">
        <f>IF(Metadata!B2="ENG",I34,J34)</f>
        <v>0</v>
      </c>
    </row>
    <row r="35" spans="1:8">
      <c r="A35" t="s">
        <v>305</v>
      </c>
      <c r="B35" t="s">
        <v>306</v>
      </c>
      <c r="D35" t="str">
        <f>IF(Metadata!B2="ENG",E35,F35)</f>
        <v>Timber</v>
      </c>
      <c r="E35" t="s">
        <v>801</v>
      </c>
      <c r="F35" t="s">
        <v>802</v>
      </c>
      <c r="H35">
        <f>IF(Metadata!B2="ENG",I35,J35)</f>
        <v>0</v>
      </c>
    </row>
    <row r="36" spans="1:8">
      <c r="A36" t="s">
        <v>307</v>
      </c>
      <c r="B36" t="s">
        <v>308</v>
      </c>
      <c r="D36">
        <f>IF(Metadata!B2="ENG",E36,F36)</f>
        <v>0</v>
      </c>
      <c r="H36">
        <f>IF(Metadata!B2="ENG",I36,J36)</f>
        <v>0</v>
      </c>
    </row>
    <row r="37" spans="1:8">
      <c r="A37" t="s">
        <v>309</v>
      </c>
      <c r="B37" t="s">
        <v>310</v>
      </c>
      <c r="D37">
        <f>IF(Metadata!B2="ENG",E37,F37)</f>
        <v>0</v>
      </c>
      <c r="H37">
        <f>IF(Metadata!B2="ENG",I37,J37)</f>
        <v>0</v>
      </c>
    </row>
    <row r="38" spans="1:8">
      <c r="A38" t="s">
        <v>311</v>
      </c>
      <c r="B38" t="s">
        <v>312</v>
      </c>
      <c r="D38">
        <f>IF(Metadata!B2="ENG",E38,F38)</f>
        <v>0</v>
      </c>
      <c r="H38">
        <f>IF(Metadata!B2="ENG",I38,J38)</f>
        <v>0</v>
      </c>
    </row>
    <row r="39" spans="1:8">
      <c r="A39" t="s">
        <v>313</v>
      </c>
      <c r="B39" t="s">
        <v>314</v>
      </c>
      <c r="D39">
        <f>IF(Metadata!B2="ENG",E39,F39)</f>
        <v>0</v>
      </c>
      <c r="H39">
        <f>IF(Metadata!B2="ENG",I39,J39)</f>
        <v>0</v>
      </c>
    </row>
    <row r="40" spans="1:8">
      <c r="A40" t="s">
        <v>315</v>
      </c>
      <c r="B40" t="s">
        <v>316</v>
      </c>
      <c r="D40">
        <f>IF(Metadata!B2="ENG",E40,F40)</f>
        <v>0</v>
      </c>
      <c r="H40">
        <f>IF(Metadata!B2="ENG",I40,J40)</f>
        <v>0</v>
      </c>
    </row>
    <row r="41" spans="1:8">
      <c r="A41" t="s">
        <v>317</v>
      </c>
      <c r="B41" t="s">
        <v>318</v>
      </c>
      <c r="D41">
        <f>IF(Metadata!B2="ENG",E41,F41)</f>
        <v>0</v>
      </c>
      <c r="H41">
        <f>IF(Metadata!B2="ENG",I41,J41)</f>
        <v>0</v>
      </c>
    </row>
    <row r="42" spans="1:8">
      <c r="A42" t="s">
        <v>319</v>
      </c>
      <c r="B42" t="s">
        <v>320</v>
      </c>
      <c r="D42">
        <f>IF(Metadata!B2="ENG",E42,F42)</f>
        <v>0</v>
      </c>
      <c r="H42">
        <f>IF(Metadata!B2="ENG",I42,J42)</f>
        <v>0</v>
      </c>
    </row>
    <row r="43" spans="1:8">
      <c r="A43" t="s">
        <v>321</v>
      </c>
      <c r="B43" t="s">
        <v>322</v>
      </c>
      <c r="D43">
        <f>IF(Metadata!B2="ENG",E43,F43)</f>
        <v>0</v>
      </c>
      <c r="H43">
        <f>IF(Metadata!B2="ENG",I43,J43)</f>
        <v>0</v>
      </c>
    </row>
    <row r="44" spans="1:8">
      <c r="A44" t="s">
        <v>323</v>
      </c>
      <c r="B44" t="s">
        <v>324</v>
      </c>
      <c r="D44">
        <f>IF(Metadata!B2="ENG",E44,F44)</f>
        <v>0</v>
      </c>
      <c r="H44">
        <f>IF(Metadata!B2="ENG",I44,J44)</f>
        <v>0</v>
      </c>
    </row>
    <row r="45" spans="1:8">
      <c r="A45" t="s">
        <v>325</v>
      </c>
      <c r="B45" t="s">
        <v>326</v>
      </c>
      <c r="D45">
        <f>IF(Metadata!B2="ENG",E45,F45)</f>
        <v>0</v>
      </c>
      <c r="H45">
        <f>IF(Metadata!B2="ENG",I45,J45)</f>
        <v>0</v>
      </c>
    </row>
    <row r="46" spans="1:8">
      <c r="A46" t="s">
        <v>327</v>
      </c>
      <c r="B46" t="s">
        <v>328</v>
      </c>
      <c r="D46">
        <f>IF(Metadata!B2="ENG",E46,F46)</f>
        <v>0</v>
      </c>
      <c r="H46">
        <f>IF(Metadata!B2="ENG",I46,J46)</f>
        <v>0</v>
      </c>
    </row>
    <row r="47" spans="1:8">
      <c r="A47" t="s">
        <v>329</v>
      </c>
      <c r="B47" t="s">
        <v>330</v>
      </c>
      <c r="D47">
        <f>IF(Metadata!B2="ENG",E47,F47)</f>
        <v>0</v>
      </c>
      <c r="H47">
        <f>IF(Metadata!B2="ENG",I47,J47)</f>
        <v>0</v>
      </c>
    </row>
    <row r="48" spans="1:8">
      <c r="A48" t="s">
        <v>331</v>
      </c>
      <c r="B48" t="s">
        <v>332</v>
      </c>
      <c r="D48">
        <f>IF(Metadata!B2="ENG",E48,F48)</f>
        <v>0</v>
      </c>
      <c r="H48">
        <f>IF(Metadata!B2="ENG",I48,J48)</f>
        <v>0</v>
      </c>
    </row>
    <row r="49" spans="1:8">
      <c r="A49" t="s">
        <v>333</v>
      </c>
      <c r="B49" t="s">
        <v>334</v>
      </c>
      <c r="D49">
        <f>IF(Metadata!B2="ENG",E49,F49)</f>
        <v>0</v>
      </c>
      <c r="H49">
        <f>IF(Metadata!B2="ENG",I49,J49)</f>
        <v>0</v>
      </c>
    </row>
    <row r="50" spans="1:8">
      <c r="A50" t="s">
        <v>335</v>
      </c>
      <c r="B50" t="s">
        <v>336</v>
      </c>
      <c r="D50">
        <f>IF(Metadata!B2="ENG",E50,F50)</f>
        <v>0</v>
      </c>
      <c r="H50">
        <f>IF(Metadata!B2="ENG",I50,J50)</f>
        <v>0</v>
      </c>
    </row>
    <row r="51" spans="1:8">
      <c r="A51" t="s">
        <v>337</v>
      </c>
      <c r="B51" t="s">
        <v>338</v>
      </c>
      <c r="D51">
        <f>IF(Metadata!B2="ENG",E51,F51)</f>
        <v>0</v>
      </c>
      <c r="H51">
        <f>IF(Metadata!B2="ENG",I51,J51)</f>
        <v>0</v>
      </c>
    </row>
    <row r="52" spans="1:8">
      <c r="A52" t="s">
        <v>339</v>
      </c>
      <c r="B52" t="s">
        <v>340</v>
      </c>
      <c r="D52">
        <f>IF(Metadata!B2="ENG",E52,F52)</f>
        <v>0</v>
      </c>
      <c r="H52">
        <f>IF(Metadata!B2="ENG",I52,J52)</f>
        <v>0</v>
      </c>
    </row>
    <row r="53" spans="1:8">
      <c r="A53" t="s">
        <v>341</v>
      </c>
      <c r="B53" t="s">
        <v>342</v>
      </c>
      <c r="D53">
        <f>IF(Metadata!B2="ENG",E53,F53)</f>
        <v>0</v>
      </c>
      <c r="H53">
        <f>IF(Metadata!B2="ENG",I53,J53)</f>
        <v>0</v>
      </c>
    </row>
    <row r="54" spans="1:8">
      <c r="A54" t="s">
        <v>343</v>
      </c>
      <c r="B54" t="s">
        <v>344</v>
      </c>
      <c r="D54">
        <f>IF(Metadata!B2="ENG",E54,F54)</f>
        <v>0</v>
      </c>
      <c r="H54">
        <f>IF(Metadata!B2="ENG",I54,J54)</f>
        <v>0</v>
      </c>
    </row>
    <row r="55" spans="1:8">
      <c r="A55" t="s">
        <v>345</v>
      </c>
      <c r="B55" t="s">
        <v>346</v>
      </c>
      <c r="D55">
        <f>IF(Metadata!B2="ENG",E55,F55)</f>
        <v>0</v>
      </c>
      <c r="H55">
        <f>IF(Metadata!B2="ENG",I55,J55)</f>
        <v>0</v>
      </c>
    </row>
    <row r="56" spans="1:8">
      <c r="A56" t="s">
        <v>347</v>
      </c>
      <c r="B56" t="s">
        <v>348</v>
      </c>
      <c r="D56">
        <f>IF(Metadata!B2="ENG",E56,F56)</f>
        <v>0</v>
      </c>
      <c r="H56">
        <f>IF(Metadata!B2="ENG",I56,J56)</f>
        <v>0</v>
      </c>
    </row>
    <row r="57" spans="1:8">
      <c r="A57" t="s">
        <v>349</v>
      </c>
      <c r="B57" t="s">
        <v>350</v>
      </c>
      <c r="D57">
        <f>IF(Metadata!B2="ENG",E57,F57)</f>
        <v>0</v>
      </c>
      <c r="H57">
        <f>IF(Metadata!B2="ENG",I57,J57)</f>
        <v>0</v>
      </c>
    </row>
    <row r="58" spans="1:8">
      <c r="A58" t="s">
        <v>351</v>
      </c>
      <c r="B58" t="s">
        <v>352</v>
      </c>
      <c r="D58">
        <f>IF(Metadata!B2="ENG",E58,F58)</f>
        <v>0</v>
      </c>
      <c r="H58">
        <f>IF(Metadata!B2="ENG",I58,J58)</f>
        <v>0</v>
      </c>
    </row>
    <row r="59" spans="1:8">
      <c r="A59" t="s">
        <v>353</v>
      </c>
      <c r="B59" t="s">
        <v>354</v>
      </c>
      <c r="D59">
        <f>IF(Metadata!B2="ENG",E59,F59)</f>
        <v>0</v>
      </c>
      <c r="H59">
        <f>IF(Metadata!B2="ENG",I59,J59)</f>
        <v>0</v>
      </c>
    </row>
    <row r="60" spans="1:8">
      <c r="A60" t="s">
        <v>355</v>
      </c>
      <c r="B60" t="s">
        <v>356</v>
      </c>
      <c r="D60">
        <f>IF(Metadata!B2="ENG",E60,F60)</f>
        <v>0</v>
      </c>
      <c r="H60">
        <f>IF(Metadata!B2="ENG",I60,J60)</f>
        <v>0</v>
      </c>
    </row>
    <row r="61" spans="1:8">
      <c r="A61" t="s">
        <v>357</v>
      </c>
      <c r="B61" t="s">
        <v>358</v>
      </c>
      <c r="D61">
        <f>IF(Metadata!B2="ENG",E61,F61)</f>
        <v>0</v>
      </c>
      <c r="H61">
        <f>IF(Metadata!B2="ENG",I61,J61)</f>
        <v>0</v>
      </c>
    </row>
    <row r="62" spans="1:8">
      <c r="A62" t="s">
        <v>359</v>
      </c>
      <c r="B62" t="s">
        <v>360</v>
      </c>
    </row>
    <row r="63" spans="1:8">
      <c r="A63" t="s">
        <v>361</v>
      </c>
      <c r="B63" t="s">
        <v>362</v>
      </c>
    </row>
    <row r="64" spans="1:8">
      <c r="A64" t="s">
        <v>363</v>
      </c>
      <c r="B64" t="s">
        <v>364</v>
      </c>
    </row>
    <row r="65" spans="1:2">
      <c r="A65" t="s">
        <v>365</v>
      </c>
      <c r="B65" t="s">
        <v>366</v>
      </c>
    </row>
    <row r="66" spans="1:2">
      <c r="A66" t="s">
        <v>367</v>
      </c>
      <c r="B66" t="s">
        <v>368</v>
      </c>
    </row>
    <row r="67" spans="1:2">
      <c r="A67" t="s">
        <v>369</v>
      </c>
      <c r="B67" t="s">
        <v>370</v>
      </c>
    </row>
    <row r="68" spans="1:2">
      <c r="A68" t="s">
        <v>371</v>
      </c>
      <c r="B68" t="s">
        <v>372</v>
      </c>
    </row>
    <row r="69" spans="1:2">
      <c r="A69" t="s">
        <v>373</v>
      </c>
      <c r="B69" t="s">
        <v>374</v>
      </c>
    </row>
    <row r="70" spans="1:2">
      <c r="A70" t="s">
        <v>375</v>
      </c>
      <c r="B70" t="s">
        <v>376</v>
      </c>
    </row>
    <row r="71" spans="1:2">
      <c r="A71" t="s">
        <v>377</v>
      </c>
      <c r="B71" t="s">
        <v>378</v>
      </c>
    </row>
    <row r="72" spans="1:2">
      <c r="A72" t="s">
        <v>379</v>
      </c>
      <c r="B72" t="s">
        <v>380</v>
      </c>
    </row>
    <row r="73" spans="1:2">
      <c r="A73" t="s">
        <v>381</v>
      </c>
      <c r="B73" t="s">
        <v>382</v>
      </c>
    </row>
    <row r="74" spans="1:2">
      <c r="A74" t="s">
        <v>383</v>
      </c>
      <c r="B74" t="s">
        <v>384</v>
      </c>
    </row>
    <row r="75" spans="1:2">
      <c r="A75" t="s">
        <v>385</v>
      </c>
      <c r="B75" t="s">
        <v>386</v>
      </c>
    </row>
    <row r="76" spans="1:2">
      <c r="A76" t="s">
        <v>387</v>
      </c>
      <c r="B76" t="s">
        <v>388</v>
      </c>
    </row>
    <row r="77" spans="1:2">
      <c r="A77" t="s">
        <v>389</v>
      </c>
      <c r="B77" t="s">
        <v>390</v>
      </c>
    </row>
    <row r="78" spans="1:2">
      <c r="A78" t="s">
        <v>391</v>
      </c>
      <c r="B78" t="s">
        <v>392</v>
      </c>
    </row>
    <row r="79" spans="1:2">
      <c r="A79" t="s">
        <v>393</v>
      </c>
      <c r="B79" t="s">
        <v>394</v>
      </c>
    </row>
    <row r="80" spans="1:2">
      <c r="A80" t="s">
        <v>395</v>
      </c>
      <c r="B80" t="s">
        <v>396</v>
      </c>
    </row>
    <row r="81" spans="1:2">
      <c r="A81" t="s">
        <v>397</v>
      </c>
      <c r="B81" t="s">
        <v>398</v>
      </c>
    </row>
    <row r="82" spans="1:2">
      <c r="A82" t="s">
        <v>399</v>
      </c>
      <c r="B82" t="s">
        <v>400</v>
      </c>
    </row>
    <row r="83" spans="1:2">
      <c r="A83" t="s">
        <v>401</v>
      </c>
      <c r="B83" t="s">
        <v>402</v>
      </c>
    </row>
    <row r="84" spans="1:2">
      <c r="A84" t="s">
        <v>403</v>
      </c>
      <c r="B84" t="s">
        <v>404</v>
      </c>
    </row>
    <row r="85" spans="1:2">
      <c r="A85" t="s">
        <v>405</v>
      </c>
      <c r="B85" t="s">
        <v>406</v>
      </c>
    </row>
    <row r="86" spans="1:2">
      <c r="A86" t="s">
        <v>407</v>
      </c>
      <c r="B86" t="s">
        <v>408</v>
      </c>
    </row>
    <row r="87" spans="1:2">
      <c r="A87" t="s">
        <v>409</v>
      </c>
      <c r="B87" t="s">
        <v>410</v>
      </c>
    </row>
    <row r="88" spans="1:2">
      <c r="A88" t="s">
        <v>411</v>
      </c>
      <c r="B88" t="s">
        <v>412</v>
      </c>
    </row>
    <row r="89" spans="1:2">
      <c r="A89" t="s">
        <v>413</v>
      </c>
      <c r="B89" t="s">
        <v>414</v>
      </c>
    </row>
    <row r="90" spans="1:2">
      <c r="A90" t="s">
        <v>415</v>
      </c>
      <c r="B90" t="s">
        <v>416</v>
      </c>
    </row>
    <row r="91" spans="1:2">
      <c r="A91" t="s">
        <v>417</v>
      </c>
      <c r="B91" t="s">
        <v>418</v>
      </c>
    </row>
    <row r="92" spans="1:2">
      <c r="A92" t="s">
        <v>419</v>
      </c>
      <c r="B92" t="s">
        <v>420</v>
      </c>
    </row>
    <row r="93" spans="1:2">
      <c r="A93" t="s">
        <v>421</v>
      </c>
      <c r="B93" t="s">
        <v>422</v>
      </c>
    </row>
    <row r="94" spans="1:2">
      <c r="A94" t="s">
        <v>423</v>
      </c>
      <c r="B94" t="s">
        <v>424</v>
      </c>
    </row>
    <row r="95" spans="1:2">
      <c r="A95" t="s">
        <v>425</v>
      </c>
      <c r="B95" t="s">
        <v>426</v>
      </c>
    </row>
    <row r="96" spans="1:2">
      <c r="A96" t="s">
        <v>427</v>
      </c>
      <c r="B96" t="s">
        <v>106</v>
      </c>
    </row>
    <row r="97" spans="1:2">
      <c r="A97" t="s">
        <v>428</v>
      </c>
      <c r="B97" t="s">
        <v>429</v>
      </c>
    </row>
    <row r="98" spans="1:2">
      <c r="A98" t="s">
        <v>430</v>
      </c>
      <c r="B98" t="s">
        <v>431</v>
      </c>
    </row>
    <row r="99" spans="1:2">
      <c r="A99" t="s">
        <v>432</v>
      </c>
      <c r="B99" t="s">
        <v>433</v>
      </c>
    </row>
    <row r="100" spans="1:2">
      <c r="A100" t="s">
        <v>434</v>
      </c>
      <c r="B100" t="s">
        <v>435</v>
      </c>
    </row>
    <row r="101" spans="1:2">
      <c r="A101" t="s">
        <v>436</v>
      </c>
      <c r="B101" t="s">
        <v>437</v>
      </c>
    </row>
    <row r="102" spans="1:2">
      <c r="A102" t="s">
        <v>438</v>
      </c>
      <c r="B102" t="s">
        <v>439</v>
      </c>
    </row>
    <row r="103" spans="1:2">
      <c r="A103" t="s">
        <v>440</v>
      </c>
      <c r="B103" t="s">
        <v>441</v>
      </c>
    </row>
    <row r="104" spans="1:2">
      <c r="A104" t="s">
        <v>442</v>
      </c>
      <c r="B104" t="s">
        <v>443</v>
      </c>
    </row>
    <row r="105" spans="1:2">
      <c r="A105" t="s">
        <v>444</v>
      </c>
      <c r="B105" t="s">
        <v>445</v>
      </c>
    </row>
    <row r="106" spans="1:2">
      <c r="A106" t="s">
        <v>446</v>
      </c>
      <c r="B106" t="s">
        <v>447</v>
      </c>
    </row>
    <row r="107" spans="1:2">
      <c r="A107" t="s">
        <v>448</v>
      </c>
      <c r="B107" t="s">
        <v>449</v>
      </c>
    </row>
    <row r="108" spans="1:2">
      <c r="A108" t="s">
        <v>450</v>
      </c>
      <c r="B108" t="s">
        <v>451</v>
      </c>
    </row>
    <row r="109" spans="1:2">
      <c r="A109" t="s">
        <v>452</v>
      </c>
      <c r="B109" t="s">
        <v>453</v>
      </c>
    </row>
    <row r="110" spans="1:2">
      <c r="A110" t="s">
        <v>454</v>
      </c>
      <c r="B110" t="s">
        <v>455</v>
      </c>
    </row>
    <row r="111" spans="1:2">
      <c r="A111" t="s">
        <v>456</v>
      </c>
      <c r="B111" t="s">
        <v>457</v>
      </c>
    </row>
    <row r="112" spans="1:2">
      <c r="A112" t="s">
        <v>458</v>
      </c>
      <c r="B112" t="s">
        <v>459</v>
      </c>
    </row>
    <row r="113" spans="1:2">
      <c r="A113" t="s">
        <v>460</v>
      </c>
      <c r="B113" t="s">
        <v>461</v>
      </c>
    </row>
    <row r="114" spans="1:2">
      <c r="A114" t="s">
        <v>462</v>
      </c>
      <c r="B114" t="s">
        <v>463</v>
      </c>
    </row>
    <row r="115" spans="1:2">
      <c r="A115" t="s">
        <v>464</v>
      </c>
      <c r="B115" t="s">
        <v>465</v>
      </c>
    </row>
    <row r="116" spans="1:2">
      <c r="A116" t="s">
        <v>466</v>
      </c>
      <c r="B116" t="s">
        <v>467</v>
      </c>
    </row>
    <row r="117" spans="1:2">
      <c r="A117" t="s">
        <v>468</v>
      </c>
      <c r="B117" t="s">
        <v>469</v>
      </c>
    </row>
    <row r="118" spans="1:2">
      <c r="A118" t="s">
        <v>470</v>
      </c>
      <c r="B118" t="s">
        <v>471</v>
      </c>
    </row>
    <row r="119" spans="1:2">
      <c r="A119" t="s">
        <v>472</v>
      </c>
      <c r="B119" t="s">
        <v>473</v>
      </c>
    </row>
    <row r="120" spans="1:2">
      <c r="A120" t="s">
        <v>474</v>
      </c>
      <c r="B120" t="s">
        <v>475</v>
      </c>
    </row>
    <row r="121" spans="1:2">
      <c r="A121" t="s">
        <v>476</v>
      </c>
      <c r="B121" t="s">
        <v>477</v>
      </c>
    </row>
    <row r="122" spans="1:2">
      <c r="A122" t="s">
        <v>478</v>
      </c>
      <c r="B122" t="s">
        <v>479</v>
      </c>
    </row>
    <row r="123" spans="1:2">
      <c r="A123" t="s">
        <v>480</v>
      </c>
      <c r="B123" t="s">
        <v>481</v>
      </c>
    </row>
    <row r="124" spans="1:2">
      <c r="A124" t="s">
        <v>482</v>
      </c>
      <c r="B124" t="s">
        <v>483</v>
      </c>
    </row>
    <row r="125" spans="1:2">
      <c r="A125" t="s">
        <v>484</v>
      </c>
      <c r="B125" t="s">
        <v>485</v>
      </c>
    </row>
    <row r="126" spans="1:2">
      <c r="A126" t="s">
        <v>486</v>
      </c>
      <c r="B126" t="s">
        <v>487</v>
      </c>
    </row>
    <row r="127" spans="1:2">
      <c r="A127" t="s">
        <v>488</v>
      </c>
      <c r="B127" t="s">
        <v>489</v>
      </c>
    </row>
    <row r="128" spans="1:2">
      <c r="A128" t="s">
        <v>490</v>
      </c>
      <c r="B128" t="s">
        <v>491</v>
      </c>
    </row>
    <row r="129" spans="1:2">
      <c r="A129" t="s">
        <v>492</v>
      </c>
      <c r="B129" t="s">
        <v>493</v>
      </c>
    </row>
    <row r="130" spans="1:2">
      <c r="A130" t="s">
        <v>494</v>
      </c>
      <c r="B130" t="s">
        <v>495</v>
      </c>
    </row>
    <row r="131" spans="1:2">
      <c r="A131" t="s">
        <v>496</v>
      </c>
      <c r="B131" t="s">
        <v>497</v>
      </c>
    </row>
    <row r="132" spans="1:2">
      <c r="A132" t="s">
        <v>498</v>
      </c>
      <c r="B132" t="s">
        <v>499</v>
      </c>
    </row>
    <row r="133" spans="1:2">
      <c r="A133" t="s">
        <v>500</v>
      </c>
      <c r="B133" t="s">
        <v>501</v>
      </c>
    </row>
    <row r="134" spans="1:2">
      <c r="A134" t="s">
        <v>502</v>
      </c>
      <c r="B134" t="s">
        <v>503</v>
      </c>
    </row>
    <row r="135" spans="1:2">
      <c r="A135" t="s">
        <v>504</v>
      </c>
      <c r="B135" t="s">
        <v>505</v>
      </c>
    </row>
    <row r="136" spans="1:2">
      <c r="A136" t="s">
        <v>506</v>
      </c>
      <c r="B136" t="s">
        <v>507</v>
      </c>
    </row>
    <row r="137" spans="1:2">
      <c r="A137" t="s">
        <v>508</v>
      </c>
      <c r="B137" t="s">
        <v>509</v>
      </c>
    </row>
    <row r="138" spans="1:2">
      <c r="A138" t="s">
        <v>510</v>
      </c>
      <c r="B138" t="s">
        <v>511</v>
      </c>
    </row>
    <row r="139" spans="1:2">
      <c r="A139" t="s">
        <v>512</v>
      </c>
      <c r="B139" t="s">
        <v>513</v>
      </c>
    </row>
    <row r="140" spans="1:2">
      <c r="A140" t="s">
        <v>514</v>
      </c>
      <c r="B140" t="s">
        <v>515</v>
      </c>
    </row>
    <row r="141" spans="1:2">
      <c r="A141" t="s">
        <v>516</v>
      </c>
      <c r="B141" t="s">
        <v>517</v>
      </c>
    </row>
    <row r="142" spans="1:2">
      <c r="A142" t="s">
        <v>518</v>
      </c>
      <c r="B142" t="s">
        <v>519</v>
      </c>
    </row>
    <row r="143" spans="1:2">
      <c r="A143" t="s">
        <v>520</v>
      </c>
      <c r="B143" t="s">
        <v>521</v>
      </c>
    </row>
    <row r="144" spans="1:2">
      <c r="A144" t="s">
        <v>522</v>
      </c>
      <c r="B144" t="s">
        <v>523</v>
      </c>
    </row>
    <row r="145" spans="1:2">
      <c r="A145" t="s">
        <v>524</v>
      </c>
      <c r="B145" t="s">
        <v>525</v>
      </c>
    </row>
    <row r="146" spans="1:2">
      <c r="A146" t="s">
        <v>526</v>
      </c>
      <c r="B146" t="s">
        <v>527</v>
      </c>
    </row>
    <row r="147" spans="1:2">
      <c r="A147" t="s">
        <v>528</v>
      </c>
      <c r="B147" t="s">
        <v>529</v>
      </c>
    </row>
    <row r="148" spans="1:2">
      <c r="A148" t="s">
        <v>530</v>
      </c>
      <c r="B148" t="s">
        <v>531</v>
      </c>
    </row>
    <row r="149" spans="1:2">
      <c r="A149" t="s">
        <v>532</v>
      </c>
      <c r="B149" t="s">
        <v>533</v>
      </c>
    </row>
    <row r="150" spans="1:2">
      <c r="A150" t="s">
        <v>534</v>
      </c>
      <c r="B150" t="s">
        <v>535</v>
      </c>
    </row>
    <row r="151" spans="1:2">
      <c r="A151" t="s">
        <v>536</v>
      </c>
      <c r="B151" t="s">
        <v>537</v>
      </c>
    </row>
    <row r="152" spans="1:2">
      <c r="A152" t="s">
        <v>538</v>
      </c>
      <c r="B152" t="s">
        <v>539</v>
      </c>
    </row>
    <row r="153" spans="1:2">
      <c r="A153" t="s">
        <v>540</v>
      </c>
      <c r="B153" t="s">
        <v>541</v>
      </c>
    </row>
    <row r="154" spans="1:2">
      <c r="A154" t="s">
        <v>542</v>
      </c>
      <c r="B154" t="s">
        <v>543</v>
      </c>
    </row>
    <row r="155" spans="1:2">
      <c r="A155" t="s">
        <v>544</v>
      </c>
      <c r="B155" t="s">
        <v>545</v>
      </c>
    </row>
    <row r="156" spans="1:2">
      <c r="A156" t="s">
        <v>546</v>
      </c>
      <c r="B156" t="s">
        <v>547</v>
      </c>
    </row>
    <row r="157" spans="1:2">
      <c r="A157" t="s">
        <v>548</v>
      </c>
      <c r="B157" t="s">
        <v>549</v>
      </c>
    </row>
    <row r="158" spans="1:2">
      <c r="A158" t="s">
        <v>550</v>
      </c>
      <c r="B158" t="s">
        <v>551</v>
      </c>
    </row>
    <row r="159" spans="1:2">
      <c r="A159" t="s">
        <v>552</v>
      </c>
      <c r="B159" t="s">
        <v>553</v>
      </c>
    </row>
    <row r="160" spans="1:2">
      <c r="A160" t="s">
        <v>554</v>
      </c>
      <c r="B160" t="s">
        <v>555</v>
      </c>
    </row>
    <row r="161" spans="1:2">
      <c r="A161" t="s">
        <v>556</v>
      </c>
      <c r="B161" t="s">
        <v>557</v>
      </c>
    </row>
    <row r="162" spans="1:2">
      <c r="A162" t="s">
        <v>558</v>
      </c>
      <c r="B162" t="s">
        <v>559</v>
      </c>
    </row>
    <row r="163" spans="1:2">
      <c r="A163" t="s">
        <v>560</v>
      </c>
      <c r="B163" t="s">
        <v>561</v>
      </c>
    </row>
    <row r="164" spans="1:2">
      <c r="A164" t="s">
        <v>562</v>
      </c>
      <c r="B164" t="s">
        <v>563</v>
      </c>
    </row>
    <row r="165" spans="1:2">
      <c r="A165" t="s">
        <v>564</v>
      </c>
      <c r="B165" t="s">
        <v>565</v>
      </c>
    </row>
    <row r="166" spans="1:2">
      <c r="A166" t="s">
        <v>566</v>
      </c>
      <c r="B166" t="s">
        <v>567</v>
      </c>
    </row>
    <row r="167" spans="1:2">
      <c r="A167" t="s">
        <v>568</v>
      </c>
      <c r="B167" t="s">
        <v>569</v>
      </c>
    </row>
    <row r="168" spans="1:2">
      <c r="A168" t="s">
        <v>570</v>
      </c>
      <c r="B168" t="s">
        <v>571</v>
      </c>
    </row>
    <row r="169" spans="1:2">
      <c r="A169" t="s">
        <v>572</v>
      </c>
      <c r="B169" t="s">
        <v>573</v>
      </c>
    </row>
    <row r="170" spans="1:2">
      <c r="A170" t="s">
        <v>574</v>
      </c>
      <c r="B170" t="s">
        <v>575</v>
      </c>
    </row>
    <row r="171" spans="1:2">
      <c r="A171" t="s">
        <v>576</v>
      </c>
      <c r="B171" t="s">
        <v>577</v>
      </c>
    </row>
    <row r="172" spans="1:2">
      <c r="A172" t="s">
        <v>578</v>
      </c>
      <c r="B172" t="s">
        <v>579</v>
      </c>
    </row>
    <row r="173" spans="1:2">
      <c r="A173" t="s">
        <v>580</v>
      </c>
      <c r="B173" t="s">
        <v>581</v>
      </c>
    </row>
    <row r="174" spans="1:2">
      <c r="A174" t="s">
        <v>582</v>
      </c>
      <c r="B174" t="s">
        <v>583</v>
      </c>
    </row>
    <row r="175" spans="1:2">
      <c r="A175" t="s">
        <v>584</v>
      </c>
      <c r="B175" t="s">
        <v>585</v>
      </c>
    </row>
    <row r="176" spans="1:2">
      <c r="A176" t="s">
        <v>586</v>
      </c>
      <c r="B176" t="s">
        <v>587</v>
      </c>
    </row>
    <row r="177" spans="1:2">
      <c r="A177" t="s">
        <v>588</v>
      </c>
      <c r="B177" t="s">
        <v>589</v>
      </c>
    </row>
    <row r="178" spans="1:2">
      <c r="A178" t="s">
        <v>590</v>
      </c>
      <c r="B178" t="s">
        <v>591</v>
      </c>
    </row>
    <row r="179" spans="1:2">
      <c r="A179" t="s">
        <v>592</v>
      </c>
      <c r="B179" t="s">
        <v>593</v>
      </c>
    </row>
    <row r="180" spans="1:2">
      <c r="A180" t="s">
        <v>594</v>
      </c>
      <c r="B180" t="s">
        <v>595</v>
      </c>
    </row>
    <row r="181" spans="1:2">
      <c r="A181" t="s">
        <v>596</v>
      </c>
      <c r="B181" t="s">
        <v>597</v>
      </c>
    </row>
    <row r="182" spans="1:2">
      <c r="A182" t="s">
        <v>598</v>
      </c>
      <c r="B182" t="s">
        <v>599</v>
      </c>
    </row>
    <row r="183" spans="1:2">
      <c r="A183" t="s">
        <v>600</v>
      </c>
      <c r="B183" t="s">
        <v>601</v>
      </c>
    </row>
    <row r="184" spans="1:2">
      <c r="A184" t="s">
        <v>602</v>
      </c>
      <c r="B184" t="s">
        <v>290</v>
      </c>
    </row>
    <row r="185" spans="1:2">
      <c r="A185" t="s">
        <v>603</v>
      </c>
      <c r="B185" t="s">
        <v>604</v>
      </c>
    </row>
    <row r="186" spans="1:2">
      <c r="A186" t="s">
        <v>605</v>
      </c>
      <c r="B186" t="s">
        <v>606</v>
      </c>
    </row>
    <row r="187" spans="1:2">
      <c r="A187" t="s">
        <v>607</v>
      </c>
      <c r="B187" t="s">
        <v>608</v>
      </c>
    </row>
    <row r="188" spans="1:2">
      <c r="A188" t="s">
        <v>609</v>
      </c>
      <c r="B188" t="s">
        <v>610</v>
      </c>
    </row>
    <row r="189" spans="1:2">
      <c r="A189" t="s">
        <v>611</v>
      </c>
      <c r="B189" t="s">
        <v>612</v>
      </c>
    </row>
    <row r="190" spans="1:2">
      <c r="A190" t="s">
        <v>613</v>
      </c>
      <c r="B190" t="s">
        <v>614</v>
      </c>
    </row>
    <row r="191" spans="1:2">
      <c r="A191" t="s">
        <v>615</v>
      </c>
      <c r="B191" t="s">
        <v>616</v>
      </c>
    </row>
    <row r="192" spans="1:2">
      <c r="A192" t="s">
        <v>617</v>
      </c>
      <c r="B192" t="s">
        <v>618</v>
      </c>
    </row>
    <row r="193" spans="1:2">
      <c r="A193" t="s">
        <v>619</v>
      </c>
      <c r="B193" t="s">
        <v>620</v>
      </c>
    </row>
    <row r="194" spans="1:2">
      <c r="A194" t="s">
        <v>621</v>
      </c>
      <c r="B194" t="s">
        <v>622</v>
      </c>
    </row>
    <row r="195" spans="1:2">
      <c r="A195" t="s">
        <v>623</v>
      </c>
      <c r="B195" t="s">
        <v>624</v>
      </c>
    </row>
    <row r="196" spans="1:2">
      <c r="A196" t="s">
        <v>625</v>
      </c>
      <c r="B196" t="s">
        <v>626</v>
      </c>
    </row>
    <row r="197" spans="1:2">
      <c r="A197" t="s">
        <v>627</v>
      </c>
      <c r="B197" t="s">
        <v>628</v>
      </c>
    </row>
    <row r="198" spans="1:2">
      <c r="A198" t="s">
        <v>629</v>
      </c>
      <c r="B198" t="s">
        <v>630</v>
      </c>
    </row>
    <row r="199" spans="1:2">
      <c r="A199" t="s">
        <v>631</v>
      </c>
      <c r="B199" t="s">
        <v>632</v>
      </c>
    </row>
    <row r="200" spans="1:2">
      <c r="A200" t="s">
        <v>633</v>
      </c>
      <c r="B200" t="s">
        <v>634</v>
      </c>
    </row>
    <row r="201" spans="1:2">
      <c r="A201" t="s">
        <v>635</v>
      </c>
      <c r="B201" t="s">
        <v>290</v>
      </c>
    </row>
    <row r="202" spans="1:2">
      <c r="A202" t="s">
        <v>636</v>
      </c>
      <c r="B202" t="s">
        <v>637</v>
      </c>
    </row>
    <row r="203" spans="1:2">
      <c r="A203" t="s">
        <v>638</v>
      </c>
      <c r="B203" t="s">
        <v>639</v>
      </c>
    </row>
    <row r="204" spans="1:2">
      <c r="A204" t="s">
        <v>640</v>
      </c>
      <c r="B204" t="s">
        <v>641</v>
      </c>
    </row>
    <row r="205" spans="1:2">
      <c r="A205" t="s">
        <v>642</v>
      </c>
      <c r="B205" t="s">
        <v>643</v>
      </c>
    </row>
    <row r="206" spans="1:2">
      <c r="A206" t="s">
        <v>644</v>
      </c>
      <c r="B206" t="s">
        <v>645</v>
      </c>
    </row>
    <row r="207" spans="1:2">
      <c r="A207" t="s">
        <v>646</v>
      </c>
      <c r="B207" t="s">
        <v>645</v>
      </c>
    </row>
    <row r="208" spans="1:2">
      <c r="A208" t="s">
        <v>647</v>
      </c>
      <c r="B208" t="s">
        <v>648</v>
      </c>
    </row>
    <row r="209" spans="1:2">
      <c r="A209" t="s">
        <v>649</v>
      </c>
      <c r="B209" t="s">
        <v>650</v>
      </c>
    </row>
    <row r="210" spans="1:2">
      <c r="A210" t="s">
        <v>651</v>
      </c>
      <c r="B210" t="s">
        <v>652</v>
      </c>
    </row>
    <row r="211" spans="1:2">
      <c r="A211" t="s">
        <v>653</v>
      </c>
      <c r="B211" t="s">
        <v>654</v>
      </c>
    </row>
    <row r="212" spans="1:2">
      <c r="A212" t="s">
        <v>655</v>
      </c>
      <c r="B212" t="s">
        <v>656</v>
      </c>
    </row>
    <row r="213" spans="1:2">
      <c r="A213" t="s">
        <v>657</v>
      </c>
      <c r="B213" t="s">
        <v>658</v>
      </c>
    </row>
    <row r="214" spans="1:2">
      <c r="A214" t="s">
        <v>659</v>
      </c>
      <c r="B214" t="s">
        <v>660</v>
      </c>
    </row>
    <row r="215" spans="1:2">
      <c r="A215" t="s">
        <v>661</v>
      </c>
      <c r="B215" t="s">
        <v>662</v>
      </c>
    </row>
    <row r="216" spans="1:2">
      <c r="A216" t="s">
        <v>663</v>
      </c>
      <c r="B216" t="s">
        <v>664</v>
      </c>
    </row>
    <row r="217" spans="1:2">
      <c r="A217" t="s">
        <v>665</v>
      </c>
      <c r="B217" t="s">
        <v>666</v>
      </c>
    </row>
    <row r="218" spans="1:2">
      <c r="A218" t="s">
        <v>667</v>
      </c>
      <c r="B218" t="s">
        <v>668</v>
      </c>
    </row>
    <row r="219" spans="1:2">
      <c r="A219" t="s">
        <v>669</v>
      </c>
      <c r="B219" t="s">
        <v>670</v>
      </c>
    </row>
    <row r="220" spans="1:2">
      <c r="A220" t="s">
        <v>671</v>
      </c>
      <c r="B220" t="s">
        <v>672</v>
      </c>
    </row>
    <row r="221" spans="1:2">
      <c r="A221" t="s">
        <v>673</v>
      </c>
      <c r="B221" t="s">
        <v>674</v>
      </c>
    </row>
    <row r="222" spans="1:2">
      <c r="A222" t="s">
        <v>675</v>
      </c>
      <c r="B222" t="s">
        <v>676</v>
      </c>
    </row>
    <row r="223" spans="1:2">
      <c r="A223" t="s">
        <v>677</v>
      </c>
      <c r="B223" t="s">
        <v>678</v>
      </c>
    </row>
    <row r="224" spans="1:2">
      <c r="A224" t="s">
        <v>679</v>
      </c>
      <c r="B224" t="s">
        <v>680</v>
      </c>
    </row>
    <row r="225" spans="1:2">
      <c r="A225" t="s">
        <v>681</v>
      </c>
      <c r="B225" t="s">
        <v>682</v>
      </c>
    </row>
    <row r="226" spans="1:2">
      <c r="A226" t="s">
        <v>683</v>
      </c>
      <c r="B226" t="s">
        <v>684</v>
      </c>
    </row>
    <row r="227" spans="1:2">
      <c r="A227" t="s">
        <v>685</v>
      </c>
      <c r="B227" t="s">
        <v>686</v>
      </c>
    </row>
    <row r="228" spans="1:2">
      <c r="A228" t="s">
        <v>687</v>
      </c>
      <c r="B228" t="s">
        <v>688</v>
      </c>
    </row>
    <row r="229" spans="1:2">
      <c r="A229" t="s">
        <v>689</v>
      </c>
      <c r="B229" t="s">
        <v>690</v>
      </c>
    </row>
    <row r="230" spans="1:2">
      <c r="A230" t="s">
        <v>691</v>
      </c>
      <c r="B230" t="s">
        <v>692</v>
      </c>
    </row>
    <row r="231" spans="1:2">
      <c r="A231" t="s">
        <v>693</v>
      </c>
      <c r="B231" t="s">
        <v>694</v>
      </c>
    </row>
    <row r="232" spans="1:2">
      <c r="A232" t="s">
        <v>695</v>
      </c>
      <c r="B232" t="s">
        <v>696</v>
      </c>
    </row>
    <row r="233" spans="1:2">
      <c r="A233" t="s">
        <v>697</v>
      </c>
      <c r="B233" t="s">
        <v>698</v>
      </c>
    </row>
    <row r="234" spans="1:2">
      <c r="A234" t="s">
        <v>699</v>
      </c>
      <c r="B234" t="s">
        <v>700</v>
      </c>
    </row>
    <row r="235" spans="1:2">
      <c r="A235" t="s">
        <v>701</v>
      </c>
      <c r="B235" t="s">
        <v>702</v>
      </c>
    </row>
    <row r="236" spans="1:2">
      <c r="A236" t="s">
        <v>703</v>
      </c>
      <c r="B236" t="s">
        <v>704</v>
      </c>
    </row>
    <row r="237" spans="1:2">
      <c r="A237" t="s">
        <v>705</v>
      </c>
      <c r="B237" t="s">
        <v>706</v>
      </c>
    </row>
    <row r="238" spans="1:2">
      <c r="A238" t="s">
        <v>707</v>
      </c>
      <c r="B238" t="s">
        <v>708</v>
      </c>
    </row>
    <row r="239" spans="1:2">
      <c r="A239" t="s">
        <v>709</v>
      </c>
      <c r="B239" t="s">
        <v>710</v>
      </c>
    </row>
    <row r="240" spans="1:2">
      <c r="A240" t="s">
        <v>711</v>
      </c>
      <c r="B240" t="s">
        <v>712</v>
      </c>
    </row>
    <row r="241" spans="1:2">
      <c r="A241" t="s">
        <v>713</v>
      </c>
      <c r="B241" t="s">
        <v>714</v>
      </c>
    </row>
    <row r="242" spans="1:2">
      <c r="A242" t="s">
        <v>715</v>
      </c>
      <c r="B242" t="s">
        <v>716</v>
      </c>
    </row>
    <row r="243" spans="1:2">
      <c r="A243" t="s">
        <v>717</v>
      </c>
      <c r="B243" t="s">
        <v>718</v>
      </c>
    </row>
    <row r="244" spans="1:2">
      <c r="A244" t="s">
        <v>719</v>
      </c>
      <c r="B244" t="s">
        <v>720</v>
      </c>
    </row>
    <row r="245" spans="1:2">
      <c r="A245" t="s">
        <v>721</v>
      </c>
      <c r="B245" t="s">
        <v>722</v>
      </c>
    </row>
    <row r="246" spans="1:2">
      <c r="A246" t="s">
        <v>723</v>
      </c>
      <c r="B246" t="s">
        <v>724</v>
      </c>
    </row>
    <row r="247" spans="1:2">
      <c r="A247" t="s">
        <v>725</v>
      </c>
      <c r="B247" t="s">
        <v>726</v>
      </c>
    </row>
    <row r="248" spans="1:2">
      <c r="A248" t="s">
        <v>727</v>
      </c>
      <c r="B248" t="s">
        <v>728</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Categories</vt:lpstr>
      <vt:lpstr>Metadata</vt:lpstr>
      <vt:lpstr>picklists</vt:lpstr>
      <vt:lpstr>countries</vt:lpstr>
      <vt:lpstr>language</vt:lpstr>
      <vt:lpstr>license_type</vt:lpstr>
      <vt:lpstr>resources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Ben Stewart</cp:lastModifiedBy>
  <cp:lastPrinted>2014-02-01T19:00:50Z</cp:lastPrinted>
  <dcterms:created xsi:type="dcterms:W3CDTF">2013-09-30T16:43:43Z</dcterms:created>
  <dcterms:modified xsi:type="dcterms:W3CDTF">2015-08-18T15:27:52Z</dcterms:modified>
</cp:coreProperties>
</file>